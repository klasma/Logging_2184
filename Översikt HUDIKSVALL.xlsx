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45807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45807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45807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45807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45807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45807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45807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45807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45807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45807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45807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45807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45807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45807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45807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45807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45807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45807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45807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45807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45807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45807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45807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45807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45807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45807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45807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45807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45807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45807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45807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45807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45807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45807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45807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50160-2020</t>
        </is>
      </c>
      <c r="B37" s="1" t="n">
        <v>44109</v>
      </c>
      <c r="C37" s="1" t="n">
        <v>45807</v>
      </c>
      <c r="D37" t="inlineStr">
        <is>
          <t>GÄVLEBORGS LÄN</t>
        </is>
      </c>
      <c r="E37" t="inlineStr">
        <is>
          <t>HUDIKSVALL</t>
        </is>
      </c>
      <c r="G37" t="n">
        <v>1.8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Gammelgransskål
Garnlav
Bollvitmossa
Revlummer</t>
        </is>
      </c>
      <c r="S37">
        <f>HYPERLINK("https://klasma.github.io/Logging_2184/artfynd/A 50160-2020 artfynd.xlsx", "A 50160-2020")</f>
        <v/>
      </c>
      <c r="T37">
        <f>HYPERLINK("https://klasma.github.io/Logging_2184/kartor/A 50160-2020 karta.png", "A 50160-2020")</f>
        <v/>
      </c>
      <c r="V37">
        <f>HYPERLINK("https://klasma.github.io/Logging_2184/klagomål/A 50160-2020 FSC-klagomål.docx", "A 50160-2020")</f>
        <v/>
      </c>
      <c r="W37">
        <f>HYPERLINK("https://klasma.github.io/Logging_2184/klagomålsmail/A 50160-2020 FSC-klagomål mail.docx", "A 50160-2020")</f>
        <v/>
      </c>
      <c r="X37">
        <f>HYPERLINK("https://klasma.github.io/Logging_2184/tillsyn/A 50160-2020 tillsynsbegäran.docx", "A 50160-2020")</f>
        <v/>
      </c>
      <c r="Y37">
        <f>HYPERLINK("https://klasma.github.io/Logging_2184/tillsynsmail/A 50160-2020 tillsynsbegäran mail.docx", "A 50160-2020")</f>
        <v/>
      </c>
    </row>
    <row r="38" ht="15" customHeight="1">
      <c r="A38" t="inlineStr">
        <is>
          <t>A 10969-2022</t>
        </is>
      </c>
      <c r="B38" s="1" t="n">
        <v>44628</v>
      </c>
      <c r="C38" s="1" t="n">
        <v>45807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Bollvitmossa
Revlummer</t>
        </is>
      </c>
      <c r="S38">
        <f>HYPERLINK("https://klasma.github.io/Logging_2184/artfynd/A 10969-2022 artfynd.xlsx", "A 10969-2022")</f>
        <v/>
      </c>
      <c r="T38">
        <f>HYPERLINK("https://klasma.github.io/Logging_2184/kartor/A 10969-2022 karta.png", "A 10969-2022")</f>
        <v/>
      </c>
      <c r="V38">
        <f>HYPERLINK("https://klasma.github.io/Logging_2184/klagomål/A 10969-2022 FSC-klagomål.docx", "A 10969-2022")</f>
        <v/>
      </c>
      <c r="W38">
        <f>HYPERLINK("https://klasma.github.io/Logging_2184/klagomålsmail/A 10969-2022 FSC-klagomål mail.docx", "A 10969-2022")</f>
        <v/>
      </c>
      <c r="X38">
        <f>HYPERLINK("https://klasma.github.io/Logging_2184/tillsyn/A 10969-2022 tillsynsbegäran.docx", "A 10969-2022")</f>
        <v/>
      </c>
      <c r="Y38">
        <f>HYPERLINK("https://klasma.github.io/Logging_2184/tillsynsmail/A 10969-2022 tillsynsbegäran mail.docx", "A 10969-2022")</f>
        <v/>
      </c>
    </row>
    <row r="39" ht="15" customHeight="1">
      <c r="A39" t="inlineStr">
        <is>
          <t>A 18883-2022</t>
        </is>
      </c>
      <c r="B39" s="1" t="n">
        <v>44690</v>
      </c>
      <c r="C39" s="1" t="n">
        <v>45807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10.4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Backruta
Ögonpyrola
Fläcknycklar
Gullviva</t>
        </is>
      </c>
      <c r="S39">
        <f>HYPERLINK("https://klasma.github.io/Logging_2184/artfynd/A 18883-2022 artfynd.xlsx", "A 18883-2022")</f>
        <v/>
      </c>
      <c r="T39">
        <f>HYPERLINK("https://klasma.github.io/Logging_2184/kartor/A 18883-2022 karta.png", "A 18883-2022")</f>
        <v/>
      </c>
      <c r="V39">
        <f>HYPERLINK("https://klasma.github.io/Logging_2184/klagomål/A 18883-2022 FSC-klagomål.docx", "A 18883-2022")</f>
        <v/>
      </c>
      <c r="W39">
        <f>HYPERLINK("https://klasma.github.io/Logging_2184/klagomålsmail/A 18883-2022 FSC-klagomål mail.docx", "A 18883-2022")</f>
        <v/>
      </c>
      <c r="X39">
        <f>HYPERLINK("https://klasma.github.io/Logging_2184/tillsyn/A 18883-2022 tillsynsbegäran.docx", "A 18883-2022")</f>
        <v/>
      </c>
      <c r="Y39">
        <f>HYPERLINK("https://klasma.github.io/Logging_2184/tillsynsmail/A 18883-2022 tillsynsbegäran mail.docx", "A 18883-2022")</f>
        <v/>
      </c>
    </row>
    <row r="40" ht="15" customHeight="1">
      <c r="A40" t="inlineStr">
        <is>
          <t>A 20560-2022</t>
        </is>
      </c>
      <c r="B40" s="1" t="n">
        <v>44700</v>
      </c>
      <c r="C40" s="1" t="n">
        <v>45807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4.1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Tibast
Ögonpyrola
Revlummer</t>
        </is>
      </c>
      <c r="S40">
        <f>HYPERLINK("https://klasma.github.io/Logging_2184/artfynd/A 20560-2022 artfynd.xlsx", "A 20560-2022")</f>
        <v/>
      </c>
      <c r="T40">
        <f>HYPERLINK("https://klasma.github.io/Logging_2184/kartor/A 20560-2022 karta.png", "A 20560-2022")</f>
        <v/>
      </c>
      <c r="V40">
        <f>HYPERLINK("https://klasma.github.io/Logging_2184/klagomål/A 20560-2022 FSC-klagomål.docx", "A 20560-2022")</f>
        <v/>
      </c>
      <c r="W40">
        <f>HYPERLINK("https://klasma.github.io/Logging_2184/klagomålsmail/A 20560-2022 FSC-klagomål mail.docx", "A 20560-2022")</f>
        <v/>
      </c>
      <c r="X40">
        <f>HYPERLINK("https://klasma.github.io/Logging_2184/tillsyn/A 20560-2022 tillsynsbegäran.docx", "A 20560-2022")</f>
        <v/>
      </c>
      <c r="Y40">
        <f>HYPERLINK("https://klasma.github.io/Logging_2184/tillsynsmail/A 20560-2022 tillsynsbegäran mail.docx", "A 20560-2022")</f>
        <v/>
      </c>
    </row>
    <row r="41" ht="15" customHeight="1">
      <c r="A41" t="inlineStr">
        <is>
          <t>A 45153-2023</t>
        </is>
      </c>
      <c r="B41" s="1" t="n">
        <v>45191</v>
      </c>
      <c r="C41" s="1" t="n">
        <v>45807</v>
      </c>
      <c r="D41" t="inlineStr">
        <is>
          <t>GÄVLEBORGS LÄN</t>
        </is>
      </c>
      <c r="E41" t="inlineStr">
        <is>
          <t>HUDIKSVALL</t>
        </is>
      </c>
      <c r="G41" t="n">
        <v>0.6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Rödgul trumpetsvamp
Tibast
Sparvuggla
Skogsödla</t>
        </is>
      </c>
      <c r="S41">
        <f>HYPERLINK("https://klasma.github.io/Logging_2184/artfynd/A 45153-2023 artfynd.xlsx", "A 45153-2023")</f>
        <v/>
      </c>
      <c r="T41">
        <f>HYPERLINK("https://klasma.github.io/Logging_2184/kartor/A 45153-2023 karta.png", "A 45153-2023")</f>
        <v/>
      </c>
      <c r="V41">
        <f>HYPERLINK("https://klasma.github.io/Logging_2184/klagomål/A 45153-2023 FSC-klagomål.docx", "A 45153-2023")</f>
        <v/>
      </c>
      <c r="W41">
        <f>HYPERLINK("https://klasma.github.io/Logging_2184/klagomålsmail/A 45153-2023 FSC-klagomål mail.docx", "A 45153-2023")</f>
        <v/>
      </c>
      <c r="X41">
        <f>HYPERLINK("https://klasma.github.io/Logging_2184/tillsyn/A 45153-2023 tillsynsbegäran.docx", "A 45153-2023")</f>
        <v/>
      </c>
      <c r="Y41">
        <f>HYPERLINK("https://klasma.github.io/Logging_2184/tillsynsmail/A 45153-2023 tillsynsbegäran mail.docx", "A 45153-2023")</f>
        <v/>
      </c>
      <c r="Z41">
        <f>HYPERLINK("https://klasma.github.io/Logging_2184/fåglar/A 45153-2023 prioriterade fågelarter.docx", "A 45153-2023")</f>
        <v/>
      </c>
    </row>
    <row r="42" ht="15" customHeight="1">
      <c r="A42" t="inlineStr">
        <is>
          <t>A 50924-2023</t>
        </is>
      </c>
      <c r="B42" s="1" t="n">
        <v>45218</v>
      </c>
      <c r="C42" s="1" t="n">
        <v>45807</v>
      </c>
      <c r="D42" t="inlineStr">
        <is>
          <t>GÄVLEBORGS LÄN</t>
        </is>
      </c>
      <c r="E42" t="inlineStr">
        <is>
          <t>HUDIKSVALL</t>
        </is>
      </c>
      <c r="G42" t="n">
        <v>6.4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Skogshare
Nästlav
Fläcknycklar</t>
        </is>
      </c>
      <c r="S42">
        <f>HYPERLINK("https://klasma.github.io/Logging_2184/artfynd/A 50924-2023 artfynd.xlsx", "A 50924-2023")</f>
        <v/>
      </c>
      <c r="T42">
        <f>HYPERLINK("https://klasma.github.io/Logging_2184/kartor/A 50924-2023 karta.png", "A 50924-2023")</f>
        <v/>
      </c>
      <c r="V42">
        <f>HYPERLINK("https://klasma.github.io/Logging_2184/klagomål/A 50924-2023 FSC-klagomål.docx", "A 50924-2023")</f>
        <v/>
      </c>
      <c r="W42">
        <f>HYPERLINK("https://klasma.github.io/Logging_2184/klagomålsmail/A 50924-2023 FSC-klagomål mail.docx", "A 50924-2023")</f>
        <v/>
      </c>
      <c r="X42">
        <f>HYPERLINK("https://klasma.github.io/Logging_2184/tillsyn/A 50924-2023 tillsynsbegäran.docx", "A 50924-2023")</f>
        <v/>
      </c>
      <c r="Y42">
        <f>HYPERLINK("https://klasma.github.io/Logging_2184/tillsynsmail/A 50924-2023 tillsynsbegäran mail.docx", "A 50924-2023")</f>
        <v/>
      </c>
    </row>
    <row r="43" ht="15" customHeight="1">
      <c r="A43" t="inlineStr">
        <is>
          <t>A 21895-2019</t>
        </is>
      </c>
      <c r="B43" s="1" t="n">
        <v>43584</v>
      </c>
      <c r="C43" s="1" t="n">
        <v>45807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5.6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Blackticka
Knärot
Bågpraktmossa</t>
        </is>
      </c>
      <c r="S43">
        <f>HYPERLINK("https://klasma.github.io/Logging_2184/artfynd/A 21895-2019 artfynd.xlsx", "A 21895-2019")</f>
        <v/>
      </c>
      <c r="T43">
        <f>HYPERLINK("https://klasma.github.io/Logging_2184/kartor/A 21895-2019 karta.png", "A 21895-2019")</f>
        <v/>
      </c>
      <c r="U43">
        <f>HYPERLINK("https://klasma.github.io/Logging_2184/knärot/A 21895-2019 karta knärot.png", "A 21895-2019")</f>
        <v/>
      </c>
      <c r="V43">
        <f>HYPERLINK("https://klasma.github.io/Logging_2184/klagomål/A 21895-2019 FSC-klagomål.docx", "A 21895-2019")</f>
        <v/>
      </c>
      <c r="W43">
        <f>HYPERLINK("https://klasma.github.io/Logging_2184/klagomålsmail/A 21895-2019 FSC-klagomål mail.docx", "A 21895-2019")</f>
        <v/>
      </c>
      <c r="X43">
        <f>HYPERLINK("https://klasma.github.io/Logging_2184/tillsyn/A 21895-2019 tillsynsbegäran.docx", "A 21895-2019")</f>
        <v/>
      </c>
      <c r="Y43">
        <f>HYPERLINK("https://klasma.github.io/Logging_2184/tillsynsmail/A 21895-2019 tillsynsbegäran mail.docx", "A 21895-2019")</f>
        <v/>
      </c>
    </row>
    <row r="44" ht="15" customHeight="1">
      <c r="A44" t="inlineStr">
        <is>
          <t>A 56429-2020</t>
        </is>
      </c>
      <c r="B44" s="1" t="n">
        <v>44137</v>
      </c>
      <c r="C44" s="1" t="n">
        <v>45807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11.1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Bollvitmossa
Nästlav</t>
        </is>
      </c>
      <c r="S44">
        <f>HYPERLINK("https://klasma.github.io/Logging_2184/artfynd/A 56429-2020 artfynd.xlsx", "A 56429-2020")</f>
        <v/>
      </c>
      <c r="T44">
        <f>HYPERLINK("https://klasma.github.io/Logging_2184/kartor/A 56429-2020 karta.png", "A 56429-2020")</f>
        <v/>
      </c>
      <c r="V44">
        <f>HYPERLINK("https://klasma.github.io/Logging_2184/klagomål/A 56429-2020 FSC-klagomål.docx", "A 56429-2020")</f>
        <v/>
      </c>
      <c r="W44">
        <f>HYPERLINK("https://klasma.github.io/Logging_2184/klagomålsmail/A 56429-2020 FSC-klagomål mail.docx", "A 56429-2020")</f>
        <v/>
      </c>
      <c r="X44">
        <f>HYPERLINK("https://klasma.github.io/Logging_2184/tillsyn/A 56429-2020 tillsynsbegäran.docx", "A 56429-2020")</f>
        <v/>
      </c>
      <c r="Y44">
        <f>HYPERLINK("https://klasma.github.io/Logging_2184/tillsynsmail/A 56429-2020 tillsynsbegäran mail.docx", "A 56429-2020")</f>
        <v/>
      </c>
    </row>
    <row r="45" ht="15" customHeight="1">
      <c r="A45" t="inlineStr">
        <is>
          <t>A 49922-2021</t>
        </is>
      </c>
      <c r="B45" s="1" t="n">
        <v>44455</v>
      </c>
      <c r="C45" s="1" t="n">
        <v>45807</v>
      </c>
      <c r="D45" t="inlineStr">
        <is>
          <t>GÄVLEBORGS LÄN</t>
        </is>
      </c>
      <c r="E45" t="inlineStr">
        <is>
          <t>HUDIKSVALL</t>
        </is>
      </c>
      <c r="G45" t="n">
        <v>4.5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Kattfotslav
Korallblylav
Skinnlav</t>
        </is>
      </c>
      <c r="S45">
        <f>HYPERLINK("https://klasma.github.io/Logging_2184/artfynd/A 49922-2021 artfynd.xlsx", "A 49922-2021")</f>
        <v/>
      </c>
      <c r="T45">
        <f>HYPERLINK("https://klasma.github.io/Logging_2184/kartor/A 49922-2021 karta.png", "A 49922-2021")</f>
        <v/>
      </c>
      <c r="V45">
        <f>HYPERLINK("https://klasma.github.io/Logging_2184/klagomål/A 49922-2021 FSC-klagomål.docx", "A 49922-2021")</f>
        <v/>
      </c>
      <c r="W45">
        <f>HYPERLINK("https://klasma.github.io/Logging_2184/klagomålsmail/A 49922-2021 FSC-klagomål mail.docx", "A 49922-2021")</f>
        <v/>
      </c>
      <c r="X45">
        <f>HYPERLINK("https://klasma.github.io/Logging_2184/tillsyn/A 49922-2021 tillsynsbegäran.docx", "A 49922-2021")</f>
        <v/>
      </c>
      <c r="Y45">
        <f>HYPERLINK("https://klasma.github.io/Logging_2184/tillsynsmail/A 49922-2021 tillsynsbegäran mail.docx", "A 49922-2021")</f>
        <v/>
      </c>
    </row>
    <row r="46" ht="15" customHeight="1">
      <c r="A46" t="inlineStr">
        <is>
          <t>A 8446-2022</t>
        </is>
      </c>
      <c r="B46" s="1" t="n">
        <v>44612</v>
      </c>
      <c r="C46" s="1" t="n">
        <v>45807</v>
      </c>
      <c r="D46" t="inlineStr">
        <is>
          <t>GÄVLEBORGS LÄN</t>
        </is>
      </c>
      <c r="E46" t="inlineStr">
        <is>
          <t>HUDIKSVALL</t>
        </is>
      </c>
      <c r="G46" t="n">
        <v>5.4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Nattviol
Blåsippa</t>
        </is>
      </c>
      <c r="S46">
        <f>HYPERLINK("https://klasma.github.io/Logging_2184/artfynd/A 8446-2022 artfynd.xlsx", "A 8446-2022")</f>
        <v/>
      </c>
      <c r="T46">
        <f>HYPERLINK("https://klasma.github.io/Logging_2184/kartor/A 8446-2022 karta.png", "A 8446-2022")</f>
        <v/>
      </c>
      <c r="V46">
        <f>HYPERLINK("https://klasma.github.io/Logging_2184/klagomål/A 8446-2022 FSC-klagomål.docx", "A 8446-2022")</f>
        <v/>
      </c>
      <c r="W46">
        <f>HYPERLINK("https://klasma.github.io/Logging_2184/klagomålsmail/A 8446-2022 FSC-klagomål mail.docx", "A 8446-2022")</f>
        <v/>
      </c>
      <c r="X46">
        <f>HYPERLINK("https://klasma.github.io/Logging_2184/tillsyn/A 8446-2022 tillsynsbegäran.docx", "A 8446-2022")</f>
        <v/>
      </c>
      <c r="Y46">
        <f>HYPERLINK("https://klasma.github.io/Logging_2184/tillsynsmail/A 8446-2022 tillsynsbegäran mail.docx", "A 8446-2022")</f>
        <v/>
      </c>
    </row>
    <row r="47" ht="15" customHeight="1">
      <c r="A47" t="inlineStr">
        <is>
          <t>A 52399-2022</t>
        </is>
      </c>
      <c r="B47" s="1" t="n">
        <v>44874</v>
      </c>
      <c r="C47" s="1" t="n">
        <v>45807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Gammelgransskål
Garnlav</t>
        </is>
      </c>
      <c r="S47">
        <f>HYPERLINK("https://klasma.github.io/Logging_2184/artfynd/A 52399-2022 artfynd.xlsx", "A 52399-2022")</f>
        <v/>
      </c>
      <c r="T47">
        <f>HYPERLINK("https://klasma.github.io/Logging_2184/kartor/A 52399-2022 karta.png", "A 52399-2022")</f>
        <v/>
      </c>
      <c r="V47">
        <f>HYPERLINK("https://klasma.github.io/Logging_2184/klagomål/A 52399-2022 FSC-klagomål.docx", "A 52399-2022")</f>
        <v/>
      </c>
      <c r="W47">
        <f>HYPERLINK("https://klasma.github.io/Logging_2184/klagomålsmail/A 52399-2022 FSC-klagomål mail.docx", "A 52399-2022")</f>
        <v/>
      </c>
      <c r="X47">
        <f>HYPERLINK("https://klasma.github.io/Logging_2184/tillsyn/A 52399-2022 tillsynsbegäran.docx", "A 52399-2022")</f>
        <v/>
      </c>
      <c r="Y47">
        <f>HYPERLINK("https://klasma.github.io/Logging_2184/tillsynsmail/A 52399-2022 tillsynsbegäran mail.docx", "A 52399-2022")</f>
        <v/>
      </c>
    </row>
    <row r="48" ht="15" customHeight="1">
      <c r="A48" t="inlineStr">
        <is>
          <t>A 23246-2023</t>
        </is>
      </c>
      <c r="B48" s="1" t="n">
        <v>45075</v>
      </c>
      <c r="C48" s="1" t="n">
        <v>45807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7.2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Mörk kolflarnlav
Fläcknycklar</t>
        </is>
      </c>
      <c r="S48">
        <f>HYPERLINK("https://klasma.github.io/Logging_2184/artfynd/A 23246-2023 artfynd.xlsx", "A 23246-2023")</f>
        <v/>
      </c>
      <c r="T48">
        <f>HYPERLINK("https://klasma.github.io/Logging_2184/kartor/A 23246-2023 karta.png", "A 23246-2023")</f>
        <v/>
      </c>
      <c r="V48">
        <f>HYPERLINK("https://klasma.github.io/Logging_2184/klagomål/A 23246-2023 FSC-klagomål.docx", "A 23246-2023")</f>
        <v/>
      </c>
      <c r="W48">
        <f>HYPERLINK("https://klasma.github.io/Logging_2184/klagomålsmail/A 23246-2023 FSC-klagomål mail.docx", "A 23246-2023")</f>
        <v/>
      </c>
      <c r="X48">
        <f>HYPERLINK("https://klasma.github.io/Logging_2184/tillsyn/A 23246-2023 tillsynsbegäran.docx", "A 23246-2023")</f>
        <v/>
      </c>
      <c r="Y48">
        <f>HYPERLINK("https://klasma.github.io/Logging_2184/tillsynsmail/A 23246-2023 tillsynsbegäran mail.docx", "A 23246-2023")</f>
        <v/>
      </c>
    </row>
    <row r="49" ht="15" customHeight="1">
      <c r="A49" t="inlineStr">
        <is>
          <t>A 33783-2023</t>
        </is>
      </c>
      <c r="B49" s="1" t="n">
        <v>45133</v>
      </c>
      <c r="C49" s="1" t="n">
        <v>45807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2.6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HYPERLINK("https://klasma.github.io/Logging_2184/artfynd/A 33783-2023 artfynd.xlsx", "A 33783-2023")</f>
        <v/>
      </c>
      <c r="T49">
        <f>HYPERLINK("https://klasma.github.io/Logging_2184/kartor/A 33783-2023 karta.png", "A 33783-2023")</f>
        <v/>
      </c>
      <c r="V49">
        <f>HYPERLINK("https://klasma.github.io/Logging_2184/klagomål/A 33783-2023 FSC-klagomål.docx", "A 33783-2023")</f>
        <v/>
      </c>
      <c r="W49">
        <f>HYPERLINK("https://klasma.github.io/Logging_2184/klagomålsmail/A 33783-2023 FSC-klagomål mail.docx", "A 33783-2023")</f>
        <v/>
      </c>
      <c r="X49">
        <f>HYPERLINK("https://klasma.github.io/Logging_2184/tillsyn/A 33783-2023 tillsynsbegäran.docx", "A 33783-2023")</f>
        <v/>
      </c>
      <c r="Y49">
        <f>HYPERLINK("https://klasma.github.io/Logging_2184/tillsynsmail/A 33783-2023 tillsynsbegäran mail.docx", "A 33783-2023")</f>
        <v/>
      </c>
    </row>
    <row r="50" ht="15" customHeight="1">
      <c r="A50" t="inlineStr">
        <is>
          <t>A 36196-2023</t>
        </is>
      </c>
      <c r="B50" s="1" t="n">
        <v>45149</v>
      </c>
      <c r="C50" s="1" t="n">
        <v>45807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11.8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Ullticka</t>
        </is>
      </c>
      <c r="S50">
        <f>HYPERLINK("https://klasma.github.io/Logging_2184/artfynd/A 36196-2023 artfynd.xlsx", "A 36196-2023")</f>
        <v/>
      </c>
      <c r="T50">
        <f>HYPERLINK("https://klasma.github.io/Logging_2184/kartor/A 36196-2023 karta.png", "A 36196-2023")</f>
        <v/>
      </c>
      <c r="U50">
        <f>HYPERLINK("https://klasma.github.io/Logging_2184/knärot/A 36196-2023 karta knärot.png", "A 36196-2023")</f>
        <v/>
      </c>
      <c r="V50">
        <f>HYPERLINK("https://klasma.github.io/Logging_2184/klagomål/A 36196-2023 FSC-klagomål.docx", "A 36196-2023")</f>
        <v/>
      </c>
      <c r="W50">
        <f>HYPERLINK("https://klasma.github.io/Logging_2184/klagomålsmail/A 36196-2023 FSC-klagomål mail.docx", "A 36196-2023")</f>
        <v/>
      </c>
      <c r="X50">
        <f>HYPERLINK("https://klasma.github.io/Logging_2184/tillsyn/A 36196-2023 tillsynsbegäran.docx", "A 36196-2023")</f>
        <v/>
      </c>
      <c r="Y50">
        <f>HYPERLINK("https://klasma.github.io/Logging_2184/tillsynsmail/A 36196-2023 tillsynsbegäran mail.docx", "A 36196-2023")</f>
        <v/>
      </c>
    </row>
    <row r="51" ht="15" customHeight="1">
      <c r="A51" t="inlineStr">
        <is>
          <t>A 12843-2024</t>
        </is>
      </c>
      <c r="B51" s="1" t="n">
        <v>45384</v>
      </c>
      <c r="C51" s="1" t="n">
        <v>45807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23.4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Spindelblomster
Fläcknycklar
Revlummer</t>
        </is>
      </c>
      <c r="S51">
        <f>HYPERLINK("https://klasma.github.io/Logging_2184/artfynd/A 12843-2024 artfynd.xlsx", "A 12843-2024")</f>
        <v/>
      </c>
      <c r="T51">
        <f>HYPERLINK("https://klasma.github.io/Logging_2184/kartor/A 12843-2024 karta.png", "A 12843-2024")</f>
        <v/>
      </c>
      <c r="V51">
        <f>HYPERLINK("https://klasma.github.io/Logging_2184/klagomål/A 12843-2024 FSC-klagomål.docx", "A 12843-2024")</f>
        <v/>
      </c>
      <c r="W51">
        <f>HYPERLINK("https://klasma.github.io/Logging_2184/klagomålsmail/A 12843-2024 FSC-klagomål mail.docx", "A 12843-2024")</f>
        <v/>
      </c>
      <c r="X51">
        <f>HYPERLINK("https://klasma.github.io/Logging_2184/tillsyn/A 12843-2024 tillsynsbegäran.docx", "A 12843-2024")</f>
        <v/>
      </c>
      <c r="Y51">
        <f>HYPERLINK("https://klasma.github.io/Logging_2184/tillsynsmail/A 12843-2024 tillsynsbegäran mail.docx", "A 12843-2024")</f>
        <v/>
      </c>
    </row>
    <row r="52" ht="15" customHeight="1">
      <c r="A52" t="inlineStr">
        <is>
          <t>A 25648-2024</t>
        </is>
      </c>
      <c r="B52" s="1" t="n">
        <v>45463</v>
      </c>
      <c r="C52" s="1" t="n">
        <v>45807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4.7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HYPERLINK("https://klasma.github.io/Logging_2184/artfynd/A 25648-2024 artfynd.xlsx", "A 25648-2024")</f>
        <v/>
      </c>
      <c r="T52">
        <f>HYPERLINK("https://klasma.github.io/Logging_2184/kartor/A 25648-2024 karta.png", "A 25648-2024")</f>
        <v/>
      </c>
      <c r="V52">
        <f>HYPERLINK("https://klasma.github.io/Logging_2184/klagomål/A 25648-2024 FSC-klagomål.docx", "A 25648-2024")</f>
        <v/>
      </c>
      <c r="W52">
        <f>HYPERLINK("https://klasma.github.io/Logging_2184/klagomålsmail/A 25648-2024 FSC-klagomål mail.docx", "A 25648-2024")</f>
        <v/>
      </c>
      <c r="X52">
        <f>HYPERLINK("https://klasma.github.io/Logging_2184/tillsyn/A 25648-2024 tillsynsbegäran.docx", "A 25648-2024")</f>
        <v/>
      </c>
      <c r="Y52">
        <f>HYPERLINK("https://klasma.github.io/Logging_2184/tillsynsmail/A 25648-2024 tillsynsbegäran mail.docx", "A 25648-2024")</f>
        <v/>
      </c>
      <c r="Z52">
        <f>HYPERLINK("https://klasma.github.io/Logging_2184/fåglar/A 25648-2024 prioriterade fågelarter.docx", "A 25648-2024")</f>
        <v/>
      </c>
    </row>
    <row r="53" ht="15" customHeight="1">
      <c r="A53" t="inlineStr">
        <is>
          <t>A 28268-2024</t>
        </is>
      </c>
      <c r="B53" s="1" t="n">
        <v>45477</v>
      </c>
      <c r="C53" s="1" t="n">
        <v>45807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Korallblylav
Skinnlav</t>
        </is>
      </c>
      <c r="S53">
        <f>HYPERLINK("https://klasma.github.io/Logging_2184/artfynd/A 28268-2024 artfynd.xlsx", "A 28268-2024")</f>
        <v/>
      </c>
      <c r="T53">
        <f>HYPERLINK("https://klasma.github.io/Logging_2184/kartor/A 28268-2024 karta.png", "A 28268-2024")</f>
        <v/>
      </c>
      <c r="V53">
        <f>HYPERLINK("https://klasma.github.io/Logging_2184/klagomål/A 28268-2024 FSC-klagomål.docx", "A 28268-2024")</f>
        <v/>
      </c>
      <c r="W53">
        <f>HYPERLINK("https://klasma.github.io/Logging_2184/klagomålsmail/A 28268-2024 FSC-klagomål mail.docx", "A 28268-2024")</f>
        <v/>
      </c>
      <c r="X53">
        <f>HYPERLINK("https://klasma.github.io/Logging_2184/tillsyn/A 28268-2024 tillsynsbegäran.docx", "A 28268-2024")</f>
        <v/>
      </c>
      <c r="Y53">
        <f>HYPERLINK("https://klasma.github.io/Logging_2184/tillsynsmail/A 28268-2024 tillsynsbegäran mail.docx", "A 28268-2024")</f>
        <v/>
      </c>
    </row>
    <row r="54" ht="15" customHeight="1">
      <c r="A54" t="inlineStr">
        <is>
          <t>A 58326-2024</t>
        </is>
      </c>
      <c r="B54" s="1" t="n">
        <v>45632</v>
      </c>
      <c r="C54" s="1" t="n">
        <v>45807</v>
      </c>
      <c r="D54" t="inlineStr">
        <is>
          <t>GÄVLEBORGS LÄN</t>
        </is>
      </c>
      <c r="E54" t="inlineStr">
        <is>
          <t>HUDIKSVALL</t>
        </is>
      </c>
      <c r="G54" t="n">
        <v>1.7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Knärot
Rynkskinn
Ullticka</t>
        </is>
      </c>
      <c r="S54">
        <f>HYPERLINK("https://klasma.github.io/Logging_2184/artfynd/A 58326-2024 artfynd.xlsx", "A 58326-2024")</f>
        <v/>
      </c>
      <c r="T54">
        <f>HYPERLINK("https://klasma.github.io/Logging_2184/kartor/A 58326-2024 karta.png", "A 58326-2024")</f>
        <v/>
      </c>
      <c r="U54">
        <f>HYPERLINK("https://klasma.github.io/Logging_2184/knärot/A 58326-2024 karta knärot.png", "A 58326-2024")</f>
        <v/>
      </c>
      <c r="V54">
        <f>HYPERLINK("https://klasma.github.io/Logging_2184/klagomål/A 58326-2024 FSC-klagomål.docx", "A 58326-2024")</f>
        <v/>
      </c>
      <c r="W54">
        <f>HYPERLINK("https://klasma.github.io/Logging_2184/klagomålsmail/A 58326-2024 FSC-klagomål mail.docx", "A 58326-2024")</f>
        <v/>
      </c>
      <c r="X54">
        <f>HYPERLINK("https://klasma.github.io/Logging_2184/tillsyn/A 58326-2024 tillsynsbegäran.docx", "A 58326-2024")</f>
        <v/>
      </c>
      <c r="Y54">
        <f>HYPERLINK("https://klasma.github.io/Logging_2184/tillsynsmail/A 58326-2024 tillsynsbegäran mail.docx", "A 58326-2024")</f>
        <v/>
      </c>
    </row>
    <row r="55" ht="15" customHeight="1">
      <c r="A55" t="inlineStr">
        <is>
          <t>A 2846-2025</t>
        </is>
      </c>
      <c r="B55" s="1" t="n">
        <v>45677</v>
      </c>
      <c r="C55" s="1" t="n">
        <v>45807</v>
      </c>
      <c r="D55" t="inlineStr">
        <is>
          <t>GÄVLEBORGS LÄN</t>
        </is>
      </c>
      <c r="E55" t="inlineStr">
        <is>
          <t>HUDIKSVALL</t>
        </is>
      </c>
      <c r="G55" t="n">
        <v>2.7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Blanksvart spiklav
Ullticka
Vitplätt</t>
        </is>
      </c>
      <c r="S55">
        <f>HYPERLINK("https://klasma.github.io/Logging_2184/artfynd/A 2846-2025 artfynd.xlsx", "A 2846-2025")</f>
        <v/>
      </c>
      <c r="T55">
        <f>HYPERLINK("https://klasma.github.io/Logging_2184/kartor/A 2846-2025 karta.png", "A 2846-2025")</f>
        <v/>
      </c>
      <c r="V55">
        <f>HYPERLINK("https://klasma.github.io/Logging_2184/klagomål/A 2846-2025 FSC-klagomål.docx", "A 2846-2025")</f>
        <v/>
      </c>
      <c r="W55">
        <f>HYPERLINK("https://klasma.github.io/Logging_2184/klagomålsmail/A 2846-2025 FSC-klagomål mail.docx", "A 2846-2025")</f>
        <v/>
      </c>
      <c r="X55">
        <f>HYPERLINK("https://klasma.github.io/Logging_2184/tillsyn/A 2846-2025 tillsynsbegäran.docx", "A 2846-2025")</f>
        <v/>
      </c>
      <c r="Y55">
        <f>HYPERLINK("https://klasma.github.io/Logging_2184/tillsynsmail/A 2846-2025 tillsynsbegäran mail.docx", "A 2846-2025")</f>
        <v/>
      </c>
    </row>
    <row r="56" ht="15" customHeight="1">
      <c r="A56" t="inlineStr">
        <is>
          <t>A 13640-2025</t>
        </is>
      </c>
      <c r="B56" s="1" t="n">
        <v>45736</v>
      </c>
      <c r="C56" s="1" t="n">
        <v>45807</v>
      </c>
      <c r="D56" t="inlineStr">
        <is>
          <t>GÄVLEBORGS LÄN</t>
        </is>
      </c>
      <c r="E56" t="inlineStr">
        <is>
          <t>HUDIKSVALL</t>
        </is>
      </c>
      <c r="G56" t="n">
        <v>6.9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Fläcknycklar
Nattviol</t>
        </is>
      </c>
      <c r="S56">
        <f>HYPERLINK("https://klasma.github.io/Logging_212184/artfynd/A 13640-2025 artfynd.xlsx", "A 13640-2025")</f>
        <v/>
      </c>
      <c r="T56">
        <f>HYPERLINK("https://klasma.github.io/Logging_212184/kartor/A 13640-2025 karta.png", "A 13640-2025")</f>
        <v/>
      </c>
      <c r="V56">
        <f>HYPERLINK("https://klasma.github.io/Logging_212184/klagomål/A 13640-2025 FSC-klagomål.docx", "A 13640-2025")</f>
        <v/>
      </c>
      <c r="W56">
        <f>HYPERLINK("https://klasma.github.io/Logging_212184/klagomålsmail/A 13640-2025 FSC-klagomål mail.docx", "A 13640-2025")</f>
        <v/>
      </c>
      <c r="X56">
        <f>HYPERLINK("https://klasma.github.io/Logging_212184/tillsyn/A 13640-2025 tillsynsbegäran.docx", "A 13640-2025")</f>
        <v/>
      </c>
      <c r="Y56">
        <f>HYPERLINK("https://klasma.github.io/Logging_212184/tillsynsmail/A 13640-2025 tillsynsbegäran mail.docx", "A 13640-2025")</f>
        <v/>
      </c>
      <c r="Z56">
        <f>HYPERLINK("https://klasma.github.io/Logging_212184/fåglar/A 13640-2025 prioriterade fågelarter.docx", "A 13640-2025")</f>
        <v/>
      </c>
    </row>
    <row r="57" ht="15" customHeight="1">
      <c r="A57" t="inlineStr">
        <is>
          <t>A 33547-2019</t>
        </is>
      </c>
      <c r="B57" s="1" t="n">
        <v>43651</v>
      </c>
      <c r="C57" s="1" t="n">
        <v>45807</v>
      </c>
      <c r="D57" t="inlineStr">
        <is>
          <t>GÄVLEBORGS LÄN</t>
        </is>
      </c>
      <c r="E57" t="inlineStr">
        <is>
          <t>HUDIKSVALL</t>
        </is>
      </c>
      <c r="G57" t="n">
        <v>27.7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kärrhök
Kungsörn</t>
        </is>
      </c>
      <c r="S57">
        <f>HYPERLINK("https://klasma.github.io/Logging_2184/artfynd/A 33547-2019 artfynd.xlsx", "A 33547-2019")</f>
        <v/>
      </c>
      <c r="T57">
        <f>HYPERLINK("https://klasma.github.io/Logging_2184/kartor/A 33547-2019 karta.png", "A 33547-2019")</f>
        <v/>
      </c>
      <c r="V57">
        <f>HYPERLINK("https://klasma.github.io/Logging_2184/klagomål/A 33547-2019 FSC-klagomål.docx", "A 33547-2019")</f>
        <v/>
      </c>
      <c r="W57">
        <f>HYPERLINK("https://klasma.github.io/Logging_2184/klagomålsmail/A 33547-2019 FSC-klagomål mail.docx", "A 33547-2019")</f>
        <v/>
      </c>
      <c r="X57">
        <f>HYPERLINK("https://klasma.github.io/Logging_2184/tillsyn/A 33547-2019 tillsynsbegäran.docx", "A 33547-2019")</f>
        <v/>
      </c>
      <c r="Y57">
        <f>HYPERLINK("https://klasma.github.io/Logging_2184/tillsynsmail/A 33547-2019 tillsynsbegäran mail.docx", "A 33547-2019")</f>
        <v/>
      </c>
      <c r="Z57">
        <f>HYPERLINK("https://klasma.github.io/Logging_2184/fåglar/A 33547-2019 prioriterade fågelarter.docx", "A 33547-2019")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45807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45807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45807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45807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45807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45807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45807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45807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45807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45807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45807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45807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45807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45807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45807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45807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45807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45807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45807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45807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45807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45807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45807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45807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45807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45807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45807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45807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45807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45807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45807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45807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45807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45807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45807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45807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45807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45807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45807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45807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45807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45807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45807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45807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45807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45807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45807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45807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45807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45807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45807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45807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45807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45807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45807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45807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45807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45807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23732-2025</t>
        </is>
      </c>
      <c r="B116" s="1" t="n">
        <v>45793</v>
      </c>
      <c r="C116" s="1" t="n">
        <v>45807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11.9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HYPERLINK("https://klasma.github.io/Logging_212184/artfynd/A 23732-2025 artfynd.xlsx", "A 23732-2025")</f>
        <v/>
      </c>
      <c r="T116">
        <f>HYPERLINK("https://klasma.github.io/Logging_212184/kartor/A 23732-2025 karta.png", "A 23732-2025")</f>
        <v/>
      </c>
      <c r="V116">
        <f>HYPERLINK("https://klasma.github.io/Logging_212184/klagomål/A 23732-2025 FSC-klagomål.docx", "A 23732-2025")</f>
        <v/>
      </c>
      <c r="W116">
        <f>HYPERLINK("https://klasma.github.io/Logging_212184/klagomålsmail/A 23732-2025 FSC-klagomål mail.docx", "A 23732-2025")</f>
        <v/>
      </c>
      <c r="X116">
        <f>HYPERLINK("https://klasma.github.io/Logging_212184/tillsyn/A 23732-2025 tillsynsbegäran.docx", "A 23732-2025")</f>
        <v/>
      </c>
      <c r="Y116">
        <f>HYPERLINK("https://klasma.github.io/Logging_212184/tillsynsmail/A 23732-2025 tillsynsbegäran mail.docx", "A 23732-2025")</f>
        <v/>
      </c>
    </row>
    <row r="117" ht="15" customHeight="1">
      <c r="A117" t="inlineStr">
        <is>
          <t>A 23727-2025</t>
        </is>
      </c>
      <c r="B117" s="1" t="n">
        <v>45793</v>
      </c>
      <c r="C117" s="1" t="n">
        <v>45807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8.699999999999999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HYPERLINK("https://klasma.github.io/Logging_212184/artfynd/A 23727-2025 artfynd.xlsx", "A 23727-2025")</f>
        <v/>
      </c>
      <c r="T117">
        <f>HYPERLINK("https://klasma.github.io/Logging_212184/kartor/A 23727-2025 karta.png", "A 23727-2025")</f>
        <v/>
      </c>
      <c r="V117">
        <f>HYPERLINK("https://klasma.github.io/Logging_212184/klagomål/A 23727-2025 FSC-klagomål.docx", "A 23727-2025")</f>
        <v/>
      </c>
      <c r="W117">
        <f>HYPERLINK("https://klasma.github.io/Logging_212184/klagomålsmail/A 23727-2025 FSC-klagomål mail.docx", "A 23727-2025")</f>
        <v/>
      </c>
      <c r="X117">
        <f>HYPERLINK("https://klasma.github.io/Logging_212184/tillsyn/A 23727-2025 tillsynsbegäran.docx", "A 23727-2025")</f>
        <v/>
      </c>
      <c r="Y117">
        <f>HYPERLINK("https://klasma.github.io/Logging_212184/tillsynsmail/A 23727-2025 tillsynsbegäran mail.docx", "A 23727-2025")</f>
        <v/>
      </c>
      <c r="Z117">
        <f>HYPERLINK("https://klasma.github.io/Logging_212184/fåglar/A 23727-2025 prioriterade fågelarter.docx", "A 23727-2025")</f>
        <v/>
      </c>
    </row>
    <row r="118" ht="15" customHeight="1">
      <c r="A118" t="inlineStr">
        <is>
          <t>A 23729-2025</t>
        </is>
      </c>
      <c r="B118" s="1" t="n">
        <v>45793</v>
      </c>
      <c r="C118" s="1" t="n">
        <v>45807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HYPERLINK("https://klasma.github.io/Logging_212184/artfynd/A 23729-2025 artfynd.xlsx", "A 23729-2025")</f>
        <v/>
      </c>
      <c r="T118">
        <f>HYPERLINK("https://klasma.github.io/Logging_212184/kartor/A 23729-2025 karta.png", "A 23729-2025")</f>
        <v/>
      </c>
      <c r="V118">
        <f>HYPERLINK("https://klasma.github.io/Logging_212184/klagomål/A 23729-2025 FSC-klagomål.docx", "A 23729-2025")</f>
        <v/>
      </c>
      <c r="W118">
        <f>HYPERLINK("https://klasma.github.io/Logging_212184/klagomålsmail/A 23729-2025 FSC-klagomål mail.docx", "A 23729-2025")</f>
        <v/>
      </c>
      <c r="X118">
        <f>HYPERLINK("https://klasma.github.io/Logging_212184/tillsyn/A 23729-2025 tillsynsbegäran.docx", "A 23729-2025")</f>
        <v/>
      </c>
      <c r="Y118">
        <f>HYPERLINK("https://klasma.github.io/Logging_212184/tillsynsmail/A 23729-2025 tillsynsbegäran mail.docx", "A 23729-2025")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45807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45807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45807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45807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45807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45807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45807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45807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45807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45807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45807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45807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45807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45807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45807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45807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45807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45807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45807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45807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45807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45807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45807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45807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45807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45807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45807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45807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45807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45807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45807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45807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45807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45807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45807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45807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45807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45807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45807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45807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45807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45807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45807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45807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45807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45807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45807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45807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45807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45807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45807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45807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45807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45807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45807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45807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45807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45807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45807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45807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45807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45807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45807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45807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45807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45807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45807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45807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45807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45807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45807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45807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45807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45807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45807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45807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45807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45807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45807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45807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45807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45807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45807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45807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45807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45807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45807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45807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45807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45807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45807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45807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45807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45807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45807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45807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45807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45807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45807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45807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45807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45807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45807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45807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45807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45807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45807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45807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45807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45807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45807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45807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45807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45807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45807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45807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45807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45807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45807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45807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45807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45807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45807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45807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45807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45807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45807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45807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45807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45807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45807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45807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45807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45807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45807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45807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45807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45807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45807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45807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45807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45807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45807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45807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45807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45807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45807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45807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45807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45807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45807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45807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45807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45807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45807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45807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45807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45807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45807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45807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45807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45807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45807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45807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45807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45807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45807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45807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45807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45807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45807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45807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45807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45807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45807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45807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45807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45807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45807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45807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45807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45807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45807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45807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45807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45807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45807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45807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45807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45807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45807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45807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45807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45807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45807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45807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45807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45807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45807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45807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45807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45807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45807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45807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45807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45807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45807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45807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45807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45807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45807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45807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45807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45807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45807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45807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45807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45807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45807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45807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45807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45807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45807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45807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45807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45807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45807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45807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45807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45807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45807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45807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45807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45807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45807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45807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45807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45807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45807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45807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45807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45807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45807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45807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45807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45807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45807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45807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45807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45807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45807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45807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45807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45807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45807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45807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45807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45807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45807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45807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45807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45807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45807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45807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45807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45807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45807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45807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45807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45807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45807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45807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45807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45807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45807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45807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45807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45807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45807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45807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45807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45807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45807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45807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45807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45807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45807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45807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45807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45807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45807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45807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45807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45807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45807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45807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45807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45807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45807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45807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45807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45807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45807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45807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45807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45807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45807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45807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45807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45807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45807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45807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45807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45807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45807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45807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45807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45807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45807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45807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45807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45807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45807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45807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45807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45807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45807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45807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45807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45807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45807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45807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45807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45807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45807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45807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45807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45807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45807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45807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45807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45807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45807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45807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45807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45807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45807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45807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45807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45807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45807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45807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45807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45807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45807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45807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45807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45807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45807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45807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45807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45807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45807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45807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45807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45807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45807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45807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45807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45807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45807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45807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45807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45807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45807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45807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45807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45807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45807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45807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45807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45807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45807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45807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45807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45807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45807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45807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45807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45807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45807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45807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45807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45807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45807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45807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45807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45807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45807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45807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45807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45807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45807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45807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45807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45807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45807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45807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45807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45807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45807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45807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45807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45807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45807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45807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45807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45807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45807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45807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45807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45807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45807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45807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45807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45807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45807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45807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45807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45807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45807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45807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45807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45807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45807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45807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45807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45807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45807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45807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45807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45807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45807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45807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45807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45807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45807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45807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45807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45807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45807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45807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45807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45807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45807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45807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45807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45807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45807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45807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45807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45807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45807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45807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45807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45807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45807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45807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45807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45807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45807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45807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45807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45807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45807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45807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45807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45807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45807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45807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45807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45807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45807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45807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45807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45807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45807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45807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45807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45807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45807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45807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45807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45807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45807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45807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45807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45807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45807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45807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45807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45807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45807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45807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45807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45807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45807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45807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45807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45807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45807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45807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45807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45807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45807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45807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45807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45807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45807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45807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45807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45807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45807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45807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45807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45807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45807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45807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45807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45807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45807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45807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45807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45807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45807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45807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45807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45807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45807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45807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45807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45807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45807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45807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45807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45807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45807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45807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45807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45807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45807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45807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45807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45807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45807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45807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45807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45807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45807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45807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45807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45807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45807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45807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45807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45807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45807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45807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45807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45807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45807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45807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45807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45807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45807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45807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45807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45807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45807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45807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45807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45807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45807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45807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45807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45807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45807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45807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45807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45807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45807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45807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45807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45807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45807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45807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45807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45807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45807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45807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45807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45807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45807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45807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45807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45807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45807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45807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45807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45807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45807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45807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45807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45807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45807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45807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45807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45807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45807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45807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45807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45807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45807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45807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45807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45807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45807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45807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45807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45807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45807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45807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45807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45807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45807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45807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45807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45807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45807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45807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45807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45807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45807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45807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45807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45807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45807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45807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45807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45807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45807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45807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45807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45807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45807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45807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45807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45807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45807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45807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45807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45807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45807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45807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45807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45807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45807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45807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45807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45807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45807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45807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45807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45807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45807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45807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45807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45807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45807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45807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45807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45807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45807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45807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45807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45807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45807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45807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45807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45807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45807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45807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45807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45807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45807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45807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45807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45807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45807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45807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45807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45807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45807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45807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45807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45807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45807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45807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45807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45807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45807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45807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45807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45807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45807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45807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45807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45807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45807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45807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45807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45807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45807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45807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45807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45807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45807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45807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45807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45807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45807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45807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45807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45807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45807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45807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45807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45807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45807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45807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45807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45807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45807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45807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45807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45807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45807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45807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45807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45807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45807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45807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45807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45807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45807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45807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45807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45807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45807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45807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45807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45807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45807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45807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45807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45807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45807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45807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45807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45807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45807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45807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45807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45807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45807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45807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45807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45807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45807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45807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45807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45807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45807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45807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45807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45807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45807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45807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45807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45807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45807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45807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45807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45807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45807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45807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45807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45807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45807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45807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45807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45807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45807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45807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45807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45807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45807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45807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45807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45807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45807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45807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45807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45807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45807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45807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45807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45807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45807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45807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45807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45807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45807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45807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45807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45807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45807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45807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45807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45807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45807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45807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45807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45807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45807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45807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45807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45807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45807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45807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45807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45807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45807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45807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45807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45807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45807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45807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45807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45807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45807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45807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45807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45807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45807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45807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45807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45807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45807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45807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45807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45807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45807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45807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45807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45807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45807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45807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45807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45807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45807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45807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45807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45807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45807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45807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45807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45807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45807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45807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45807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45807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45807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45807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45807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45807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45807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45807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45807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45807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45807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45807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45807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45807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45807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45807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45807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45807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45807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45807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45807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45807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45807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45807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45807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45807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45807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45807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45807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45807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45807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45807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45807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45807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45807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45807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45807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45807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45807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45807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45807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45807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45807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45807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45807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45807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45807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45807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45807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45807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45807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45807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45807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45807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45807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45807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45807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45807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45807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45807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45807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45807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45807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45807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45807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45807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45807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45807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45807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45807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45807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45807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45807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45807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45807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45807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45807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45807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45807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45807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45807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45807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45807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45807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45807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45807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45807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45807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45807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45807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45807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45807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45807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45807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45807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45807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45807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45807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45807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45807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45807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45807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45807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45807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45807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45807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45807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45807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45807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45807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45807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45807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45807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45807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45807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45807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45807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45807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45807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45807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45807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45807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45807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45807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45807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45807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45807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45807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45807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45807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45807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45807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45807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45807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45807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45807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45807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45807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45807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45807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45807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45807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45807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45807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45807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45807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45807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45807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45807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45807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45807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45807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45807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45807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45807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45807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45807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45807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45807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45807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45807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45807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45807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45807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45807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45807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45807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45807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45807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45807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45807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45807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45807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45807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45807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45807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45807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45807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45807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45807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45807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45807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45807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45807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45807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45807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45807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45807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45807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45807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45807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45807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45807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45807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45807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45807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45807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45807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45807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45807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45807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45807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45807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45807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45807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45807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45807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45807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45807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45807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45807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45807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45807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45807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45807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45807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45807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45807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45807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45807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45807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45807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45807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45807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45807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45807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45807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45807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45807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45807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45807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45807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45807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45807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45807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45807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45807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45807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45807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45807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45807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45807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45807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45807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45807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45807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45807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45807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45807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45807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45807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45807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45807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45807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45807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45807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45807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45807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45807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45807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45807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45807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45807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45807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45807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45807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45807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45807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45807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45807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45807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45807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45807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45807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45807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45807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45807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45807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45807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45807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45807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45807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45807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45807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45807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45807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45807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45807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45807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45807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45807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45807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45807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45807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45807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45807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45807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45807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45807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45807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45807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45807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45807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45807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45807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45807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45807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45807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45807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45807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45807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45807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45807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45807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45807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45807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45807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45807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45807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45807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45807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45807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45807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45807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45807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45807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45807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45807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45807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45807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45807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45807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45807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45807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45807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45807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45807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45807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45807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45807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45807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45807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45807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45807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45807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45807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45807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45807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45807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45807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45807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45807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45807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45807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45807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45807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45807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45807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45807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45807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45807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45807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45807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45807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45807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45807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45807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45807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45807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45807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45807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45807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45807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45807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45807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45807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45807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45807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45807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45807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45807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45807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45807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45807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45807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45807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45807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45807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45807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45807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45807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45807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45807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45807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45807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45807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45807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45807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45807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45807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45807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45807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45807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45807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45807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45807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45807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45807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45807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45807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45807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45807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45807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45807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45807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45807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45807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45807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45807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45807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45807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45807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45807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45807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45807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45807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45807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45807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45807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45807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45807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45807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45807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45807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45807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45807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45807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45807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45807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45807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45807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45807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45807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45807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45807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45807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45807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45807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45807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45807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45807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45807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45807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45807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45807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45807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45807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45807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45807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45807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45807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45807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45807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45807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45807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45807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45807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45807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45807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45807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45807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45807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45807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45807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45807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45807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45807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45807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45807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45807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45807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45807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45807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45807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45807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45807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45807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45807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45807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45807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45807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45807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45807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45807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45807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45807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45807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45807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45807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45807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45807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45807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45807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45807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45807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45807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45807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45807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45807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45807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45807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45807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45807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45807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45807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45807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45807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45807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45807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45807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45807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45807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45807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45807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45807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45807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45807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45807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45807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45807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45807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45807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45807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45807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45807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45807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45807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45807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45807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45807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45807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45807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45807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45807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45807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45807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45807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45807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45807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45807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45807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45807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45807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45807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45807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45807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45807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45807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45807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45807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45807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45807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45807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45807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45807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45807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45807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45807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45807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45807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45807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45807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45807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45807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45807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45807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45807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45807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45807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45807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45807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45807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45807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45807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45807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45807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45807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45807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45807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45807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45807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45807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45807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45807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45807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45807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45807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45807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45807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45807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45807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45807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45807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45807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45807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45807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45807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45807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45807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45807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45807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45807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45807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45807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45807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45807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45807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45807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45807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45807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45807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45807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45807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45807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45807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45807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45807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45807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45807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45807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45807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45807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45807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45807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45807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45807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45807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45807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45807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45807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45807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45807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45807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45807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45807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45807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45807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45807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45807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45807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45807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45807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45807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45807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45807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45807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45807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45807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45807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45807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45807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45807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45807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45807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45807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45807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45807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45807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45807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45807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45807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45807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45807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45807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45807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45807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45807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45807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45807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45807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45807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45807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45807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45807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45807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45807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45807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45807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45807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45807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45807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45807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45807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45807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45807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45807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45807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45807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45807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45807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45807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45807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45807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45807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45807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45807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45807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45807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45807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45807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45807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45807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45807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45807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45807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45807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45807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45807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45807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45807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45807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45807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45807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45807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45807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45807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45807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45807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45807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45807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45807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45807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45807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45807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45807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45807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45807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45807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45807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45807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45807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45807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45807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45807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45807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45807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45807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45807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45807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45807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45807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45807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45807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45807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45807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45807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45807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45807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45807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45807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45807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45807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45807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45807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45807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45807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45807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45807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45807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45807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45807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45807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45807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45807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45807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45807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45807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45807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45807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45807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45807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45807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45807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45807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45807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45807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45807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45807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45807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45807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45807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45807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45807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45807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45807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45807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45807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45807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45807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45807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45807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45807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45807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45807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45807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45807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45807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45807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45807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45807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45807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45807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45807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45807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45807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45807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45807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45807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45807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45807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45807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45807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45807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45807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45807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45807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45807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45807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45807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45807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45807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45807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45807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45807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45807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45807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45807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45807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45807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45807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45807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45807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45807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45807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45807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45807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45807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45807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45807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45807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45807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45807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45807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45807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45807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45807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45807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45807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45807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45807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45807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45807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45807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45807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45807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45807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45807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45807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45807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45807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45807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45807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45807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45807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45807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45807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45807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45807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45807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45807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45807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45807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45807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45807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45807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45807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45807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45807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45807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45807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45807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45807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45807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45807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45807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45807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45807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45807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45807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45807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45807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45807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45807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45807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45807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45807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45807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45807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45807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45807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45807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45807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45807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45807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45807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45807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45807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45807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45807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45807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45807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45807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45807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45807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45807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45807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45807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45807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45807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45807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45807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45807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45807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45807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45807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45807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45807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45807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45807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45807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45807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45807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45807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45807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45807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45807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45807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45807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45807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45807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45807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45807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45807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45807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45807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45807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45807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45807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45807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45807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45807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45807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45807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45807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45807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45807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45807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45807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45807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45807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45807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45807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45807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45807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45807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45807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45807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45807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45807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45807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45807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45807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45807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45807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45807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45807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45807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45807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45807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45807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45807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45807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45807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45807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45807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45807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45807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45807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45807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45807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45807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45807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45807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45807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45807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45807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45807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45807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45807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45807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45807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45807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45807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45807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45807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45807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45807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45807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45807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45807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45807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45807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45807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45807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45807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45807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45807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45807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45807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45807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45807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45807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45807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45807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45807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45807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45807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45807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45807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45807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45807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45807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45807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45807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45807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45807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45807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45807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45807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45807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45807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45807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45807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45807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45807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45807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45807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45807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45807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45807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45807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45807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45807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45807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45807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45807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45807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45807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45807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45807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45807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45807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45807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45807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45807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45807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45807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45807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45807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45807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45807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45807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45807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45807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45807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45807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45807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45807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45807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45807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45807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45807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45807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45807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45807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45807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45807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45807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45807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45807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45807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45807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45807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45807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45807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45807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45807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45807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45807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45807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45807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45807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45807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45807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45807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45807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45807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45807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45807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45807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45807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45807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45807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45807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45807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45807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45807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45807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45807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45807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45807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45807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45807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45807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45807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45807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45807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45807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45807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45807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45807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45807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45807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45807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45807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45807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45807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45807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45807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45807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45807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45807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45807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45807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45807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45807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45807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45807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45807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45807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45807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45807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45807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45807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45807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45807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45807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45807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45807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45807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45807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45807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45807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45807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45807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45807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45807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45807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45807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45807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45807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45807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45807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45807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45807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45807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45807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45807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45807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45807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45807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45807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45807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45807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45807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45807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45807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45807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45807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45807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45807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45807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45807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45807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45807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45807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45807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45807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45807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45807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45807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45807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45807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45807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45807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45807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45807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45807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45807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45807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45807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45807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45807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45807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45807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45807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45807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45807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45807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45807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45807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45807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45807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45807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45807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45807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45807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45807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45807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45807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45807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45807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45807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45807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45807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45807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45807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45807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45807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45807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45807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45807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45807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45807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45807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45807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45807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45807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45807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45807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45807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45807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45807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45807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45807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45807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45807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45807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45807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45807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45807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45807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45807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45807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45807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45807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45807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45807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45807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45807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45807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45807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45807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45807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45807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45807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45807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45807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45807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45807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45807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45807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45807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45807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45807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45807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45807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45807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45807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45807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45807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45807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45807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45807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45807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45807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45807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45807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45807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45807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45807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45807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21369-2025</t>
        </is>
      </c>
      <c r="B2311" s="1" t="n">
        <v>45782</v>
      </c>
      <c r="C2311" s="1" t="n">
        <v>45807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26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21524-2025</t>
        </is>
      </c>
      <c r="B2312" s="1" t="n">
        <v>45782</v>
      </c>
      <c r="C2312" s="1" t="n">
        <v>45807</v>
      </c>
      <c r="D2312" t="inlineStr">
        <is>
          <t>GÄVLEBORGS LÄN</t>
        </is>
      </c>
      <c r="E2312" t="inlineStr">
        <is>
          <t>HUDIKSVALL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45807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45807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45807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45807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45807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45807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45807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45807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45807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45807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22600-2025</t>
        </is>
      </c>
      <c r="B2323" s="1" t="n">
        <v>45789</v>
      </c>
      <c r="C2323" s="1" t="n">
        <v>45807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22722-2025</t>
        </is>
      </c>
      <c r="B2324" s="1" t="n">
        <v>45789</v>
      </c>
      <c r="C2324" s="1" t="n">
        <v>45807</v>
      </c>
      <c r="D2324" t="inlineStr">
        <is>
          <t>GÄVLEBORGS LÄN</t>
        </is>
      </c>
      <c r="E2324" t="inlineStr">
        <is>
          <t>HUDIKSVALL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45807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22611-2025</t>
        </is>
      </c>
      <c r="B2326" s="1" t="n">
        <v>45789</v>
      </c>
      <c r="C2326" s="1" t="n">
        <v>45807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22832-2025</t>
        </is>
      </c>
      <c r="B2327" s="1" t="n">
        <v>45789</v>
      </c>
      <c r="C2327" s="1" t="n">
        <v>45807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82.3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45807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22903-2025</t>
        </is>
      </c>
      <c r="B2329" s="1" t="n">
        <v>45790</v>
      </c>
      <c r="C2329" s="1" t="n">
        <v>45807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22916-2025</t>
        </is>
      </c>
      <c r="B2330" s="1" t="n">
        <v>45790</v>
      </c>
      <c r="C2330" s="1" t="n">
        <v>45807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15.8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23014-2025</t>
        </is>
      </c>
      <c r="B2331" s="1" t="n">
        <v>45790</v>
      </c>
      <c r="C2331" s="1" t="n">
        <v>45807</v>
      </c>
      <c r="D2331" t="inlineStr">
        <is>
          <t>GÄVLEBORGS LÄN</t>
        </is>
      </c>
      <c r="E2331" t="inlineStr">
        <is>
          <t>HUDIKSVALL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22935-2025</t>
        </is>
      </c>
      <c r="B2332" s="1" t="n">
        <v>45790</v>
      </c>
      <c r="C2332" s="1" t="n">
        <v>45807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11.5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22859-2025</t>
        </is>
      </c>
      <c r="B2333" s="1" t="n">
        <v>45790</v>
      </c>
      <c r="C2333" s="1" t="n">
        <v>45807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  <c r="U2333">
        <f>HYPERLINK("https://klasma.github.io/Logging_212184/knärot/A 22859-2025 karta knärot.png", "A 22859-2025")</f>
        <v/>
      </c>
      <c r="V2333">
        <f>HYPERLINK("https://klasma.github.io/Logging_212184/klagomål/A 22859-2025 FSC-klagomål.docx", "A 22859-2025")</f>
        <v/>
      </c>
      <c r="W2333">
        <f>HYPERLINK("https://klasma.github.io/Logging_212184/klagomålsmail/A 22859-2025 FSC-klagomål mail.docx", "A 22859-2025")</f>
        <v/>
      </c>
      <c r="X2333">
        <f>HYPERLINK("https://klasma.github.io/Logging_212184/tillsyn/A 22859-2025 tillsynsbegäran.docx", "A 22859-2025")</f>
        <v/>
      </c>
      <c r="Y2333">
        <f>HYPERLINK("https://klasma.github.io/Logging_212184/tillsynsmail/A 22859-2025 tillsynsbegäran mail.docx", "A 22859-2025")</f>
        <v/>
      </c>
    </row>
    <row r="2334" ht="15" customHeight="1">
      <c r="A2334" t="inlineStr">
        <is>
          <t>A 23663-2025</t>
        </is>
      </c>
      <c r="B2334" s="1" t="n">
        <v>45792</v>
      </c>
      <c r="C2334" s="1" t="n">
        <v>45807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45807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24006-2025</t>
        </is>
      </c>
      <c r="B2336" s="1" t="n">
        <v>45796</v>
      </c>
      <c r="C2336" s="1" t="n">
        <v>45807</v>
      </c>
      <c r="D2336" t="inlineStr">
        <is>
          <t>GÄVLEBORGS LÄN</t>
        </is>
      </c>
      <c r="E2336" t="inlineStr">
        <is>
          <t>HUDIKSVALL</t>
        </is>
      </c>
      <c r="G2336" t="n">
        <v>4.6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24040-2025</t>
        </is>
      </c>
      <c r="B2337" s="1" t="n">
        <v>45796</v>
      </c>
      <c r="C2337" s="1" t="n">
        <v>45807</v>
      </c>
      <c r="D2337" t="inlineStr">
        <is>
          <t>GÄVLEBORGS LÄN</t>
        </is>
      </c>
      <c r="E2337" t="inlineStr">
        <is>
          <t>HUDIKSVALL</t>
        </is>
      </c>
      <c r="F2337" t="inlineStr">
        <is>
          <t>Holmen skog AB</t>
        </is>
      </c>
      <c r="G2337" t="n">
        <v>16.3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24382-2025</t>
        </is>
      </c>
      <c r="B2338" s="1" t="n">
        <v>45797</v>
      </c>
      <c r="C2338" s="1" t="n">
        <v>45807</v>
      </c>
      <c r="D2338" t="inlineStr">
        <is>
          <t>GÄVLEBORGS LÄN</t>
        </is>
      </c>
      <c r="E2338" t="inlineStr">
        <is>
          <t>HUDIKSVALL</t>
        </is>
      </c>
      <c r="G2338" t="n">
        <v>11.6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24241-2025</t>
        </is>
      </c>
      <c r="B2339" s="1" t="n">
        <v>45797</v>
      </c>
      <c r="C2339" s="1" t="n">
        <v>45807</v>
      </c>
      <c r="D2339" t="inlineStr">
        <is>
          <t>GÄVLEBORGS LÄN</t>
        </is>
      </c>
      <c r="E2339" t="inlineStr">
        <is>
          <t>HUDIKSVALL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24330-2025</t>
        </is>
      </c>
      <c r="B2340" s="1" t="n">
        <v>45797</v>
      </c>
      <c r="C2340" s="1" t="n">
        <v>45807</v>
      </c>
      <c r="D2340" t="inlineStr">
        <is>
          <t>GÄVLEBORGS LÄN</t>
        </is>
      </c>
      <c r="E2340" t="inlineStr">
        <is>
          <t>HUDIKSVALL</t>
        </is>
      </c>
      <c r="F2340" t="inlineStr">
        <is>
          <t>Kommuner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24239-2025</t>
        </is>
      </c>
      <c r="B2341" s="1" t="n">
        <v>45797</v>
      </c>
      <c r="C2341" s="1" t="n">
        <v>45807</v>
      </c>
      <c r="D2341" t="inlineStr">
        <is>
          <t>GÄVLEBORGS LÄN</t>
        </is>
      </c>
      <c r="E2341" t="inlineStr">
        <is>
          <t>HUDIKSVALL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45807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24370-2025</t>
        </is>
      </c>
      <c r="B2343" s="1" t="n">
        <v>45797</v>
      </c>
      <c r="C2343" s="1" t="n">
        <v>45807</v>
      </c>
      <c r="D2343" t="inlineStr">
        <is>
          <t>GÄVLEBORGS LÄN</t>
        </is>
      </c>
      <c r="E2343" t="inlineStr">
        <is>
          <t>HUDIKSVALL</t>
        </is>
      </c>
      <c r="F2343" t="inlineStr">
        <is>
          <t>Holmen skog AB</t>
        </is>
      </c>
      <c r="G2343" t="n">
        <v>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24320-2025</t>
        </is>
      </c>
      <c r="B2344" s="1" t="n">
        <v>45797</v>
      </c>
      <c r="C2344" s="1" t="n">
        <v>45807</v>
      </c>
      <c r="D2344" t="inlineStr">
        <is>
          <t>GÄVLEBORGS LÄN</t>
        </is>
      </c>
      <c r="E2344" t="inlineStr">
        <is>
          <t>HUDIKSVALL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24238-2025</t>
        </is>
      </c>
      <c r="B2345" s="1" t="n">
        <v>45797</v>
      </c>
      <c r="C2345" s="1" t="n">
        <v>45807</v>
      </c>
      <c r="D2345" t="inlineStr">
        <is>
          <t>GÄVLEBORGS LÄN</t>
        </is>
      </c>
      <c r="E2345" t="inlineStr">
        <is>
          <t>HUDIKSVALL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45807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24917-2025</t>
        </is>
      </c>
      <c r="B2347" s="1" t="n">
        <v>45799</v>
      </c>
      <c r="C2347" s="1" t="n">
        <v>45807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Sveaskog</t>
        </is>
      </c>
      <c r="G2347" t="n">
        <v>36.9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24942-2025</t>
        </is>
      </c>
      <c r="B2348" s="1" t="n">
        <v>45799</v>
      </c>
      <c r="C2348" s="1" t="n">
        <v>45807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Holmen skog AB</t>
        </is>
      </c>
      <c r="G2348" t="n">
        <v>33.5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24999-2025</t>
        </is>
      </c>
      <c r="B2349" s="1" t="n">
        <v>45799</v>
      </c>
      <c r="C2349" s="1" t="n">
        <v>45807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45807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25148-2025</t>
        </is>
      </c>
      <c r="B2351" s="1" t="n">
        <v>45800</v>
      </c>
      <c r="C2351" s="1" t="n">
        <v>45807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20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25844-2025</t>
        </is>
      </c>
      <c r="B2352" s="1" t="n">
        <v>45800</v>
      </c>
      <c r="C2352" s="1" t="n">
        <v>45807</v>
      </c>
      <c r="D2352" t="inlineStr">
        <is>
          <t>GÄVLEBORGS LÄN</t>
        </is>
      </c>
      <c r="E2352" t="inlineStr">
        <is>
          <t>HUDIKSVALL</t>
        </is>
      </c>
      <c r="G2352" t="n">
        <v>5.4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45807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25730-2025</t>
        </is>
      </c>
      <c r="B2354" s="1" t="n">
        <v>45803</v>
      </c>
      <c r="C2354" s="1" t="n">
        <v>45807</v>
      </c>
      <c r="D2354" t="inlineStr">
        <is>
          <t>GÄVLEBORGS LÄN</t>
        </is>
      </c>
      <c r="E2354" t="inlineStr">
        <is>
          <t>HUDIKSVALL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25673-2025</t>
        </is>
      </c>
      <c r="B2355" s="1" t="n">
        <v>45803</v>
      </c>
      <c r="C2355" s="1" t="n">
        <v>45807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25492-2025</t>
        </is>
      </c>
      <c r="B2356" s="1" t="n">
        <v>45803</v>
      </c>
      <c r="C2356" s="1" t="n">
        <v>45807</v>
      </c>
      <c r="D2356" t="inlineStr">
        <is>
          <t>GÄVLEBORGS LÄN</t>
        </is>
      </c>
      <c r="E2356" t="inlineStr">
        <is>
          <t>HUDIKSVALL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25497-2025</t>
        </is>
      </c>
      <c r="B2357" s="1" t="n">
        <v>45803</v>
      </c>
      <c r="C2357" s="1" t="n">
        <v>45807</v>
      </c>
      <c r="D2357" t="inlineStr">
        <is>
          <t>GÄVLEBORGS LÄN</t>
        </is>
      </c>
      <c r="E2357" t="inlineStr">
        <is>
          <t>HUDIKSVALL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25538-2025</t>
        </is>
      </c>
      <c r="B2358" s="1" t="n">
        <v>45803</v>
      </c>
      <c r="C2358" s="1" t="n">
        <v>45807</v>
      </c>
      <c r="D2358" t="inlineStr">
        <is>
          <t>GÄVLEBORGS LÄN</t>
        </is>
      </c>
      <c r="E2358" t="inlineStr">
        <is>
          <t>HUDIKSVALL</t>
        </is>
      </c>
      <c r="F2358" t="inlineStr">
        <is>
          <t>Holmen skog AB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25551-2025</t>
        </is>
      </c>
      <c r="B2359" s="1" t="n">
        <v>45803</v>
      </c>
      <c r="C2359" s="1" t="n">
        <v>45807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5.2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25503-2025</t>
        </is>
      </c>
      <c r="B2360" s="1" t="n">
        <v>45803</v>
      </c>
      <c r="C2360" s="1" t="n">
        <v>45807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25828-2025</t>
        </is>
      </c>
      <c r="B2361" s="1" t="n">
        <v>45804</v>
      </c>
      <c r="C2361" s="1" t="n">
        <v>45807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7.3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25750-2025</t>
        </is>
      </c>
      <c r="B2362" s="1" t="n">
        <v>45804</v>
      </c>
      <c r="C2362" s="1" t="n">
        <v>45807</v>
      </c>
      <c r="D2362" t="inlineStr">
        <is>
          <t>GÄVLEBORGS LÄN</t>
        </is>
      </c>
      <c r="E2362" t="inlineStr">
        <is>
          <t>HUDIKSVALL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25784-2025</t>
        </is>
      </c>
      <c r="B2363" s="1" t="n">
        <v>45804</v>
      </c>
      <c r="C2363" s="1" t="n">
        <v>45807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18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>
      <c r="A2364" t="inlineStr">
        <is>
          <t>A 26205-2025</t>
        </is>
      </c>
      <c r="B2364" s="1" t="n">
        <v>45805</v>
      </c>
      <c r="C2364" s="1" t="n">
        <v>45807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2025-05-30T17:44:45Z</dcterms:created>
  <dcterms:modified xmlns:dcterms="http://purl.org/dc/terms/" xmlns:xsi="http://www.w3.org/2001/XMLSchema-instance" xsi:type="dcterms:W3CDTF">2025-05-30T17:44:47Z</dcterms:modified>
</cp:coreProperties>
</file>