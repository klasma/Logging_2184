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45677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45677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45677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45677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45677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45677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45677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45677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45677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45677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45677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45677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45677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Tornseglare
Gråkråka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45677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45677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45677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45677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45677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45677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45677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58326-2024</t>
        </is>
      </c>
      <c r="B62" s="1" t="n">
        <v>45632</v>
      </c>
      <c r="C62" s="1" t="n">
        <v>45677</v>
      </c>
      <c r="D62" t="inlineStr">
        <is>
          <t>GÄVLEBORGS LÄN</t>
        </is>
      </c>
      <c r="E62" t="inlineStr">
        <is>
          <t>HUDIKSVALL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HYPERLINK("https://klasma.github.io/Logging_2184/artfynd/A 58326-2024 artfynd.xlsx", "A 58326-2024")</f>
        <v/>
      </c>
      <c r="T62">
        <f>HYPERLINK("https://klasma.github.io/Logging_2184/kartor/A 58326-2024 karta.png", "A 58326-2024")</f>
        <v/>
      </c>
      <c r="U62">
        <f>HYPERLINK("https://klasma.github.io/Logging_2184/knärot/A 58326-2024 karta knärot.png", "A 58326-2024")</f>
        <v/>
      </c>
      <c r="V62">
        <f>HYPERLINK("https://klasma.github.io/Logging_2184/klagomål/A 58326-2024 FSC-klagomål.docx", "A 58326-2024")</f>
        <v/>
      </c>
      <c r="W62">
        <f>HYPERLINK("https://klasma.github.io/Logging_2184/klagomålsmail/A 58326-2024 FSC-klagomål mail.docx", "A 58326-2024")</f>
        <v/>
      </c>
      <c r="X62">
        <f>HYPERLINK("https://klasma.github.io/Logging_2184/tillsyn/A 58326-2024 tillsynsbegäran.docx", "A 58326-2024")</f>
        <v/>
      </c>
      <c r="Y62">
        <f>HYPERLINK("https://klasma.github.io/Logging_2184/tillsynsmail/A 58326-2024 tillsynsbegäran mail.docx", "A 58326-2024")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45677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45677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45677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45677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45677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45677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45677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45677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45677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45677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45677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45677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45677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45677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45677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45677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52104-2022</t>
        </is>
      </c>
      <c r="B79" s="1" t="n">
        <v>44873</v>
      </c>
      <c r="C79" s="1" t="n">
        <v>45677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HYPERLINK("https://klasma.github.io/Logging_2184/artfynd/A 52104-2022 artfynd.xlsx", "A 52104-2022")</f>
        <v/>
      </c>
      <c r="T79">
        <f>HYPERLINK("https://klasma.github.io/Logging_2184/kartor/A 52104-2022 karta.png", "A 52104-2022")</f>
        <v/>
      </c>
      <c r="V79">
        <f>HYPERLINK("https://klasma.github.io/Logging_2184/klagomål/A 52104-2022 FSC-klagomål.docx", "A 52104-2022")</f>
        <v/>
      </c>
      <c r="W79">
        <f>HYPERLINK("https://klasma.github.io/Logging_2184/klagomålsmail/A 52104-2022 FSC-klagomål mail.docx", "A 52104-2022")</f>
        <v/>
      </c>
      <c r="X79">
        <f>HYPERLINK("https://klasma.github.io/Logging_2184/tillsyn/A 52104-2022 tillsynsbegäran.docx", "A 52104-2022")</f>
        <v/>
      </c>
      <c r="Y79">
        <f>HYPERLINK("https://klasma.github.io/Logging_2184/tillsynsmail/A 52104-2022 tillsynsbegäran mail.docx", "A 52104-2022")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45677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45677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45677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45677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45677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45677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45677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45677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45677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45677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45677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45677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45677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45677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45677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45677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45677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45677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45677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45677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45677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45677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45677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45677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45677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45677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45677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45677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45677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45677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45677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45677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45677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45677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45677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45677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45677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45677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45677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45677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45677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45677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45677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45677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45677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45677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45677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45677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45677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45677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45677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45677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45677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45677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45677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45677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45677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45677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45677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45677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45677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45677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45677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45677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45677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45677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45677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45677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45677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45677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45677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45677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45677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45677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45677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45677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45677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45677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45677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45677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45677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45677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45677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45677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45677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45677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45677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45677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45677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45677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45677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45677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45677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45677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45677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45677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45677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45677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45677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45677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45677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45677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45677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45677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45677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45677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45677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45677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45677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45677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45677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45677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45677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45677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45677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45677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45677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45677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45677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45677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45677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45677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45677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45677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45677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45677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45677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45677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45677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45677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45677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45677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45677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45677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45677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45677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45677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45677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45677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45677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45677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45677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45677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45677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45677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45677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45677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45677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45677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45677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45677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45677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45677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45677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45677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45677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45677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45677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45677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45677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45677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45677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45677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45677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45677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45677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45677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45677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45677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45677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45677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45677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45677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45677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45677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45677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45677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45677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45677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45677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45677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45677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45677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45677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45677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45677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45677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45677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45677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45677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45677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45677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45677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45677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45677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45677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45677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45677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45677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45677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45677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45677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45677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45677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45677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45677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45677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45677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45677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45677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45677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45677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45677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45677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45677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45677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45677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45677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45677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45677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45677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45677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45677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45677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45677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45677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45677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45677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45677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45677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45677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45677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45677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45677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45677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45677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45677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45677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45677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45677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45677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45677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45677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45677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45677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45677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45677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45677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45677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45677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45677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45677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45677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45677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45677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45677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45677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45677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45677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45677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45677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45677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45677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45677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45677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45677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45677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45677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45677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45677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45677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45677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45677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45677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45677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45677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45677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45677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45677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45677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45677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45677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45677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45677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45677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45677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45677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45677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45677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45677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45677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45677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45677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45677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45677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45677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45677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45677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45677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45677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45677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45677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45677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45677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45677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45677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45677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45677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45677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45677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45677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45677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45677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45677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45677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45677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45677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45677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45677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45677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45677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45677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45677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45677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45677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45677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45677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45677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45677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45677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45677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45677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45677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45677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45677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45677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45677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45677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45677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45677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45677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45677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45677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45677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45677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45677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45677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45677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45677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45677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45677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45677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45677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45677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45677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45677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45677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45677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45677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45677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45677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45677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45677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45677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45677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45677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45677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45677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45677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45677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45677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45677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45677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45677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45677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45677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45677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45677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45677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45677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45677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45677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45677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45677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45677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45677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45677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45677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45677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45677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45677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45677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45677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45677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45677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45677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45677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45677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45677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45677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45677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45677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45677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45677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45677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45677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45677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45677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45677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45677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45677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45677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45677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45677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45677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45677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45677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45677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45677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45677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45677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45677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45677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45677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45677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45677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45677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45677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45677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45677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45677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45677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45677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45677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45677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45677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45677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45677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45677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45677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45677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45677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45677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45677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45677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45677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45677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45677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45677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45677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45677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45677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45677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45677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45677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45677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45677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45677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45677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45677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45677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45677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45677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45677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45677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45677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45677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45677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45677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45677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45677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45677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45677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45677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45677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45677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45677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45677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45677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45677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45677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45677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45677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45677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45677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45677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45677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45677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45677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45677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45677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45677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45677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45677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45677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45677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45677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45677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45677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45677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45677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45677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45677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45677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45677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45677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45677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45677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45677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45677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45677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45677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45677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45677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45677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45677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45677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45677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45677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45677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45677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45677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45677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45677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45677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45677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45677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45677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45677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45677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45677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45677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45677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45677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45677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45677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45677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45677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45677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45677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45677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45677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45677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45677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45677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45677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45677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45677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45677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45677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45677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45677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45677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45677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45677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45677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45677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45677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45677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45677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45677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45677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45677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45677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45677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45677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45677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45677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45677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45677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45677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45677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45677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45677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45677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45677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45677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45677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45677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45677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45677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45677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45677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45677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45677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45677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45677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45677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45677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45677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45677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45677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45677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45677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45677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45677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45677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45677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45677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45677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45677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45677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45677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45677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45677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45677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45677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45677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45677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45677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45677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45677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45677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45677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45677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45677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45677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45677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45677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45677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45677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45677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45677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45677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45677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45677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45677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45677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45677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45677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45677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45677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45677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45677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45677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45677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45677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45677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45677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45677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45677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45677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45677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45677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45677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45677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45677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45677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45677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45677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45677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45677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45677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45677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45677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45677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45677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45677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45677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45677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45677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45677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45677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45677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45677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45677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45677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45677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45677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45677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45677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45677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45677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45677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45677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45677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45677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45677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45677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45677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45677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45677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45677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45677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45677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45677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45677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45677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45677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45677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45677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45677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45677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45677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45677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45677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45677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45677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45677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45677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45677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45677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45677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45677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45677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45677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45677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45677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45677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45677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45677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45677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45677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45677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45677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45677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45677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45677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45677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45677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45677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45677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45677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45677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45677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45677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45677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45677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45677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45677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45677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45677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45677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45677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45677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45677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45677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45677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45677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45677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45677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45677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45677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45677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45677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45677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45677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45677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45677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45677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45677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45677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45677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45677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45677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45677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45677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45677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45677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45677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45677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45677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45677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45677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45677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45677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45677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45677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45677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45677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45677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45677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45677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45677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45677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45677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45677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45677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45677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45677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45677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45677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45677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45677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45677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45677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45677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45677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45677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45677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45677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45677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45677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45677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45677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45677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45677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45677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45677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45677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45677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45677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45677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45677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45677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45677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45677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45677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45677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45677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45677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45677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45677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45677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45677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45677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45677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45677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45677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45677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45677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45677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45677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45677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45677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45677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45677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45677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45677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45677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45677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45677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45677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45677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45677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45677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45677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45677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45677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45677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45677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45677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45677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45677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45677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45677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45677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45677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45677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45677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45677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45677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45677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45677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45677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45677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45677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45677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45677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45677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45677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45677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45677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45677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45677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45677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45677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45677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45677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45677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45677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45677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45677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45677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45677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45677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45677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45677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45677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45677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45677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45677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45677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45677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45677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45677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45677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45677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45677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45677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45677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45677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45677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45677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45677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45677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45677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45677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45677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45677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45677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45677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45677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45677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45677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45677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45677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45677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45677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45677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45677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45677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45677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45677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45677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45677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45677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45677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45677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45677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45677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45677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45677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45677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45677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45677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45677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45677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45677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45677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45677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45677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45677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45677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45677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45677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45677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45677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45677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45677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45677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45677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45677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45677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45677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45677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45677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45677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45677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45677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45677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45677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45677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45677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45677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45677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45677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45677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45677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45677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45677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45677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45677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45677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45677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45677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45677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45677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45677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45677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45677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45677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45677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45677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45677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45677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45677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45677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45677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45677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45677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45677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45677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45677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45677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45677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45677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45677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45677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45677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45677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45677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45677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45677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45677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45677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45677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45677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45677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45677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45677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45677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45677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45677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45677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45677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45677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45677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45677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45677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45677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45677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45677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45677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45677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45677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45677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45677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45677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45677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45677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45677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45677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45677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45677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45677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45677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45677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45677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45677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45677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45677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45677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45677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45677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45677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45677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45677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45677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45677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45677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45677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45677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45677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45677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45677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45677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45677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45677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45677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45677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45677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45677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45677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45677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45677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45677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45677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45677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45677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45677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45677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45677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45677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45677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45677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45677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45677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45677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45677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45677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45677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45677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45677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45677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45677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45677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45677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45677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45677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45677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45677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45677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45677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45677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45677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45677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45677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45677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45677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45677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45677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45677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45677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45677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45677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45677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45677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45677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45677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45677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45677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45677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45677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45677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45677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45677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45677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45677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45677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45677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45677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45677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45677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45677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45677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45677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45677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45677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45677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45677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45677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45677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45677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45677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45677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45677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45677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45677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45677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45677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45677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45677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45677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45677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45677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45677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45677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45677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45677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45677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45677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45677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45677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45677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45677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45677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45677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45677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45677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45677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45677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45677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45677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45677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45677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45677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45677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45677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45677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45677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45677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45677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45677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45677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45677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45677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45677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45677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45677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45677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45677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45677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45677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45677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45677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45677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45677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45677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45677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45677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45677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45677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45677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45677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45677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45677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45677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45677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45677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45677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45677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45677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45677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45677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45677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45677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45677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45677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45677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45677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45677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45677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45677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45677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45677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45677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45677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45677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45677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45677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45677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45677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45677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45677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45677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45677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45677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45677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45677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45677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45677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45677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45677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45677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45677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45677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45677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45677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45677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45677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45677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45677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45677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45677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45677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45677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45677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45677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45677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45677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45677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45677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45677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45677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45677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45677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45677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45677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60777-2024</t>
        </is>
      </c>
      <c r="B2101" s="1" t="n">
        <v>45644</v>
      </c>
      <c r="C2101" s="1" t="n">
        <v>45677</v>
      </c>
      <c r="D2101" t="inlineStr">
        <is>
          <t>GÄVLEBORGS LÄN</t>
        </is>
      </c>
      <c r="E2101" t="inlineStr">
        <is>
          <t>HUDIKSVALL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45677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60835-2024</t>
        </is>
      </c>
      <c r="B2103" s="1" t="n">
        <v>45644</v>
      </c>
      <c r="C2103" s="1" t="n">
        <v>45677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60872-2024</t>
        </is>
      </c>
      <c r="B2104" s="1" t="n">
        <v>45644</v>
      </c>
      <c r="C2104" s="1" t="n">
        <v>45677</v>
      </c>
      <c r="D2104" t="inlineStr">
        <is>
          <t>GÄVLEBORGS LÄN</t>
        </is>
      </c>
      <c r="E2104" t="inlineStr">
        <is>
          <t>HUDIKSVALL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60901-2024</t>
        </is>
      </c>
      <c r="B2105" s="1" t="n">
        <v>45645</v>
      </c>
      <c r="C2105" s="1" t="n">
        <v>45677</v>
      </c>
      <c r="D2105" t="inlineStr">
        <is>
          <t>GÄVLEBORGS LÄN</t>
        </is>
      </c>
      <c r="E2105" t="inlineStr">
        <is>
          <t>HUDIKSVALL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60902-2024</t>
        </is>
      </c>
      <c r="B2106" s="1" t="n">
        <v>45645</v>
      </c>
      <c r="C2106" s="1" t="n">
        <v>45677</v>
      </c>
      <c r="D2106" t="inlineStr">
        <is>
          <t>GÄVLEBORGS LÄN</t>
        </is>
      </c>
      <c r="E2106" t="inlineStr">
        <is>
          <t>HUDIKSVALL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60942-2024</t>
        </is>
      </c>
      <c r="B2107" s="1" t="n">
        <v>45645</v>
      </c>
      <c r="C2107" s="1" t="n">
        <v>45677</v>
      </c>
      <c r="D2107" t="inlineStr">
        <is>
          <t>GÄVLEBORGS LÄN</t>
        </is>
      </c>
      <c r="E2107" t="inlineStr">
        <is>
          <t>HUDIKSVALL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45677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45677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45677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61579-2024</t>
        </is>
      </c>
      <c r="B2111" s="1" t="n">
        <v>45646</v>
      </c>
      <c r="C2111" s="1" t="n">
        <v>45677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45677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45677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61785-2024</t>
        </is>
      </c>
      <c r="B2114" s="1" t="n">
        <v>45649</v>
      </c>
      <c r="C2114" s="1" t="n">
        <v>45677</v>
      </c>
      <c r="D2114" t="inlineStr">
        <is>
          <t>GÄVLEBORGS LÄN</t>
        </is>
      </c>
      <c r="E2114" t="inlineStr">
        <is>
          <t>HUDIKSVALL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210-2025</t>
        </is>
      </c>
      <c r="B2115" s="1" t="n">
        <v>45660</v>
      </c>
      <c r="C2115" s="1" t="n">
        <v>45677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45677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45677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45677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450-2025</t>
        </is>
      </c>
      <c r="B2119" s="1" t="n">
        <v>45664</v>
      </c>
      <c r="C2119" s="1" t="n">
        <v>45677</v>
      </c>
      <c r="D2119" t="inlineStr">
        <is>
          <t>GÄVLEBORGS LÄN</t>
        </is>
      </c>
      <c r="E2119" t="inlineStr">
        <is>
          <t>HUDIKSVALL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45677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45677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45677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45677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45677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1468-2025</t>
        </is>
      </c>
      <c r="B2125" s="1" t="n">
        <v>45670</v>
      </c>
      <c r="C2125" s="1" t="n">
        <v>45677</v>
      </c>
      <c r="D2125" t="inlineStr">
        <is>
          <t>GÄVLEBORGS LÄN</t>
        </is>
      </c>
      <c r="E2125" t="inlineStr">
        <is>
          <t>HUDIKSVALL</t>
        </is>
      </c>
      <c r="G2125" t="n">
        <v>11.8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45677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45677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1832-2025</t>
        </is>
      </c>
      <c r="B2128" s="1" t="n">
        <v>45671</v>
      </c>
      <c r="C2128" s="1" t="n">
        <v>45677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45677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1887-2025</t>
        </is>
      </c>
      <c r="B2130" s="1" t="n">
        <v>45671</v>
      </c>
      <c r="C2130" s="1" t="n">
        <v>45677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2382-2025</t>
        </is>
      </c>
      <c r="B2131" s="1" t="n">
        <v>45674</v>
      </c>
      <c r="C2131" s="1" t="n">
        <v>45677</v>
      </c>
      <c r="D2131" t="inlineStr">
        <is>
          <t>GÄVLEBORGS LÄN</t>
        </is>
      </c>
      <c r="E2131" t="inlineStr">
        <is>
          <t>HUDIKSVALL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2381-2025</t>
        </is>
      </c>
      <c r="B2132" s="1" t="n">
        <v>45674</v>
      </c>
      <c r="C2132" s="1" t="n">
        <v>45677</v>
      </c>
      <c r="D2132" t="inlineStr">
        <is>
          <t>GÄVLEBORGS LÄN</t>
        </is>
      </c>
      <c r="E2132" t="inlineStr">
        <is>
          <t>HUDIKSVALL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45677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2662-2025</t>
        </is>
      </c>
      <c r="B2134" s="1" t="n">
        <v>45676</v>
      </c>
      <c r="C2134" s="1" t="n">
        <v>45677</v>
      </c>
      <c r="D2134" t="inlineStr">
        <is>
          <t>GÄVLEBORGS LÄN</t>
        </is>
      </c>
      <c r="E2134" t="inlineStr">
        <is>
          <t>HUDIKSVALL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>
      <c r="A2135" t="inlineStr">
        <is>
          <t>A 2663-2025</t>
        </is>
      </c>
      <c r="B2135" s="1" t="n">
        <v>45676</v>
      </c>
      <c r="C2135" s="1" t="n">
        <v>45677</v>
      </c>
      <c r="D2135" t="inlineStr">
        <is>
          <t>GÄVLEBORGS LÄN</t>
        </is>
      </c>
      <c r="E2135" t="inlineStr">
        <is>
          <t>HUDIKSVALL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2025-01-20T16:20:07Z</dcterms:created>
  <dcterms:modified xmlns:dcterms="http://purl.org/dc/terms/" xmlns:xsi="http://www.w3.org/2001/XMLSchema-instance" xsi:type="dcterms:W3CDTF">2025-01-20T16:20:09Z</dcterms:modified>
</cp:coreProperties>
</file>