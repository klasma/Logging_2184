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46256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46256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46256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46256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46256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46256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46256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46256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46256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46256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46256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46256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46256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46256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46256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46256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46256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46256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46256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46256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5500-2024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45334</v>
      </c>
      <c r="E37" s="1" t="n">
        <v>46256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5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Dropptaggsvamp
Mörk kolflarnlav
Rosenticka</t>
        </is>
      </c>
      <c r="W37">
        <f>HYPERLINK("https://klasma.github.io/Logging_2184/artfynd/A 5500-2024 artfynd.xlsx", "A 5500-2024")</f>
        <v/>
      </c>
      <c r="X37">
        <f>HYPERLINK("https://klasma.github.io/Logging_2184/kartor/A 5500-2024 karta.png", "A 5500-2024")</f>
        <v/>
      </c>
      <c r="Y37">
        <f>HYPERLINK("https://klasma.github.io/Logging_2184/kartor_geotiff/A 5500-2024 georefererad karta.tif", "A 5500-2024")</f>
        <v/>
      </c>
      <c r="AA37">
        <f>HYPERLINK("https://klasma.github.io/Logging_2184/klagomål/A 5500-2024 FSC-klagomål.docx", "A 5500-2024")</f>
        <v/>
      </c>
      <c r="AB37">
        <f>HYPERLINK("https://klasma.github.io/Logging_2184/klagomålsmail/A 5500-2024 FSC-klagomål mail.docx", "A 5500-2024")</f>
        <v/>
      </c>
      <c r="AC37">
        <f>HYPERLINK("https://klasma.github.io/Logging_2184/tillsyn/A 5500-2024 tillsynsbegäran.docx", "A 5500-2024")</f>
        <v/>
      </c>
      <c r="AD37">
        <f>HYPERLINK("https://klasma.github.io/Logging_2184/tillsynsmail/A 5500-2024 tillsynsbegäran mail.docx", "A 5500-2024")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46256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46256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8376-2026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46256</v>
      </c>
      <c r="F40" t="inlineStr">
        <is>
          <t>GÄVLEBORGS LÄN</t>
        </is>
      </c>
      <c r="G40" t="inlineStr">
        <is>
          <t>HUDIKSVALL</t>
        </is>
      </c>
      <c r="I40" t="n">
        <v>32.4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Ullticka
Skogsknipprot
Stor aspticka
Fläcknycklar</t>
        </is>
      </c>
      <c r="W40">
        <f>HYPERLINK("https://klasma.github.io/Logging_2184/artfynd/A 8376-2026 artfynd.xlsx", "A 8376-2026")</f>
        <v/>
      </c>
      <c r="X40">
        <f>HYPERLINK("https://klasma.github.io/Logging_2184/kartor/A 8376-2026 karta.png", "A 8376-2026")</f>
        <v/>
      </c>
      <c r="Y40">
        <f>HYPERLINK("https://klasma.github.io/Logging_2184/kartor_geotiff/A 8376-2026 georefererad karta.tif", "A 8376-2026")</f>
        <v/>
      </c>
      <c r="AA40">
        <f>HYPERLINK("https://klasma.github.io/Logging_2184/klagomål/A 8376-2026 FSC-klagomål.docx", "A 8376-2026")</f>
        <v/>
      </c>
      <c r="AB40">
        <f>HYPERLINK("https://klasma.github.io/Logging_2184/klagomålsmail/A 8376-2026 FSC-klagomål mail.docx", "A 8376-2026")</f>
        <v/>
      </c>
      <c r="AC40">
        <f>HYPERLINK("https://klasma.github.io/Logging_2184/tillsyn/A 8376-2026 tillsynsbegäran.docx", "A 8376-2026")</f>
        <v/>
      </c>
      <c r="AD40">
        <f>HYPERLINK("https://klasma.github.io/Logging_2184/tillsynsmail/A 8376-2026 tillsynsbegäran mail.docx", "A 8376-2026")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46256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46256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46256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46256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46256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46256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46256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46256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46256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46256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46256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46256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46256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46256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25478-2026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46256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9.1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Kambräken
Västlig hakmossa</t>
        </is>
      </c>
      <c r="W57">
        <f>HYPERLINK("https://klasma.github.io/Logging_2184/artfynd/A 25478-2026 artfynd.xlsx", "A 25478-2026")</f>
        <v/>
      </c>
      <c r="X57">
        <f>HYPERLINK("https://klasma.github.io/Logging_2184/kartor/A 25478-2026 karta.png", "A 25478-2026")</f>
        <v/>
      </c>
      <c r="Y57">
        <f>HYPERLINK("https://klasma.github.io/Logging_2184/kartor_geotiff/A 25478-2026 georefererad karta.tif", "A 25478-2026")</f>
        <v/>
      </c>
      <c r="AA57">
        <f>HYPERLINK("https://klasma.github.io/Logging_2184/klagomål/A 25478-2026 FSC-klagomål.docx", "A 25478-2026")</f>
        <v/>
      </c>
      <c r="AB57">
        <f>HYPERLINK("https://klasma.github.io/Logging_2184/klagomålsmail/A 25478-2026 FSC-klagomål mail.docx", "A 25478-2026")</f>
        <v/>
      </c>
      <c r="AC57">
        <f>HYPERLINK("https://klasma.github.io/Logging_2184/tillsyn/A 25478-2026 tillsynsbegäran.docx", "A 25478-2026")</f>
        <v/>
      </c>
      <c r="AD57">
        <f>HYPERLINK("https://klasma.github.io/Logging_2184/tillsynsmail/A 25478-2026 tillsynsbegäran mail.docx", "A 25478-2026")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46256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46256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60594-2024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45644</v>
      </c>
      <c r="E60" s="1" t="n">
        <v>46256</v>
      </c>
      <c r="F60" t="inlineStr">
        <is>
          <t>GÄVLEBORGS LÄN</t>
        </is>
      </c>
      <c r="G60" t="inlineStr">
        <is>
          <t>HUDIKSVALL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4</v>
      </c>
      <c r="U60" t="n">
        <v>4</v>
      </c>
      <c r="V60" s="2" t="inlineStr">
        <is>
          <t>Flodpärlmussla
Vanlig padda</t>
        </is>
      </c>
      <c r="W60">
        <f>HYPERLINK("https://klasma.github.io/Logging_2184/artfynd/A 60594-2024 artfynd.xlsx", "A 60594-2024")</f>
        <v/>
      </c>
      <c r="X60">
        <f>HYPERLINK("https://klasma.github.io/Logging_2184/kartor/A 60594-2024 karta.png", "A 60594-2024")</f>
        <v/>
      </c>
      <c r="Y60">
        <f>HYPERLINK("https://klasma.github.io/Logging_2184/kartor_geotiff/A 60594-2024 georefererad karta.tif", "A 60594-2024")</f>
        <v/>
      </c>
      <c r="AA60">
        <f>HYPERLINK("https://klasma.github.io/Logging_2184/klagomål/A 60594-2024 FSC-klagomål.docx", "A 60594-2024")</f>
        <v/>
      </c>
      <c r="AB60">
        <f>HYPERLINK("https://klasma.github.io/Logging_2184/klagomålsmail/A 60594-2024 FSC-klagomål mail.docx", "A 60594-2024")</f>
        <v/>
      </c>
      <c r="AC60">
        <f>HYPERLINK("https://klasma.github.io/Logging_2184/tillsyn/A 60594-2024 tillsynsbegäran.docx", "A 60594-2024")</f>
        <v/>
      </c>
      <c r="AD60">
        <f>HYPERLINK("https://klasma.github.io/Logging_2184/tillsynsmail/A 60594-2024 tillsynsbegäran mail.docx", "A 60594-2024")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46256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46256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Blåsippa
Revlummer</t>
        </is>
      </c>
      <c r="W62">
        <f>HYPERLINK("https://klasma.github.io/Logging_2184/artfynd/A 17222-2026 artfynd.xlsx", "A 17222-2026")</f>
        <v/>
      </c>
      <c r="X62">
        <f>HYPERLINK("https://klasma.github.io/Logging_2184/kartor/A 17222-2026 karta.png", "A 17222-2026")</f>
        <v/>
      </c>
      <c r="Y62">
        <f>HYPERLINK("https://klasma.github.io/Logging_2184/kartor_geotiff/A 17222-2026 georefererad karta.tif", "A 17222-2026")</f>
        <v/>
      </c>
      <c r="AA62">
        <f>HYPERLINK("https://klasma.github.io/Logging_2184/klagomål/A 17222-2026 FSC-klagomål.docx", "A 17222-2026")</f>
        <v/>
      </c>
      <c r="AB62">
        <f>HYPERLINK("https://klasma.github.io/Logging_2184/klagomålsmail/A 17222-2026 FSC-klagomål mail.docx", "A 17222-2026")</f>
        <v/>
      </c>
      <c r="AC62">
        <f>HYPERLINK("https://klasma.github.io/Logging_2184/tillsyn/A 17222-2026 tillsynsbegäran.docx", "A 17222-2026")</f>
        <v/>
      </c>
      <c r="AD62">
        <f>HYPERLINK("https://klasma.github.io/Logging_2184/tillsynsmail/A 17222-2026 tillsynsbegäran mail.docx", "A 17222-2026")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46256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46256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Bågpraktmossa
Vanlig rörsvepemossa</t>
        </is>
      </c>
      <c r="W64">
        <f>HYPERLINK("https://klasma.github.io/Logging_2184/artfynd/A 13332-2026 artfynd.xlsx", "A 13332-2026")</f>
        <v/>
      </c>
      <c r="X64">
        <f>HYPERLINK("https://klasma.github.io/Logging_2184/kartor/A 13332-2026 karta.png", "A 13332-2026")</f>
        <v/>
      </c>
      <c r="Y64">
        <f>HYPERLINK("https://klasma.github.io/Logging_2184/kartor_geotiff/A 13332-2026 georefererad karta.tif", "A 13332-2026")</f>
        <v/>
      </c>
      <c r="AA64">
        <f>HYPERLINK("https://klasma.github.io/Logging_2184/klagomål/A 13332-2026 FSC-klagomål.docx", "A 13332-2026")</f>
        <v/>
      </c>
      <c r="AB64">
        <f>HYPERLINK("https://klasma.github.io/Logging_2184/klagomålsmail/A 13332-2026 FSC-klagomål mail.docx", "A 13332-2026")</f>
        <v/>
      </c>
      <c r="AC64">
        <f>HYPERLINK("https://klasma.github.io/Logging_2184/tillsyn/A 13332-2026 tillsynsbegäran.docx", "A 13332-2026")</f>
        <v/>
      </c>
      <c r="AD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46256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t="n">
        <v>0</v>
      </c>
      <c r="V65" s="2" t="inlineStr">
        <is>
          <t>Knärot
Ullticka</t>
        </is>
      </c>
      <c r="W65">
        <f>HYPERLINK("https://klasma.github.io/Logging_2184/artfynd/A 20884-2026 artfynd.xlsx", "A 20884-2026")</f>
        <v/>
      </c>
      <c r="X65">
        <f>HYPERLINK("https://klasma.github.io/Logging_2184/kartor/A 20884-2026 karta.png", "A 20884-2026")</f>
        <v/>
      </c>
      <c r="Y65">
        <f>HYPERLINK("https://klasma.github.io/Logging_2184/kartor_geotiff/A 20884-2026 georefererad karta.tif", "A 20884-2026")</f>
        <v/>
      </c>
      <c r="Z65">
        <f>HYPERLINK("https://klasma.github.io/Logging_2184/knärot/A 20884-2026 karta knärot.png", "A 20884-2026")</f>
        <v/>
      </c>
      <c r="AA65">
        <f>HYPERLINK("https://klasma.github.io/Logging_2184/klagomål/A 20884-2026 FSC-klagomål.docx", "A 20884-2026")</f>
        <v/>
      </c>
      <c r="AB65">
        <f>HYPERLINK("https://klasma.github.io/Logging_2184/klagomålsmail/A 20884-2026 FSC-klagomål mail.docx", "A 20884-2026")</f>
        <v/>
      </c>
      <c r="AC65">
        <f>HYPERLINK("https://klasma.github.io/Logging_2184/tillsyn/A 20884-2026 tillsynsbegäran.docx", "A 20884-2026")</f>
        <v/>
      </c>
      <c r="AD65">
        <f>HYPERLINK("https://klasma.github.io/Logging_2184/tillsynsmail/A 20884-2026 tillsynsbegäran mail.docx", "A 20884-2026")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46256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46256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46256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46256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46256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46256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25784-2025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46256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18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HYPERLINK("https://klasma.github.io/Logging_2184/artfynd/A 25784-2025 artfynd.xlsx", "A 25784-2025")</f>
        <v/>
      </c>
      <c r="X72">
        <f>HYPERLINK("https://klasma.github.io/Logging_2184/kartor/A 25784-2025 karta.png", "A 25784-2025")</f>
        <v/>
      </c>
      <c r="Y72">
        <f>HYPERLINK("https://klasma.github.io/Logging_2184/kartor_geotiff/A 25784-2025 georefererad karta.tif", "A 25784-2025")</f>
        <v/>
      </c>
      <c r="AA72">
        <f>HYPERLINK("https://klasma.github.io/Logging_2184/klagomål/A 25784-2025 FSC-klagomål.docx", "A 25784-2025")</f>
        <v/>
      </c>
      <c r="AB72">
        <f>HYPERLINK("https://klasma.github.io/Logging_2184/klagomålsmail/A 25784-2025 FSC-klagomål mail.docx", "A 25784-2025")</f>
        <v/>
      </c>
      <c r="AC72">
        <f>HYPERLINK("https://klasma.github.io/Logging_2184/tillsyn/A 25784-2025 tillsynsbegäran.docx", "A 25784-2025")</f>
        <v/>
      </c>
      <c r="AD72">
        <f>HYPERLINK("https://klasma.github.io/Logging_2184/tillsynsmail/A 25784-2025 tillsynsbegäran mail.docx", "A 25784-2025")</f>
        <v/>
      </c>
    </row>
    <row r="73" ht="15" customHeight="1">
      <c r="A73" t="inlineStr">
        <is>
          <t>A 25828-2025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46256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7.3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HYPERLINK("https://klasma.github.io/Logging_2184/artfynd/A 25828-2025 artfynd.xlsx", "A 25828-2025")</f>
        <v/>
      </c>
      <c r="X73">
        <f>HYPERLINK("https://klasma.github.io/Logging_2184/kartor/A 25828-2025 karta.png", "A 25828-2025")</f>
        <v/>
      </c>
      <c r="Y73">
        <f>HYPERLINK("https://klasma.github.io/Logging_2184/kartor_geotiff/A 25828-2025 georefererad karta.tif", "A 25828-2025")</f>
        <v/>
      </c>
      <c r="AA73">
        <f>HYPERLINK("https://klasma.github.io/Logging_2184/klagomål/A 25828-2025 FSC-klagomål.docx", "A 25828-2025")</f>
        <v/>
      </c>
      <c r="AB73">
        <f>HYPERLINK("https://klasma.github.io/Logging_2184/klagomålsmail/A 25828-2025 FSC-klagomål mail.docx", "A 25828-2025")</f>
        <v/>
      </c>
      <c r="AC73">
        <f>HYPERLINK("https://klasma.github.io/Logging_2184/tillsyn/A 25828-2025 tillsynsbegäran.docx", "A 25828-2025")</f>
        <v/>
      </c>
      <c r="AD73">
        <f>HYPERLINK("https://klasma.github.io/Logging_2184/tillsynsmail/A 25828-2025 tillsynsbegäran mail.docx", "A 25828-2025")</f>
        <v/>
      </c>
    </row>
    <row r="74" ht="15" customHeight="1">
      <c r="A74" t="inlineStr">
        <is>
          <t>A 41494-2024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46256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20.9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HYPERLINK("https://klasma.github.io/Logging_2184/artfynd/A 41494-2024 artfynd.xlsx", "A 41494-2024")</f>
        <v/>
      </c>
      <c r="X74">
        <f>HYPERLINK("https://klasma.github.io/Logging_2184/kartor/A 41494-2024 karta.png", "A 41494-2024")</f>
        <v/>
      </c>
      <c r="Y74">
        <f>HYPERLINK("https://klasma.github.io/Logging_2184/kartor_geotiff/A 41494-2024 georefererad karta.tif", "A 41494-2024")</f>
        <v/>
      </c>
      <c r="AA74">
        <f>HYPERLINK("https://klasma.github.io/Logging_2184/klagomål/A 41494-2024 FSC-klagomål.docx", "A 41494-2024")</f>
        <v/>
      </c>
      <c r="AB74">
        <f>HYPERLINK("https://klasma.github.io/Logging_2184/klagomålsmail/A 41494-2024 FSC-klagomål mail.docx", "A 41494-2024")</f>
        <v/>
      </c>
      <c r="AC74">
        <f>HYPERLINK("https://klasma.github.io/Logging_2184/tillsyn/A 41494-2024 tillsynsbegäran.docx", "A 41494-2024")</f>
        <v/>
      </c>
      <c r="AD74">
        <f>HYPERLINK("https://klasma.github.io/Logging_2184/tillsynsmail/A 41494-2024 tillsynsbegäran mail.docx", "A 41494-2024")</f>
        <v/>
      </c>
    </row>
    <row r="75" ht="15" customHeight="1">
      <c r="A75" t="inlineStr">
        <is>
          <t>A 22595-2025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46256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6.6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22595-2025 artfynd.xlsx", "A 22595-2025")</f>
        <v/>
      </c>
      <c r="X75">
        <f>HYPERLINK("https://klasma.github.io/Logging_2184/kartor/A 22595-2025 karta.png", "A 22595-2025")</f>
        <v/>
      </c>
      <c r="Y75">
        <f>HYPERLINK("https://klasma.github.io/Logging_2184/kartor_geotiff/A 22595-2025 georefererad karta.tif", "A 22595-2025")</f>
        <v/>
      </c>
      <c r="AA75">
        <f>HYPERLINK("https://klasma.github.io/Logging_2184/klagomål/A 22595-2025 FSC-klagomål.docx", "A 22595-2025")</f>
        <v/>
      </c>
      <c r="AB75">
        <f>HYPERLINK("https://klasma.github.io/Logging_2184/klagomålsmail/A 22595-2025 FSC-klagomål mail.docx", "A 22595-2025")</f>
        <v/>
      </c>
      <c r="AC75">
        <f>HYPERLINK("https://klasma.github.io/Logging_2184/tillsyn/A 22595-2025 tillsynsbegäran.docx", "A 22595-2025")</f>
        <v/>
      </c>
      <c r="AD75">
        <f>HYPERLINK("https://klasma.github.io/Logging_2184/tillsynsmail/A 22595-2025 tillsynsbegäran mail.docx", "A 22595-2025")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46256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46256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27176-2025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46256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6.9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HYPERLINK("https://klasma.github.io/Logging_2184/artfynd/A 27176-2025 artfynd.xlsx", "A 27176-2025")</f>
        <v/>
      </c>
      <c r="X78">
        <f>HYPERLINK("https://klasma.github.io/Logging_2184/kartor/A 27176-2025 karta.png", "A 27176-2025")</f>
        <v/>
      </c>
      <c r="Y78">
        <f>HYPERLINK("https://klasma.github.io/Logging_2184/kartor_geotiff/A 27176-2025 georefererad karta.tif", "A 27176-2025")</f>
        <v/>
      </c>
      <c r="AA78">
        <f>HYPERLINK("https://klasma.github.io/Logging_2184/klagomål/A 27176-2025 FSC-klagomål.docx", "A 27176-2025")</f>
        <v/>
      </c>
      <c r="AB78">
        <f>HYPERLINK("https://klasma.github.io/Logging_2184/klagomålsmail/A 27176-2025 FSC-klagomål mail.docx", "A 27176-2025")</f>
        <v/>
      </c>
      <c r="AC78">
        <f>HYPERLINK("https://klasma.github.io/Logging_2184/tillsyn/A 27176-2025 tillsynsbegäran.docx", "A 27176-2025")</f>
        <v/>
      </c>
      <c r="AD78">
        <f>HYPERLINK("https://klasma.github.io/Logging_2184/tillsynsmail/A 27176-2025 tillsynsbegäran mail.docx", "A 27176-2025")</f>
        <v/>
      </c>
    </row>
    <row r="79" ht="15" customHeight="1">
      <c r="A79" t="inlineStr">
        <is>
          <t>A 15883-2023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45022</v>
      </c>
      <c r="E79" s="1" t="n">
        <v>46256</v>
      </c>
      <c r="F79" t="inlineStr">
        <is>
          <t>GÄVLEBORGS LÄN</t>
        </is>
      </c>
      <c r="G79" t="inlineStr">
        <is>
          <t>HUDIKSVALL</t>
        </is>
      </c>
      <c r="I79" t="n">
        <v>9.6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HYPERLINK("https://klasma.github.io/Logging_2184/artfynd/A 15883-2023 artfynd.xlsx", "A 15883-2023")</f>
        <v/>
      </c>
      <c r="X79">
        <f>HYPERLINK("https://klasma.github.io/Logging_2184/kartor/A 15883-2023 karta.png", "A 15883-2023")</f>
        <v/>
      </c>
      <c r="Y79">
        <f>HYPERLINK("https://klasma.github.io/Logging_2184/kartor_geotiff/A 15883-2023 georefererad karta.tif", "A 15883-2023")</f>
        <v/>
      </c>
      <c r="Z79">
        <f>HYPERLINK("https://klasma.github.io/Logging_2184/knärot/A 15883-2023 karta knärot.png", "A 15883-2023")</f>
        <v/>
      </c>
      <c r="AA79">
        <f>HYPERLINK("https://klasma.github.io/Logging_2184/klagomål/A 15883-2023 FSC-klagomål.docx", "A 15883-2023")</f>
        <v/>
      </c>
      <c r="AB79">
        <f>HYPERLINK("https://klasma.github.io/Logging_2184/klagomålsmail/A 15883-2023 FSC-klagomål mail.docx", "A 15883-2023")</f>
        <v/>
      </c>
      <c r="AC79">
        <f>HYPERLINK("https://klasma.github.io/Logging_2184/tillsyn/A 15883-2023 tillsynsbegäran.docx", "A 15883-2023")</f>
        <v/>
      </c>
      <c r="AD79">
        <f>HYPERLINK("https://klasma.github.io/Logging_2184/tillsynsmail/A 15883-2023 tillsynsbegäran mail.docx", "A 15883-2023")</f>
        <v/>
      </c>
    </row>
    <row r="80" ht="15" customHeight="1">
      <c r="A80" t="inlineStr">
        <is>
          <t>A 28381-2025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46256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28381-2025 artfynd.xlsx", "A 28381-2025")</f>
        <v/>
      </c>
      <c r="X80">
        <f>HYPERLINK("https://klasma.github.io/Logging_2184/kartor/A 28381-2025 karta.png", "A 28381-2025")</f>
        <v/>
      </c>
      <c r="Y80">
        <f>HYPERLINK("https://klasma.github.io/Logging_2184/kartor_geotiff/A 28381-2025 georefererad karta.tif", "A 28381-2025")</f>
        <v/>
      </c>
      <c r="AA80">
        <f>HYPERLINK("https://klasma.github.io/Logging_2184/klagomål/A 28381-2025 FSC-klagomål.docx", "A 28381-2025")</f>
        <v/>
      </c>
      <c r="AB80">
        <f>HYPERLINK("https://klasma.github.io/Logging_2184/klagomålsmail/A 28381-2025 FSC-klagomål mail.docx", "A 28381-2025")</f>
        <v/>
      </c>
      <c r="AC80">
        <f>HYPERLINK("https://klasma.github.io/Logging_2184/tillsyn/A 28381-2025 tillsynsbegäran.docx", "A 28381-2025")</f>
        <v/>
      </c>
      <c r="AD80">
        <f>HYPERLINK("https://klasma.github.io/Logging_2184/tillsynsmail/A 28381-2025 tillsynsbegäran mail.docx", "A 28381-2025")</f>
        <v/>
      </c>
    </row>
    <row r="81" ht="15" customHeight="1">
      <c r="A81" t="inlineStr">
        <is>
          <t>A 5983-2025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45695</v>
      </c>
      <c r="E81" s="1" t="n">
        <v>46256</v>
      </c>
      <c r="F81" t="inlineStr">
        <is>
          <t>GÄVLEBORGS LÄN</t>
        </is>
      </c>
      <c r="G81" t="inlineStr">
        <is>
          <t>HUDIKSVALL</t>
        </is>
      </c>
      <c r="I81" t="n">
        <v>3.9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Jorduggla</t>
        </is>
      </c>
      <c r="W81">
        <f>HYPERLINK("https://klasma.github.io/Logging_2184/artfynd/A 5983-2025 artfynd.xlsx", "A 5983-2025")</f>
        <v/>
      </c>
      <c r="X81">
        <f>HYPERLINK("https://klasma.github.io/Logging_2184/kartor/A 5983-2025 karta.png", "A 5983-2025")</f>
        <v/>
      </c>
      <c r="Y81">
        <f>HYPERLINK("https://klasma.github.io/Logging_2184/kartor_geotiff/A 5983-2025 georefererad karta.tif", "A 5983-2025")</f>
        <v/>
      </c>
      <c r="AA81">
        <f>HYPERLINK("https://klasma.github.io/Logging_2184/klagomål/A 5983-2025 FSC-klagomål.docx", "A 5983-2025")</f>
        <v/>
      </c>
      <c r="AB81">
        <f>HYPERLINK("https://klasma.github.io/Logging_2184/klagomålsmail/A 5983-2025 FSC-klagomål mail.docx", "A 5983-2025")</f>
        <v/>
      </c>
      <c r="AC81">
        <f>HYPERLINK("https://klasma.github.io/Logging_2184/tillsyn/A 5983-2025 tillsynsbegäran.docx", "A 5983-2025")</f>
        <v/>
      </c>
      <c r="AD81">
        <f>HYPERLINK("https://klasma.github.io/Logging_2184/tillsynsmail/A 5983-2025 tillsynsbegäran mail.docx", "A 5983-2025")</f>
        <v/>
      </c>
      <c r="AE81">
        <f>HYPERLINK("https://klasma.github.io/Logging_2184/fåglar/A 5983-2025 prioriterade fågelarter.docx", "A 5983-2025")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46256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HYPERLINK("https://klasma.github.io/Logging_2184/artfynd/A 29337-2024 artfynd.xlsx", "A 29337-2024")</f>
        <v/>
      </c>
      <c r="X82">
        <f>HYPERLINK("https://klasma.github.io/Logging_2184/kartor/A 29337-2024 karta.png", "A 29337-2024")</f>
        <v/>
      </c>
      <c r="Y82">
        <f>HYPERLINK("https://klasma.github.io/Logging_2184/kartor_geotiff/A 29337-2024 georefererad karta.tif", "A 29337-2024")</f>
        <v/>
      </c>
      <c r="AA82">
        <f>HYPERLINK("https://klasma.github.io/Logging_2184/klagomål/A 29337-2024 FSC-klagomål.docx", "A 29337-2024")</f>
        <v/>
      </c>
      <c r="AB82">
        <f>HYPERLINK("https://klasma.github.io/Logging_2184/klagomålsmail/A 29337-2024 FSC-klagomål mail.docx", "A 29337-2024")</f>
        <v/>
      </c>
      <c r="AC82">
        <f>HYPERLINK("https://klasma.github.io/Logging_2184/tillsyn/A 29337-2024 tillsynsbegäran.docx", "A 29337-2024")</f>
        <v/>
      </c>
      <c r="AD82">
        <f>HYPERLINK("https://klasma.github.io/Logging_2184/tillsynsmail/A 29337-2024 tillsynsbegäran mail.docx", "A 29337-2024")</f>
        <v/>
      </c>
      <c r="AE82">
        <f>HYPERLINK("https://klasma.github.io/Logging_2184/fåglar/A 29337-2024 prioriterade fågelarter.docx", "A 29337-2024")</f>
        <v/>
      </c>
    </row>
    <row r="83" ht="15" customHeight="1">
      <c r="A83" t="inlineStr">
        <is>
          <t>A 55445-2024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46256</v>
      </c>
      <c r="F83" t="inlineStr">
        <is>
          <t>GÄVLEBORGS LÄN</t>
        </is>
      </c>
      <c r="G83" t="inlineStr">
        <is>
          <t>HUDIKSVALL</t>
        </is>
      </c>
      <c r="I83" t="n">
        <v>7.2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Spädstarr</t>
        </is>
      </c>
      <c r="W83">
        <f>HYPERLINK("https://klasma.github.io/Logging_2184/artfynd/A 55445-2024 artfynd.xlsx", "A 55445-2024")</f>
        <v/>
      </c>
      <c r="X83">
        <f>HYPERLINK("https://klasma.github.io/Logging_2184/kartor/A 55445-2024 karta.png", "A 55445-2024")</f>
        <v/>
      </c>
      <c r="Y83">
        <f>HYPERLINK("https://klasma.github.io/Logging_2184/kartor_geotiff/A 55445-2024 georefererad karta.tif", "A 55445-2024")</f>
        <v/>
      </c>
      <c r="AA83">
        <f>HYPERLINK("https://klasma.github.io/Logging_2184/klagomål/A 55445-2024 FSC-klagomål.docx", "A 55445-2024")</f>
        <v/>
      </c>
      <c r="AB83">
        <f>HYPERLINK("https://klasma.github.io/Logging_2184/klagomålsmail/A 55445-2024 FSC-klagomål mail.docx", "A 55445-2024")</f>
        <v/>
      </c>
      <c r="AC83">
        <f>HYPERLINK("https://klasma.github.io/Logging_2184/tillsyn/A 55445-2024 tillsynsbegäran.docx", "A 55445-2024")</f>
        <v/>
      </c>
      <c r="AD83">
        <f>HYPERLINK("https://klasma.github.io/Logging_2184/tillsynsmail/A 55445-2024 tillsynsbegäran mail.docx", "A 55445-2024")</f>
        <v/>
      </c>
    </row>
    <row r="84" ht="15" customHeight="1">
      <c r="A84" t="inlineStr">
        <is>
          <t>A 44058-2022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46256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HYPERLINK("https://klasma.github.io/Logging_2184/artfynd/A 44058-2022 artfynd.xlsx", "A 44058-2022")</f>
        <v/>
      </c>
      <c r="X84">
        <f>HYPERLINK("https://klasma.github.io/Logging_2184/kartor/A 44058-2022 karta.png", "A 44058-2022")</f>
        <v/>
      </c>
      <c r="Y84">
        <f>HYPERLINK("https://klasma.github.io/Logging_2184/kartor_geotiff/A 44058-2022 georefererad karta.tif", "A 44058-2022")</f>
        <v/>
      </c>
      <c r="AA84">
        <f>HYPERLINK("https://klasma.github.io/Logging_2184/klagomål/A 44058-2022 FSC-klagomål.docx", "A 44058-2022")</f>
        <v/>
      </c>
      <c r="AB84">
        <f>HYPERLINK("https://klasma.github.io/Logging_2184/klagomålsmail/A 44058-2022 FSC-klagomål mail.docx", "A 44058-2022")</f>
        <v/>
      </c>
      <c r="AC84">
        <f>HYPERLINK("https://klasma.github.io/Logging_2184/tillsyn/A 44058-2022 tillsynsbegäran.docx", "A 44058-2022")</f>
        <v/>
      </c>
      <c r="AD84">
        <f>HYPERLINK("https://klasma.github.io/Logging_2184/tillsynsmail/A 44058-2022 tillsynsbegäran mail.docx", "A 44058-2022")</f>
        <v/>
      </c>
    </row>
    <row r="85" ht="15" customHeight="1">
      <c r="A85" t="inlineStr">
        <is>
          <t>A 19427-2025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46256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Garnlav</t>
        </is>
      </c>
      <c r="W85">
        <f>HYPERLINK("https://klasma.github.io/Logging_2184/artfynd/A 19427-2025 artfynd.xlsx", "A 19427-2025")</f>
        <v/>
      </c>
      <c r="X85">
        <f>HYPERLINK("https://klasma.github.io/Logging_2184/kartor/A 19427-2025 karta.png", "A 19427-2025")</f>
        <v/>
      </c>
      <c r="Y85">
        <f>HYPERLINK("https://klasma.github.io/Logging_2184/kartor_geotiff/A 19427-2025 georefererad karta.tif", "A 19427-2025")</f>
        <v/>
      </c>
      <c r="AA85">
        <f>HYPERLINK("https://klasma.github.io/Logging_2184/klagomål/A 19427-2025 FSC-klagomål.docx", "A 19427-2025")</f>
        <v/>
      </c>
      <c r="AB85">
        <f>HYPERLINK("https://klasma.github.io/Logging_2184/klagomålsmail/A 19427-2025 FSC-klagomål mail.docx", "A 19427-2025")</f>
        <v/>
      </c>
      <c r="AC85">
        <f>HYPERLINK("https://klasma.github.io/Logging_2184/tillsyn/A 19427-2025 tillsynsbegäran.docx", "A 19427-2025")</f>
        <v/>
      </c>
      <c r="AD85">
        <f>HYPERLINK("https://klasma.github.io/Logging_2184/tillsynsmail/A 19427-2025 tillsynsbegäran mail.docx", "A 19427-2025")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46256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46256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Mörk husmossa</t>
        </is>
      </c>
      <c r="W87">
        <f>HYPERLINK("https://klasma.github.io/Logging_2184/artfynd/A 47116-2024 artfynd.xlsx", "A 47116-2024")</f>
        <v/>
      </c>
      <c r="X87">
        <f>HYPERLINK("https://klasma.github.io/Logging_2184/kartor/A 47116-2024 karta.png", "A 47116-2024")</f>
        <v/>
      </c>
      <c r="Y87">
        <f>HYPERLINK("https://klasma.github.io/Logging_2184/kartor_geotiff/A 47116-2024 georefererad karta.tif", "A 47116-2024")</f>
        <v/>
      </c>
      <c r="AA87">
        <f>HYPERLINK("https://klasma.github.io/Logging_2184/klagomål/A 47116-2024 FSC-klagomål.docx", "A 47116-2024")</f>
        <v/>
      </c>
      <c r="AB87">
        <f>HYPERLINK("https://klasma.github.io/Logging_2184/klagomålsmail/A 47116-2024 FSC-klagomål mail.docx", "A 47116-2024")</f>
        <v/>
      </c>
      <c r="AC87">
        <f>HYPERLINK("https://klasma.github.io/Logging_2184/tillsyn/A 47116-2024 tillsynsbegäran.docx", "A 47116-2024")</f>
        <v/>
      </c>
      <c r="AD87">
        <f>HYPERLINK("https://klasma.github.io/Logging_2184/tillsynsmail/A 47116-2024 tillsynsbegäran mail.docx", "A 47116-2024")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46256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46256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46256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58239-2024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46256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Kungsörn</t>
        </is>
      </c>
      <c r="W91">
        <f>HYPERLINK("https://klasma.github.io/Logging_2184/artfynd/A 58239-2024 artfynd.xlsx", "A 58239-2024")</f>
        <v/>
      </c>
      <c r="X91">
        <f>HYPERLINK("https://klasma.github.io/Logging_2184/kartor/A 58239-2024 karta.png", "A 58239-2024")</f>
        <v/>
      </c>
      <c r="Y91">
        <f>HYPERLINK("https://klasma.github.io/Logging_2184/kartor_geotiff/A 58239-2024 georefererad karta.tif", "A 58239-2024")</f>
        <v/>
      </c>
      <c r="AA91">
        <f>HYPERLINK("https://klasma.github.io/Logging_2184/klagomål/A 58239-2024 FSC-klagomål.docx", "A 58239-2024")</f>
        <v/>
      </c>
      <c r="AB91">
        <f>HYPERLINK("https://klasma.github.io/Logging_2184/klagomålsmail/A 58239-2024 FSC-klagomål mail.docx", "A 58239-2024")</f>
        <v/>
      </c>
      <c r="AC91">
        <f>HYPERLINK("https://klasma.github.io/Logging_2184/tillsyn/A 58239-2024 tillsynsbegäran.docx", "A 58239-2024")</f>
        <v/>
      </c>
      <c r="AD91">
        <f>HYPERLINK("https://klasma.github.io/Logging_2184/tillsynsmail/A 58239-2024 tillsynsbegäran mail.docx", "A 58239-2024")</f>
        <v/>
      </c>
      <c r="AE91">
        <f>HYPERLINK("https://klasma.github.io/Logging_2184/fåglar/A 58239-2024 prioriterade fågelarter.docx", "A 58239-2024")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46256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46256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25145-2024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45462</v>
      </c>
      <c r="E94" s="1" t="n">
        <v>46256</v>
      </c>
      <c r="F94" t="inlineStr">
        <is>
          <t>GÄVLEBORGS LÄN</t>
        </is>
      </c>
      <c r="G94" t="inlineStr">
        <is>
          <t>HUDIKSVALL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Skogsödla</t>
        </is>
      </c>
      <c r="W94">
        <f>HYPERLINK("https://klasma.github.io/Logging_2184/artfynd/A 25145-2024 artfynd.xlsx", "A 25145-2024")</f>
        <v/>
      </c>
      <c r="X94">
        <f>HYPERLINK("https://klasma.github.io/Logging_2184/kartor/A 25145-2024 karta.png", "A 25145-2024")</f>
        <v/>
      </c>
      <c r="Y94">
        <f>HYPERLINK("https://klasma.github.io/Logging_2184/kartor_geotiff/A 25145-2024 georefererad karta.tif", "A 25145-2024")</f>
        <v/>
      </c>
      <c r="AA94">
        <f>HYPERLINK("https://klasma.github.io/Logging_2184/klagomål/A 25145-2024 FSC-klagomål.docx", "A 25145-2024")</f>
        <v/>
      </c>
      <c r="AB94">
        <f>HYPERLINK("https://klasma.github.io/Logging_2184/klagomålsmail/A 25145-2024 FSC-klagomål mail.docx", "A 25145-2024")</f>
        <v/>
      </c>
      <c r="AC94">
        <f>HYPERLINK("https://klasma.github.io/Logging_2184/tillsyn/A 25145-2024 tillsynsbegäran.docx", "A 25145-2024")</f>
        <v/>
      </c>
      <c r="AD94">
        <f>HYPERLINK("https://klasma.github.io/Logging_2184/tillsynsmail/A 25145-2024 tillsynsbegäran mail.docx", "A 25145-2024")</f>
        <v/>
      </c>
    </row>
    <row r="95" ht="15" customHeight="1">
      <c r="A95" t="inlineStr">
        <is>
          <t>A 25040-2026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46256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Skogssvingel</t>
        </is>
      </c>
      <c r="W95">
        <f>HYPERLINK("https://klasma.github.io/Logging_2184/artfynd/A 25040-2026 artfynd.xlsx", "A 25040-2026")</f>
        <v/>
      </c>
      <c r="X95">
        <f>HYPERLINK("https://klasma.github.io/Logging_2184/kartor/A 25040-2026 karta.png", "A 25040-2026")</f>
        <v/>
      </c>
      <c r="Y95">
        <f>HYPERLINK("https://klasma.github.io/Logging_2184/kartor_geotiff/A 25040-2026 georefererad karta.tif", "A 25040-2026")</f>
        <v/>
      </c>
      <c r="AA95">
        <f>HYPERLINK("https://klasma.github.io/Logging_2184/klagomål/A 25040-2026 FSC-klagomål.docx", "A 25040-2026")</f>
        <v/>
      </c>
      <c r="AB95">
        <f>HYPERLINK("https://klasma.github.io/Logging_2184/klagomålsmail/A 25040-2026 FSC-klagomål mail.docx", "A 25040-2026")</f>
        <v/>
      </c>
      <c r="AC95">
        <f>HYPERLINK("https://klasma.github.io/Logging_2184/tillsyn/A 25040-2026 tillsynsbegäran.docx", "A 25040-2026")</f>
        <v/>
      </c>
      <c r="AD95">
        <f>HYPERLINK("https://klasma.github.io/Logging_2184/tillsynsmail/A 25040-2026 tillsynsbegäran mail.docx", "A 25040-2026")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46256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2739-2025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46256</v>
      </c>
      <c r="F97" t="inlineStr">
        <is>
          <t>GÄVLEBORGS LÄN</t>
        </is>
      </c>
      <c r="G97" t="inlineStr">
        <is>
          <t>HUDIKSVALL</t>
        </is>
      </c>
      <c r="I97" t="n">
        <v>0.7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Talltita</t>
        </is>
      </c>
      <c r="W97">
        <f>HYPERLINK("https://klasma.github.io/Logging_2184/artfynd/A 2739-2025 artfynd.xlsx", "A 2739-2025")</f>
        <v/>
      </c>
      <c r="X97">
        <f>HYPERLINK("https://klasma.github.io/Logging_2184/kartor/A 2739-2025 karta.png", "A 2739-2025")</f>
        <v/>
      </c>
      <c r="Y97">
        <f>HYPERLINK("https://klasma.github.io/Logging_2184/kartor_geotiff/A 2739-2025 georefererad karta.tif", "A 2739-2025")</f>
        <v/>
      </c>
      <c r="AA97">
        <f>HYPERLINK("https://klasma.github.io/Logging_2184/klagomål/A 2739-2025 FSC-klagomål.docx", "A 2739-2025")</f>
        <v/>
      </c>
      <c r="AB97">
        <f>HYPERLINK("https://klasma.github.io/Logging_2184/klagomålsmail/A 2739-2025 FSC-klagomål mail.docx", "A 2739-2025")</f>
        <v/>
      </c>
      <c r="AC97">
        <f>HYPERLINK("https://klasma.github.io/Logging_2184/tillsyn/A 2739-2025 tillsynsbegäran.docx", "A 2739-2025")</f>
        <v/>
      </c>
      <c r="AD97">
        <f>HYPERLINK("https://klasma.github.io/Logging_2184/tillsynsmail/A 2739-2025 tillsynsbegäran mail.docx", "A 2739-2025")</f>
        <v/>
      </c>
      <c r="AE97">
        <f>HYPERLINK("https://klasma.github.io/Logging_2184/fåglar/A 2739-2025 prioriterade fågelarter.docx", "A 2739-2025")</f>
        <v/>
      </c>
    </row>
    <row r="98" ht="15" customHeight="1">
      <c r="A98" t="inlineStr">
        <is>
          <t>A 5977-2025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46256</v>
      </c>
      <c r="F98" t="inlineStr">
        <is>
          <t>GÄVLEBORGS LÄN</t>
        </is>
      </c>
      <c r="G98" t="inlineStr">
        <is>
          <t>HUDIKSVALL</t>
        </is>
      </c>
      <c r="I98" t="n">
        <v>4.9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5977-2025 artfynd.xlsx", "A 5977-2025")</f>
        <v/>
      </c>
      <c r="X98">
        <f>HYPERLINK("https://klasma.github.io/Logging_2184/kartor/A 5977-2025 karta.png", "A 5977-2025")</f>
        <v/>
      </c>
      <c r="Y98">
        <f>HYPERLINK("https://klasma.github.io/Logging_2184/kartor_geotiff/A 5977-2025 georefererad karta.tif", "A 5977-2025")</f>
        <v/>
      </c>
      <c r="AA98">
        <f>HYPERLINK("https://klasma.github.io/Logging_2184/klagomål/A 5977-2025 FSC-klagomål.docx", "A 5977-2025")</f>
        <v/>
      </c>
      <c r="AB98">
        <f>HYPERLINK("https://klasma.github.io/Logging_2184/klagomålsmail/A 5977-2025 FSC-klagomål mail.docx", "A 5977-2025")</f>
        <v/>
      </c>
      <c r="AC98">
        <f>HYPERLINK("https://klasma.github.io/Logging_2184/tillsyn/A 5977-2025 tillsynsbegäran.docx", "A 5977-2025")</f>
        <v/>
      </c>
      <c r="AD98">
        <f>HYPERLINK("https://klasma.github.io/Logging_2184/tillsynsmail/A 5977-2025 tillsynsbegäran mail.docx", "A 5977-2025")</f>
        <v/>
      </c>
      <c r="AE98">
        <f>HYPERLINK("https://klasma.github.io/Logging_2184/fåglar/A 5977-2025 prioriterade fågelarter.docx", "A 5977-2025")</f>
        <v/>
      </c>
    </row>
    <row r="99" ht="15" customHeight="1">
      <c r="A99" t="inlineStr">
        <is>
          <t>A 8051-2024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46256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12.9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HYPERLINK("https://klasma.github.io/Logging_2184/artfynd/A 8051-2024 artfynd.xlsx", "A 8051-2024")</f>
        <v/>
      </c>
      <c r="X99">
        <f>HYPERLINK("https://klasma.github.io/Logging_2184/kartor/A 8051-2024 karta.png", "A 8051-2024")</f>
        <v/>
      </c>
      <c r="Y99">
        <f>HYPERLINK("https://klasma.github.io/Logging_2184/kartor_geotiff/A 8051-2024 georefererad karta.tif", "A 8051-2024")</f>
        <v/>
      </c>
      <c r="AA99">
        <f>HYPERLINK("https://klasma.github.io/Logging_2184/klagomål/A 8051-2024 FSC-klagomål.docx", "A 8051-2024")</f>
        <v/>
      </c>
      <c r="AB99">
        <f>HYPERLINK("https://klasma.github.io/Logging_2184/klagomålsmail/A 8051-2024 FSC-klagomål mail.docx", "A 8051-2024")</f>
        <v/>
      </c>
      <c r="AC99">
        <f>HYPERLINK("https://klasma.github.io/Logging_2184/tillsyn/A 8051-2024 tillsynsbegäran.docx", "A 8051-2024")</f>
        <v/>
      </c>
      <c r="AD99">
        <f>HYPERLINK("https://klasma.github.io/Logging_2184/tillsynsmail/A 8051-2024 tillsynsbegäran mail.docx", "A 8051-2024")</f>
        <v/>
      </c>
    </row>
    <row r="100" ht="15" customHeight="1">
      <c r="A100" t="inlineStr">
        <is>
          <t>A 32046-2026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46233</v>
      </c>
      <c r="E100" s="1" t="n">
        <v>46256</v>
      </c>
      <c r="F100" t="inlineStr">
        <is>
          <t>GÄVLEBORGS LÄN</t>
        </is>
      </c>
      <c r="G100" t="inlineStr">
        <is>
          <t>HUDIKSVALL</t>
        </is>
      </c>
      <c r="I100" t="n">
        <v>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Ullticka</t>
        </is>
      </c>
      <c r="W100">
        <f>HYPERLINK("https://klasma.github.io/Logging_2184/artfynd/A 32046-2026 artfynd.xlsx", "A 32046-2026")</f>
        <v/>
      </c>
      <c r="X100">
        <f>HYPERLINK("https://klasma.github.io/Logging_2184/kartor/A 32046-2026 karta.png", "A 32046-2026")</f>
        <v/>
      </c>
      <c r="Y100">
        <f>HYPERLINK("https://klasma.github.io/Logging_2184/kartor_geotiff/A 32046-2026 georefererad karta.tif", "A 32046-2026")</f>
        <v/>
      </c>
      <c r="AA100">
        <f>HYPERLINK("https://klasma.github.io/Logging_2184/klagomål/A 32046-2026 FSC-klagomål.docx", "A 32046-2026")</f>
        <v/>
      </c>
      <c r="AB100">
        <f>HYPERLINK("https://klasma.github.io/Logging_2184/klagomålsmail/A 32046-2026 FSC-klagomål mail.docx", "A 32046-2026")</f>
        <v/>
      </c>
      <c r="AC100">
        <f>HYPERLINK("https://klasma.github.io/Logging_2184/tillsyn/A 32046-2026 tillsynsbegäran.docx", "A 32046-2026")</f>
        <v/>
      </c>
      <c r="AD100">
        <f>HYPERLINK("https://klasma.github.io/Logging_2184/tillsynsmail/A 32046-2026 tillsynsbegäran mail.docx", "A 32046-2026")</f>
        <v/>
      </c>
    </row>
    <row r="101" ht="15" customHeight="1">
      <c r="A101" t="inlineStr">
        <is>
          <t>A 51760-2025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46256</v>
      </c>
      <c r="F101" t="inlineStr">
        <is>
          <t>GÄVLEBORGS LÄN</t>
        </is>
      </c>
      <c r="G101" t="inlineStr">
        <is>
          <t>HUDIKSVALL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HYPERLINK("https://klasma.github.io/Logging_2184/artfynd/A 51760-2025 artfynd.xlsx", "A 51760-2025")</f>
        <v/>
      </c>
      <c r="X101">
        <f>HYPERLINK("https://klasma.github.io/Logging_2184/kartor/A 51760-2025 karta.png", "A 51760-2025")</f>
        <v/>
      </c>
      <c r="Y101">
        <f>HYPERLINK("https://klasma.github.io/Logging_2184/kartor_geotiff/A 51760-2025 georefererad karta.tif", "A 51760-2025")</f>
        <v/>
      </c>
      <c r="AA101">
        <f>HYPERLINK("https://klasma.github.io/Logging_2184/klagomål/A 51760-2025 FSC-klagomål.docx", "A 51760-2025")</f>
        <v/>
      </c>
      <c r="AB101">
        <f>HYPERLINK("https://klasma.github.io/Logging_2184/klagomålsmail/A 51760-2025 FSC-klagomål mail.docx", "A 51760-2025")</f>
        <v/>
      </c>
      <c r="AC101">
        <f>HYPERLINK("https://klasma.github.io/Logging_2184/tillsyn/A 51760-2025 tillsynsbegäran.docx", "A 51760-2025")</f>
        <v/>
      </c>
      <c r="AD101">
        <f>HYPERLINK("https://klasma.github.io/Logging_2184/tillsynsmail/A 51760-2025 tillsynsbegäran mail.docx", "A 51760-2025")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46256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HYPERLINK("https://klasma.github.io/Logging_2184/artfynd/A 29134-2026 artfynd.xlsx", "A 29134-2026")</f>
        <v/>
      </c>
      <c r="X102">
        <f>HYPERLINK("https://klasma.github.io/Logging_2184/kartor/A 29134-2026 karta.png", "A 29134-2026")</f>
        <v/>
      </c>
      <c r="Y102">
        <f>HYPERLINK("https://klasma.github.io/Logging_2184/kartor_geotiff/A 29134-2026 georefererad karta.tif", "A 29134-2026")</f>
        <v/>
      </c>
      <c r="AA102">
        <f>HYPERLINK("https://klasma.github.io/Logging_2184/klagomål/A 29134-2026 FSC-klagomål.docx", "A 29134-2026")</f>
        <v/>
      </c>
      <c r="AB102">
        <f>HYPERLINK("https://klasma.github.io/Logging_2184/klagomålsmail/A 29134-2026 FSC-klagomål mail.docx", "A 29134-2026")</f>
        <v/>
      </c>
      <c r="AC102">
        <f>HYPERLINK("https://klasma.github.io/Logging_2184/tillsyn/A 29134-2026 tillsynsbegäran.docx", "A 29134-2026")</f>
        <v/>
      </c>
      <c r="AD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4107-2026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46256</v>
      </c>
      <c r="F103" t="inlineStr">
        <is>
          <t>GÄVLEBORGS LÄN</t>
        </is>
      </c>
      <c r="G103" t="inlineStr">
        <is>
          <t>HUDIKSVALL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HYPERLINK("https://klasma.github.io/Logging_2184/artfynd/A 4107-2026 artfynd.xlsx", "A 4107-2026")</f>
        <v/>
      </c>
      <c r="X103">
        <f>HYPERLINK("https://klasma.github.io/Logging_2184/kartor/A 4107-2026 karta.png", "A 4107-2026")</f>
        <v/>
      </c>
      <c r="Y103">
        <f>HYPERLINK("https://klasma.github.io/Logging_2184/kartor_geotiff/A 4107-2026 georefererad karta.tif", "A 4107-2026")</f>
        <v/>
      </c>
      <c r="AA103">
        <f>HYPERLINK("https://klasma.github.io/Logging_2184/klagomål/A 4107-2026 FSC-klagomål.docx", "A 4107-2026")</f>
        <v/>
      </c>
      <c r="AB103">
        <f>HYPERLINK("https://klasma.github.io/Logging_2184/klagomålsmail/A 4107-2026 FSC-klagomål mail.docx", "A 4107-2026")</f>
        <v/>
      </c>
      <c r="AC103">
        <f>HYPERLINK("https://klasma.github.io/Logging_2184/tillsyn/A 4107-2026 tillsynsbegäran.docx", "A 4107-2026")</f>
        <v/>
      </c>
      <c r="AD103">
        <f>HYPERLINK("https://klasma.github.io/Logging_2184/tillsynsmail/A 4107-2026 tillsynsbegäran mail.docx", "A 4107-2026")</f>
        <v/>
      </c>
      <c r="AE103">
        <f>HYPERLINK("https://klasma.github.io/Logging_2184/fåglar/A 4107-2026 prioriterade fågelarter.docx", "A 4107-2026")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46256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20640-2026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46256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6.8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20640-2026 artfynd.xlsx", "A 20640-2026")</f>
        <v/>
      </c>
      <c r="X105">
        <f>HYPERLINK("https://klasma.github.io/Logging_2184/kartor/A 20640-2026 karta.png", "A 20640-2026")</f>
        <v/>
      </c>
      <c r="Y105">
        <f>HYPERLINK("https://klasma.github.io/Logging_2184/kartor_geotiff/A 20640-2026 georefererad karta.tif", "A 20640-2026")</f>
        <v/>
      </c>
      <c r="Z105">
        <f>HYPERLINK("https://klasma.github.io/Logging_2184/knärot/A 20640-2026 karta knärot.png", "A 20640-2026")</f>
        <v/>
      </c>
      <c r="AA105">
        <f>HYPERLINK("https://klasma.github.io/Logging_2184/klagomål/A 20640-2026 FSC-klagomål.docx", "A 20640-2026")</f>
        <v/>
      </c>
      <c r="AB105">
        <f>HYPERLINK("https://klasma.github.io/Logging_2184/klagomålsmail/A 20640-2026 FSC-klagomål mail.docx", "A 20640-2026")</f>
        <v/>
      </c>
      <c r="AC105">
        <f>HYPERLINK("https://klasma.github.io/Logging_2184/tillsyn/A 20640-2026 tillsynsbegäran.docx", "A 20640-2026")</f>
        <v/>
      </c>
      <c r="AD105">
        <f>HYPERLINK("https://klasma.github.io/Logging_2184/tillsynsmail/A 20640-2026 tillsynsbegäran mail.docx", "A 20640-2026")</f>
        <v/>
      </c>
    </row>
    <row r="106" ht="15" customHeight="1">
      <c r="A106" t="inlineStr">
        <is>
          <t>A 31802-2025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46256</v>
      </c>
      <c r="F106" t="inlineStr">
        <is>
          <t>GÄVLEBORGS LÄN</t>
        </is>
      </c>
      <c r="G106" t="inlineStr">
        <is>
          <t>HUDIKSVALL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Stor aspticka</t>
        </is>
      </c>
      <c r="W106">
        <f>HYPERLINK("https://klasma.github.io/Logging_2184/artfynd/A 31802-2025 artfynd.xlsx", "A 31802-2025")</f>
        <v/>
      </c>
      <c r="X106">
        <f>HYPERLINK("https://klasma.github.io/Logging_2184/kartor/A 31802-2025 karta.png", "A 31802-2025")</f>
        <v/>
      </c>
      <c r="Y106">
        <f>HYPERLINK("https://klasma.github.io/Logging_2184/kartor_geotiff/A 31802-2025 georefererad karta.tif", "A 31802-2025")</f>
        <v/>
      </c>
      <c r="AA106">
        <f>HYPERLINK("https://klasma.github.io/Logging_2184/klagomål/A 31802-2025 FSC-klagomål.docx", "A 31802-2025")</f>
        <v/>
      </c>
      <c r="AB106">
        <f>HYPERLINK("https://klasma.github.io/Logging_2184/klagomålsmail/A 31802-2025 FSC-klagomål mail.docx", "A 31802-2025")</f>
        <v/>
      </c>
      <c r="AC106">
        <f>HYPERLINK("https://klasma.github.io/Logging_2184/tillsyn/A 31802-2025 tillsynsbegäran.docx", "A 31802-2025")</f>
        <v/>
      </c>
      <c r="AD106">
        <f>HYPERLINK("https://klasma.github.io/Logging_2184/tillsynsmail/A 31802-2025 tillsynsbegäran mail.docx", "A 31802-2025")</f>
        <v/>
      </c>
    </row>
    <row r="107" ht="15" customHeight="1">
      <c r="A107" t="inlineStr">
        <is>
          <t>A 22131-2025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46256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22131-2025 artfynd.xlsx", "A 22131-2025")</f>
        <v/>
      </c>
      <c r="X107">
        <f>HYPERLINK("https://klasma.github.io/Logging_2184/kartor/A 22131-2025 karta.png", "A 22131-2025")</f>
        <v/>
      </c>
      <c r="Y107">
        <f>HYPERLINK("https://klasma.github.io/Logging_2184/kartor_geotiff/A 22131-2025 georefererad karta.tif", "A 22131-2025")</f>
        <v/>
      </c>
      <c r="Z107">
        <f>HYPERLINK("https://klasma.github.io/Logging_2184/knärot/A 22131-2025 karta knärot.png", "A 22131-2025")</f>
        <v/>
      </c>
      <c r="AA107">
        <f>HYPERLINK("https://klasma.github.io/Logging_2184/klagomål/A 22131-2025 FSC-klagomål.docx", "A 22131-2025")</f>
        <v/>
      </c>
      <c r="AB107">
        <f>HYPERLINK("https://klasma.github.io/Logging_2184/klagomålsmail/A 22131-2025 FSC-klagomål mail.docx", "A 22131-2025")</f>
        <v/>
      </c>
      <c r="AC107">
        <f>HYPERLINK("https://klasma.github.io/Logging_2184/tillsyn/A 22131-2025 tillsynsbegäran.docx", "A 22131-2025")</f>
        <v/>
      </c>
      <c r="AD107">
        <f>HYPERLINK("https://klasma.github.io/Logging_2184/tillsynsmail/A 22131-2025 tillsynsbegäran mail.docx", "A 22131-2025")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46256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46256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46256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46256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46256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46256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46256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46256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46256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46256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46256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46256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46256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46256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46256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46256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46256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46256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46256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46256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46256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46256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46256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46256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46256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46256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46256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46256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46256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46256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46256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46256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46256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46256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46256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46256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46256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46256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46256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46256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46256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46256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46256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46256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46256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46256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46256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46256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46256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46256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46256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46256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46256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24584-2025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45798</v>
      </c>
      <c r="E164" s="1" t="n">
        <v>46256</v>
      </c>
      <c r="F164" t="inlineStr">
        <is>
          <t>GÄVLEBORGS LÄN</t>
        </is>
      </c>
      <c r="G164" t="inlineStr">
        <is>
          <t>HUDIKSVALL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46256</v>
      </c>
      <c r="F165" t="inlineStr">
        <is>
          <t>GÄVLEBORGS LÄN</t>
        </is>
      </c>
      <c r="G165" t="inlineStr">
        <is>
          <t>HUDIKSVALL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46256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46256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64344-2021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46256</v>
      </c>
      <c r="F168" t="inlineStr">
        <is>
          <t>GÄVLEBORGS LÄN</t>
        </is>
      </c>
      <c r="G168" t="inlineStr">
        <is>
          <t>HUDIKSVALL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46256</v>
      </c>
      <c r="F169" t="inlineStr">
        <is>
          <t>GÄVLEBORGS LÄN</t>
        </is>
      </c>
      <c r="G169" t="inlineStr">
        <is>
          <t>HUDIKSVALL</t>
        </is>
      </c>
      <c r="H169" t="inlineStr">
        <is>
          <t>Naturvårdsverket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46256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46256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46256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57199-2022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44895</v>
      </c>
      <c r="E173" s="1" t="n">
        <v>46256</v>
      </c>
      <c r="F173" t="inlineStr">
        <is>
          <t>GÄVLEBORGS LÄN</t>
        </is>
      </c>
      <c r="G173" t="inlineStr">
        <is>
          <t>HUDIKSVALL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46256</v>
      </c>
      <c r="F174" t="inlineStr">
        <is>
          <t>GÄVLEBORGS LÄN</t>
        </is>
      </c>
      <c r="G174" t="inlineStr">
        <is>
          <t>HUDIKSVALL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46256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46256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55319-2021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44475</v>
      </c>
      <c r="E177" s="1" t="n">
        <v>46256</v>
      </c>
      <c r="F177" t="inlineStr">
        <is>
          <t>GÄVLEBORGS LÄN</t>
        </is>
      </c>
      <c r="G177" t="inlineStr">
        <is>
          <t>HUDIKSVALL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46256</v>
      </c>
      <c r="F178" t="inlineStr">
        <is>
          <t>GÄVLEBORGS LÄN</t>
        </is>
      </c>
      <c r="G178" t="inlineStr">
        <is>
          <t>HUDIKSVALL</t>
        </is>
      </c>
      <c r="H178" t="inlineStr">
        <is>
          <t>Kommuner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60626-2021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44496</v>
      </c>
      <c r="E179" s="1" t="n">
        <v>46256</v>
      </c>
      <c r="F179" t="inlineStr">
        <is>
          <t>GÄVLEBORGS LÄN</t>
        </is>
      </c>
      <c r="G179" t="inlineStr">
        <is>
          <t>HUDIKSVALL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46256</v>
      </c>
      <c r="F180" t="inlineStr">
        <is>
          <t>GÄVLEBORGS LÄN</t>
        </is>
      </c>
      <c r="G180" t="inlineStr">
        <is>
          <t>HUDIKSVALL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26402-2025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45807</v>
      </c>
      <c r="E181" s="1" t="n">
        <v>46256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46256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46256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72083-2021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44544</v>
      </c>
      <c r="E184" s="1" t="n">
        <v>46256</v>
      </c>
      <c r="F184" t="inlineStr">
        <is>
          <t>GÄVLEBORGS LÄN</t>
        </is>
      </c>
      <c r="G184" t="inlineStr">
        <is>
          <t>HUDIKSVALL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71408-2021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44540</v>
      </c>
      <c r="E185" s="1" t="n">
        <v>46256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46256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46256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46256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45132</v>
      </c>
      <c r="E189" s="1" t="n">
        <v>46256</v>
      </c>
      <c r="F189" t="inlineStr">
        <is>
          <t>GÄVLEBORGS LÄN</t>
        </is>
      </c>
      <c r="G189" t="inlineStr">
        <is>
          <t>HUDIKSVALL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46256</v>
      </c>
      <c r="F190" t="inlineStr">
        <is>
          <t>GÄVLEBORGS LÄN</t>
        </is>
      </c>
      <c r="G190" t="inlineStr">
        <is>
          <t>HUDIKSVALL</t>
        </is>
      </c>
      <c r="I190" t="n">
        <v>66.59999999999999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46256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9.6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46256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45545</v>
      </c>
      <c r="E193" s="1" t="n">
        <v>46256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46256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46256</v>
      </c>
      <c r="F195" t="inlineStr">
        <is>
          <t>GÄVLEBORGS LÄN</t>
        </is>
      </c>
      <c r="G195" t="inlineStr">
        <is>
          <t>HUDIKSVALL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46256</v>
      </c>
      <c r="F196" t="inlineStr">
        <is>
          <t>GÄVLEBORGS LÄN</t>
        </is>
      </c>
      <c r="G196" t="inlineStr">
        <is>
          <t>HUDIKSVALL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46256</v>
      </c>
      <c r="F197" t="inlineStr">
        <is>
          <t>GÄVLEBORGS LÄN</t>
        </is>
      </c>
      <c r="G197" t="inlineStr">
        <is>
          <t>HUDIKSVALL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46256</v>
      </c>
      <c r="F198" t="inlineStr">
        <is>
          <t>GÄVLEBORGS LÄN</t>
        </is>
      </c>
      <c r="G198" t="inlineStr">
        <is>
          <t>HUDIKSVALL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46256</v>
      </c>
      <c r="F199" t="inlineStr">
        <is>
          <t>GÄVLEBORGS LÄN</t>
        </is>
      </c>
      <c r="G199" t="inlineStr">
        <is>
          <t>HUDIKSVALL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46256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46256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46256</v>
      </c>
      <c r="F202" t="inlineStr">
        <is>
          <t>GÄVLEBORGS LÄN</t>
        </is>
      </c>
      <c r="G202" t="inlineStr">
        <is>
          <t>HUDIKSVALL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46256</v>
      </c>
      <c r="F203" t="inlineStr">
        <is>
          <t>GÄVLEBORGS LÄN</t>
        </is>
      </c>
      <c r="G203" t="inlineStr">
        <is>
          <t>HUDIKSVALL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46256</v>
      </c>
      <c r="F204" t="inlineStr">
        <is>
          <t>GÄVLEBORGS LÄN</t>
        </is>
      </c>
      <c r="G204" t="inlineStr">
        <is>
          <t>HUDIKSVALL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46256</v>
      </c>
      <c r="F205" t="inlineStr">
        <is>
          <t>GÄVLEBORGS LÄN</t>
        </is>
      </c>
      <c r="G205" t="inlineStr">
        <is>
          <t>HUDIKSVALL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46256</v>
      </c>
      <c r="F206" t="inlineStr">
        <is>
          <t>GÄVLEBORGS LÄN</t>
        </is>
      </c>
      <c r="G206" t="inlineStr">
        <is>
          <t>HUDIKSVALL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51567-2022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44869</v>
      </c>
      <c r="E207" s="1" t="n">
        <v>46256</v>
      </c>
      <c r="F207" t="inlineStr">
        <is>
          <t>GÄVLEBORGS LÄN</t>
        </is>
      </c>
      <c r="G207" t="inlineStr">
        <is>
          <t>HUDIKSVALL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45411</v>
      </c>
      <c r="E208" s="1" t="n">
        <v>46256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46256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46256</v>
      </c>
      <c r="F210" t="inlineStr">
        <is>
          <t>GÄVLEBORGS LÄN</t>
        </is>
      </c>
      <c r="G210" t="inlineStr">
        <is>
          <t>HUDIKSVALL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46256</v>
      </c>
      <c r="F211" t="inlineStr">
        <is>
          <t>GÄVLEBORGS LÄN</t>
        </is>
      </c>
      <c r="G211" t="inlineStr">
        <is>
          <t>HUDIKSVALL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46256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46256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29.4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46256</v>
      </c>
      <c r="F214" t="inlineStr">
        <is>
          <t>GÄVLEBORGS LÄN</t>
        </is>
      </c>
      <c r="G214" t="inlineStr">
        <is>
          <t>HUDIKSVALL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46256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45816</v>
      </c>
      <c r="E216" s="1" t="n">
        <v>46256</v>
      </c>
      <c r="F216" t="inlineStr">
        <is>
          <t>GÄVLEBORGS LÄN</t>
        </is>
      </c>
      <c r="G216" t="inlineStr">
        <is>
          <t>HUDIKSVALL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46256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45817</v>
      </c>
      <c r="E218" s="1" t="n">
        <v>46256</v>
      </c>
      <c r="F218" t="inlineStr">
        <is>
          <t>GÄVLEBORGS LÄN</t>
        </is>
      </c>
      <c r="G218" t="inlineStr">
        <is>
          <t>HUDIKSVALL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46256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45275</v>
      </c>
      <c r="E220" s="1" t="n">
        <v>46256</v>
      </c>
      <c r="F220" t="inlineStr">
        <is>
          <t>GÄVLEBORGS LÄN</t>
        </is>
      </c>
      <c r="G220" t="inlineStr">
        <is>
          <t>HUDIKSVALL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46256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46256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46256</v>
      </c>
      <c r="F223" t="inlineStr">
        <is>
          <t>GÄVLEBORGS LÄN</t>
        </is>
      </c>
      <c r="G223" t="inlineStr">
        <is>
          <t>HUDIKSVALL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46256</v>
      </c>
      <c r="F224" t="inlineStr">
        <is>
          <t>GÄVLEBORGS LÄN</t>
        </is>
      </c>
      <c r="G224" t="inlineStr">
        <is>
          <t>HUDIKSVALL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46256</v>
      </c>
      <c r="F225" t="inlineStr">
        <is>
          <t>GÄVLEBORGS LÄN</t>
        </is>
      </c>
      <c r="G225" t="inlineStr">
        <is>
          <t>HUDIKSVALL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44798</v>
      </c>
      <c r="E226" s="1" t="n">
        <v>46256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46256</v>
      </c>
      <c r="F227" t="inlineStr">
        <is>
          <t>GÄVLEBORGS LÄN</t>
        </is>
      </c>
      <c r="G227" t="inlineStr">
        <is>
          <t>HUDIKSVALL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46256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46256</v>
      </c>
      <c r="F229" t="inlineStr">
        <is>
          <t>GÄVLEBORGS LÄN</t>
        </is>
      </c>
      <c r="G229" t="inlineStr">
        <is>
          <t>HUDIKSVALL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46256</v>
      </c>
      <c r="F230" t="inlineStr">
        <is>
          <t>GÄVLEBORGS LÄN</t>
        </is>
      </c>
      <c r="G230" t="inlineStr">
        <is>
          <t>HUDIKSVALL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44798</v>
      </c>
      <c r="E231" s="1" t="n">
        <v>46256</v>
      </c>
      <c r="F231" t="inlineStr">
        <is>
          <t>GÄVLEBORGS LÄN</t>
        </is>
      </c>
      <c r="G231" t="inlineStr">
        <is>
          <t>HUDIKSVALL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46256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44762</v>
      </c>
      <c r="E233" s="1" t="n">
        <v>46256</v>
      </c>
      <c r="F233" t="inlineStr">
        <is>
          <t>GÄVLEBORGS LÄN</t>
        </is>
      </c>
      <c r="G233" t="inlineStr">
        <is>
          <t>HUDIKSVALL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46256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46256</v>
      </c>
      <c r="F235" t="inlineStr">
        <is>
          <t>GÄVLEBORGS LÄN</t>
        </is>
      </c>
      <c r="G235" t="inlineStr">
        <is>
          <t>HUDIKSVALL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46256</v>
      </c>
      <c r="F236" t="inlineStr">
        <is>
          <t>GÄVLEBORGS LÄN</t>
        </is>
      </c>
      <c r="G236" t="inlineStr">
        <is>
          <t>HUDIKSVALL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46256</v>
      </c>
      <c r="F237" t="inlineStr">
        <is>
          <t>GÄVLEBORGS LÄN</t>
        </is>
      </c>
      <c r="G237" t="inlineStr">
        <is>
          <t>HUDIKSVALL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46256</v>
      </c>
      <c r="F238" t="inlineStr">
        <is>
          <t>GÄVLEBORGS LÄN</t>
        </is>
      </c>
      <c r="G238" t="inlineStr">
        <is>
          <t>HUDIKSVALL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46256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46256</v>
      </c>
      <c r="F240" t="inlineStr">
        <is>
          <t>GÄVLEBORGS LÄN</t>
        </is>
      </c>
      <c r="G240" t="inlineStr">
        <is>
          <t>HUDIKSVALL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46256</v>
      </c>
      <c r="F241" t="inlineStr">
        <is>
          <t>GÄVLEBORGS LÄN</t>
        </is>
      </c>
      <c r="G241" t="inlineStr">
        <is>
          <t>HUDIKSVALL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45664</v>
      </c>
      <c r="E242" s="1" t="n">
        <v>46256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46256</v>
      </c>
      <c r="F243" t="inlineStr">
        <is>
          <t>GÄVLEBORGS LÄN</t>
        </is>
      </c>
      <c r="G243" t="inlineStr">
        <is>
          <t>HUDIKSVALL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45111</v>
      </c>
      <c r="E244" s="1" t="n">
        <v>46256</v>
      </c>
      <c r="F244" t="inlineStr">
        <is>
          <t>GÄVLEBORGS LÄN</t>
        </is>
      </c>
      <c r="G244" t="inlineStr">
        <is>
          <t>HUDIKSVALL</t>
        </is>
      </c>
      <c r="I244" t="n">
        <v>11.5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46256</v>
      </c>
      <c r="F245" t="inlineStr">
        <is>
          <t>GÄVLEBORGS LÄN</t>
        </is>
      </c>
      <c r="G245" t="inlineStr">
        <is>
          <t>HUDIKSVALL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46256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45355</v>
      </c>
      <c r="E247" s="1" t="n">
        <v>46256</v>
      </c>
      <c r="F247" t="inlineStr">
        <is>
          <t>GÄVLEBORGS LÄN</t>
        </is>
      </c>
      <c r="G247" t="inlineStr">
        <is>
          <t>HUDIKSVALL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46256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46256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45660</v>
      </c>
      <c r="E250" s="1" t="n">
        <v>46256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45895</v>
      </c>
      <c r="E251" s="1" t="n">
        <v>46256</v>
      </c>
      <c r="F251" t="inlineStr">
        <is>
          <t>GÄVLEBORGS LÄN</t>
        </is>
      </c>
      <c r="G251" t="inlineStr">
        <is>
          <t>HUDIKSVALL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45818</v>
      </c>
      <c r="E252" s="1" t="n">
        <v>46256</v>
      </c>
      <c r="F252" t="inlineStr">
        <is>
          <t>GÄVLEBORGS LÄN</t>
        </is>
      </c>
      <c r="G252" t="inlineStr">
        <is>
          <t>HUDIKSVALL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46256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46256</v>
      </c>
      <c r="F254" t="inlineStr">
        <is>
          <t>GÄVLEBORGS LÄN</t>
        </is>
      </c>
      <c r="G254" t="inlineStr">
        <is>
          <t>HUDIKSVALL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45338</v>
      </c>
      <c r="E255" s="1" t="n">
        <v>46256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46256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46256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44528</v>
      </c>
      <c r="E258" s="1" t="n">
        <v>46256</v>
      </c>
      <c r="F258" t="inlineStr">
        <is>
          <t>GÄVLEBORGS LÄN</t>
        </is>
      </c>
      <c r="G258" t="inlineStr">
        <is>
          <t>HUDIKSVALL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46256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Kommuner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46256</v>
      </c>
      <c r="F260" t="inlineStr">
        <is>
          <t>GÄVLEBORGS LÄN</t>
        </is>
      </c>
      <c r="G260" t="inlineStr">
        <is>
          <t>HUDIKSVALL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46256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46256</v>
      </c>
      <c r="F262" t="inlineStr">
        <is>
          <t>GÄVLEBORGS LÄN</t>
        </is>
      </c>
      <c r="G262" t="inlineStr">
        <is>
          <t>HUDIKSVALL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46256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56215-2024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45624</v>
      </c>
      <c r="E264" s="1" t="n">
        <v>46256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46256</v>
      </c>
      <c r="F265" t="inlineStr">
        <is>
          <t>GÄVLEBORGS LÄN</t>
        </is>
      </c>
      <c r="G265" t="inlineStr">
        <is>
          <t>HUDIKSVALL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41192-2025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46256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46256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46256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35.1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46256</v>
      </c>
      <c r="F269" t="inlineStr">
        <is>
          <t>GÄVLEBORGS LÄN</t>
        </is>
      </c>
      <c r="G269" t="inlineStr">
        <is>
          <t>HUDIKSVALL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46256</v>
      </c>
      <c r="F270" t="inlineStr">
        <is>
          <t>GÄVLEBORGS LÄN</t>
        </is>
      </c>
      <c r="G270" t="inlineStr">
        <is>
          <t>HUDIKSVALL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46256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46256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46256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44741</v>
      </c>
      <c r="E274" s="1" t="n">
        <v>46256</v>
      </c>
      <c r="F274" t="inlineStr">
        <is>
          <t>GÄVLEBORGS LÄN</t>
        </is>
      </c>
      <c r="G274" t="inlineStr">
        <is>
          <t>HUDIKSVALL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46256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46256</v>
      </c>
      <c r="F276" t="inlineStr">
        <is>
          <t>GÄVLEBORGS LÄN</t>
        </is>
      </c>
      <c r="G276" t="inlineStr">
        <is>
          <t>HUDIKSVALL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45513</v>
      </c>
      <c r="E277" s="1" t="n">
        <v>46256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46256</v>
      </c>
      <c r="F278" t="inlineStr">
        <is>
          <t>GÄVLEBORGS LÄN</t>
        </is>
      </c>
      <c r="G278" t="inlineStr">
        <is>
          <t>HUDIKSVALL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46256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56754-2022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46256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45697</v>
      </c>
      <c r="E281" s="1" t="n">
        <v>46256</v>
      </c>
      <c r="F281" t="inlineStr">
        <is>
          <t>GÄVLEBORGS LÄN</t>
        </is>
      </c>
      <c r="G281" t="inlineStr">
        <is>
          <t>HUDIKSVALL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45695</v>
      </c>
      <c r="E282" s="1" t="n">
        <v>46256</v>
      </c>
      <c r="F282" t="inlineStr">
        <is>
          <t>GÄVLEBORGS LÄN</t>
        </is>
      </c>
      <c r="G282" t="inlineStr">
        <is>
          <t>HUDIKSVALL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46256</v>
      </c>
      <c r="F283" t="inlineStr">
        <is>
          <t>GÄVLEBORGS LÄN</t>
        </is>
      </c>
      <c r="G283" t="inlineStr">
        <is>
          <t>HUDIKSVALL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46256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54690-2024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45618</v>
      </c>
      <c r="E285" s="1" t="n">
        <v>46256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46256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46256</v>
      </c>
      <c r="F287" t="inlineStr">
        <is>
          <t>GÄVLEBORGS LÄN</t>
        </is>
      </c>
      <c r="G287" t="inlineStr">
        <is>
          <t>HUDIKSVALL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46256</v>
      </c>
      <c r="F288" t="inlineStr">
        <is>
          <t>GÄVLEBORGS LÄN</t>
        </is>
      </c>
      <c r="G288" t="inlineStr">
        <is>
          <t>HUDIKSVALL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46256</v>
      </c>
      <c r="F289" t="inlineStr">
        <is>
          <t>GÄVLEBORGS LÄN</t>
        </is>
      </c>
      <c r="G289" t="inlineStr">
        <is>
          <t>HUDIKSVALL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44609</v>
      </c>
      <c r="E290" s="1" t="n">
        <v>46256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46256</v>
      </c>
      <c r="F291" t="inlineStr">
        <is>
          <t>GÄVLEBORGS LÄN</t>
        </is>
      </c>
      <c r="G291" t="inlineStr">
        <is>
          <t>HUDIKSVALL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45627</v>
      </c>
      <c r="E292" s="1" t="n">
        <v>46256</v>
      </c>
      <c r="F292" t="inlineStr">
        <is>
          <t>GÄVLEBORGS LÄN</t>
        </is>
      </c>
      <c r="G292" t="inlineStr">
        <is>
          <t>HUDIKSVALL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45051</v>
      </c>
      <c r="E293" s="1" t="n">
        <v>46256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46256</v>
      </c>
      <c r="F294" t="inlineStr">
        <is>
          <t>GÄVLEBORGS LÄN</t>
        </is>
      </c>
      <c r="G294" t="inlineStr">
        <is>
          <t>HUDIKSVALL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46256</v>
      </c>
      <c r="F295" t="inlineStr">
        <is>
          <t>GÄVLEBORGS LÄN</t>
        </is>
      </c>
      <c r="G295" t="inlineStr">
        <is>
          <t>HUDIKSVALL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46256</v>
      </c>
      <c r="F296" t="inlineStr">
        <is>
          <t>GÄVLEBORGS LÄN</t>
        </is>
      </c>
      <c r="G296" t="inlineStr">
        <is>
          <t>HUDIKSVALL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46256</v>
      </c>
      <c r="F297" t="inlineStr">
        <is>
          <t>GÄVLEBORGS LÄN</t>
        </is>
      </c>
      <c r="G297" t="inlineStr">
        <is>
          <t>HUDIKSVALL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46256</v>
      </c>
      <c r="F298" t="inlineStr">
        <is>
          <t>GÄVLEBORGS LÄN</t>
        </is>
      </c>
      <c r="G298" t="inlineStr">
        <is>
          <t>HUDIKSVALL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46256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46256</v>
      </c>
      <c r="F300" t="inlineStr">
        <is>
          <t>GÄVLEBORGS LÄN</t>
        </is>
      </c>
      <c r="G300" t="inlineStr">
        <is>
          <t>HUDIKSVALL</t>
        </is>
      </c>
      <c r="I300" t="n">
        <v>17.3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45001</v>
      </c>
      <c r="E301" s="1" t="n">
        <v>46256</v>
      </c>
      <c r="F301" t="inlineStr">
        <is>
          <t>GÄVLEBORGS LÄN</t>
        </is>
      </c>
      <c r="G301" t="inlineStr">
        <is>
          <t>HUDIKSVALL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46256</v>
      </c>
      <c r="F302" t="inlineStr">
        <is>
          <t>GÄVLEBORGS LÄN</t>
        </is>
      </c>
      <c r="G302" t="inlineStr">
        <is>
          <t>HUDIKSVALL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46256</v>
      </c>
      <c r="F303" t="inlineStr">
        <is>
          <t>GÄVLEBORGS LÄN</t>
        </is>
      </c>
      <c r="G303" t="inlineStr">
        <is>
          <t>HUDIKSVALL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45278</v>
      </c>
      <c r="E304" s="1" t="n">
        <v>46256</v>
      </c>
      <c r="F304" t="inlineStr">
        <is>
          <t>GÄVLEBORGS LÄN</t>
        </is>
      </c>
      <c r="G304" t="inlineStr">
        <is>
          <t>HUDIKSVALL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46256</v>
      </c>
      <c r="F305" t="inlineStr">
        <is>
          <t>GÄVLEBORGS LÄN</t>
        </is>
      </c>
      <c r="G305" t="inlineStr">
        <is>
          <t>HUDIKSVALL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46256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45910</v>
      </c>
      <c r="E307" s="1" t="n">
        <v>46256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46256</v>
      </c>
      <c r="F308" t="inlineStr">
        <is>
          <t>GÄVLEBORGS LÄN</t>
        </is>
      </c>
      <c r="G308" t="inlineStr">
        <is>
          <t>HUDIKSVALL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46256</v>
      </c>
      <c r="F309" t="inlineStr">
        <is>
          <t>GÄVLEBORGS LÄN</t>
        </is>
      </c>
      <c r="G309" t="inlineStr">
        <is>
          <t>HUDIKSVALL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46256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45824</v>
      </c>
      <c r="E311" s="1" t="n">
        <v>46256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46256</v>
      </c>
      <c r="F312" t="inlineStr">
        <is>
          <t>GÄVLEBORGS LÄN</t>
        </is>
      </c>
      <c r="G312" t="inlineStr">
        <is>
          <t>HUDIKSVALL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46256</v>
      </c>
      <c r="F313" t="inlineStr">
        <is>
          <t>GÄVLEBORGS LÄN</t>
        </is>
      </c>
      <c r="G313" t="inlineStr">
        <is>
          <t>HUDIKSVALL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45824</v>
      </c>
      <c r="E314" s="1" t="n">
        <v>46256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46256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46256</v>
      </c>
      <c r="F316" t="inlineStr">
        <is>
          <t>GÄVLEBORGS LÄN</t>
        </is>
      </c>
      <c r="G316" t="inlineStr">
        <is>
          <t>HUDIKSVALL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45827</v>
      </c>
      <c r="E317" s="1" t="n">
        <v>46256</v>
      </c>
      <c r="F317" t="inlineStr">
        <is>
          <t>GÄVLEBORGS LÄN</t>
        </is>
      </c>
      <c r="G317" t="inlineStr">
        <is>
          <t>HUDIKSVALL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46256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46256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45827</v>
      </c>
      <c r="E320" s="1" t="n">
        <v>46256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48.3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46256</v>
      </c>
      <c r="F321" t="inlineStr">
        <is>
          <t>GÄVLEBORGS LÄN</t>
        </is>
      </c>
      <c r="G321" t="inlineStr">
        <is>
          <t>HUDIKSVALL</t>
        </is>
      </c>
      <c r="I321" t="n">
        <v>14.4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46256</v>
      </c>
      <c r="F322" t="inlineStr">
        <is>
          <t>GÄVLEBORGS LÄN</t>
        </is>
      </c>
      <c r="G322" t="inlineStr">
        <is>
          <t>HUDIKSVALL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46256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Sveaskog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46256</v>
      </c>
      <c r="F324" t="inlineStr">
        <is>
          <t>GÄVLEBORGS LÄN</t>
        </is>
      </c>
      <c r="G324" t="inlineStr">
        <is>
          <t>HUDIKSVALL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46256</v>
      </c>
      <c r="F325" t="inlineStr">
        <is>
          <t>GÄVLEBORGS LÄN</t>
        </is>
      </c>
      <c r="G325" t="inlineStr">
        <is>
          <t>HUDIKSVALL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45828</v>
      </c>
      <c r="E326" s="1" t="n">
        <v>46256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46256</v>
      </c>
      <c r="F327" t="inlineStr">
        <is>
          <t>GÄVLEBORGS LÄN</t>
        </is>
      </c>
      <c r="G327" t="inlineStr">
        <is>
          <t>HUDIKSVALL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46256</v>
      </c>
      <c r="F328" t="inlineStr">
        <is>
          <t>GÄVLEBORGS LÄN</t>
        </is>
      </c>
      <c r="G328" t="inlineStr">
        <is>
          <t>HUDIKSVALL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46256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45828</v>
      </c>
      <c r="E330" s="1" t="n">
        <v>46256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45828</v>
      </c>
      <c r="E331" s="1" t="n">
        <v>46256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45050</v>
      </c>
      <c r="E332" s="1" t="n">
        <v>46256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45432</v>
      </c>
      <c r="E333" s="1" t="n">
        <v>46256</v>
      </c>
      <c r="F333" t="inlineStr">
        <is>
          <t>GÄVLEBORGS LÄN</t>
        </is>
      </c>
      <c r="G333" t="inlineStr">
        <is>
          <t>HUDIKSVALL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40876-2022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44825</v>
      </c>
      <c r="E334" s="1" t="n">
        <v>46256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46256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46256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54565-2021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46256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46256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45071</v>
      </c>
      <c r="E339" s="1" t="n">
        <v>46256</v>
      </c>
      <c r="F339" t="inlineStr">
        <is>
          <t>GÄVLEBORGS LÄN</t>
        </is>
      </c>
      <c r="G339" t="inlineStr">
        <is>
          <t>HUDIKSVALL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65363-2021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44515</v>
      </c>
      <c r="E340" s="1" t="n">
        <v>46256</v>
      </c>
      <c r="F340" t="inlineStr">
        <is>
          <t>GÄVLEBORGS LÄN</t>
        </is>
      </c>
      <c r="G340" t="inlineStr">
        <is>
          <t>HUDIKSVALL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46256</v>
      </c>
      <c r="F341" t="inlineStr">
        <is>
          <t>GÄVLEBORGS LÄN</t>
        </is>
      </c>
      <c r="G341" t="inlineStr">
        <is>
          <t>HUDIKSVALL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9309-2022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46256</v>
      </c>
      <c r="F342" t="inlineStr">
        <is>
          <t>GÄVLEBORGS LÄN</t>
        </is>
      </c>
      <c r="G342" t="inlineStr">
        <is>
          <t>HUDIKSVALL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46256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46256</v>
      </c>
      <c r="F344" t="inlineStr">
        <is>
          <t>GÄVLEBORGS LÄN</t>
        </is>
      </c>
      <c r="G344" t="inlineStr">
        <is>
          <t>HUDIKSVALL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45272</v>
      </c>
      <c r="E345" s="1" t="n">
        <v>46256</v>
      </c>
      <c r="F345" t="inlineStr">
        <is>
          <t>GÄVLEBORGS LÄN</t>
        </is>
      </c>
      <c r="G345" t="inlineStr">
        <is>
          <t>HUDIKSVALL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46256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46256</v>
      </c>
      <c r="F347" t="inlineStr">
        <is>
          <t>GÄVLEBORGS LÄN</t>
        </is>
      </c>
      <c r="G347" t="inlineStr">
        <is>
          <t>HUDIKSVALL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46256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46256</v>
      </c>
      <c r="F349" t="inlineStr">
        <is>
          <t>GÄVLEBORGS LÄN</t>
        </is>
      </c>
      <c r="G349" t="inlineStr">
        <is>
          <t>HUDIKSVALL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45019</v>
      </c>
      <c r="E350" s="1" t="n">
        <v>46256</v>
      </c>
      <c r="F350" t="inlineStr">
        <is>
          <t>GÄVLEBORGS LÄN</t>
        </is>
      </c>
      <c r="G350" t="inlineStr">
        <is>
          <t>HUDIKSVALL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46256</v>
      </c>
      <c r="F351" t="inlineStr">
        <is>
          <t>GÄVLEBORGS LÄN</t>
        </is>
      </c>
      <c r="G351" t="inlineStr">
        <is>
          <t>HUDIKSVALL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46256</v>
      </c>
      <c r="F352" t="inlineStr">
        <is>
          <t>GÄVLEBORGS LÄN</t>
        </is>
      </c>
      <c r="G352" t="inlineStr">
        <is>
          <t>HUDIKSVALL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46256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13.7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46256</v>
      </c>
      <c r="F354" t="inlineStr">
        <is>
          <t>GÄVLEBORGS LÄN</t>
        </is>
      </c>
      <c r="G354" t="inlineStr">
        <is>
          <t>HUDIKSVALL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45142</v>
      </c>
      <c r="E355" s="1" t="n">
        <v>46256</v>
      </c>
      <c r="F355" t="inlineStr">
        <is>
          <t>GÄVLEBORGS LÄN</t>
        </is>
      </c>
      <c r="G355" t="inlineStr">
        <is>
          <t>HUDIKSVALL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46256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45406</v>
      </c>
      <c r="E357" s="1" t="n">
        <v>46256</v>
      </c>
      <c r="F357" t="inlineStr">
        <is>
          <t>GÄVLEBORGS LÄN</t>
        </is>
      </c>
      <c r="G357" t="inlineStr">
        <is>
          <t>HUDIKSVALL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45191</v>
      </c>
      <c r="E358" s="1" t="n">
        <v>46256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46256</v>
      </c>
      <c r="F359" t="inlineStr">
        <is>
          <t>GÄVLEBORGS LÄN</t>
        </is>
      </c>
      <c r="G359" t="inlineStr">
        <is>
          <t>HUDIKSVALL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46256</v>
      </c>
      <c r="F360" t="inlineStr">
        <is>
          <t>GÄVLEBORGS LÄN</t>
        </is>
      </c>
      <c r="G360" t="inlineStr">
        <is>
          <t>HUDIKSVALL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46256</v>
      </c>
      <c r="F361" t="inlineStr">
        <is>
          <t>GÄVLEBORGS LÄN</t>
        </is>
      </c>
      <c r="G361" t="inlineStr">
        <is>
          <t>HUDIKSVALL</t>
        </is>
      </c>
      <c r="I361" t="n">
        <v>17.2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44986-2025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46256</v>
      </c>
      <c r="F362" t="inlineStr">
        <is>
          <t>GÄVLEBORGS LÄN</t>
        </is>
      </c>
      <c r="G362" t="inlineStr">
        <is>
          <t>HUDIKSVALL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46256</v>
      </c>
      <c r="F363" t="inlineStr">
        <is>
          <t>GÄVLEBORGS LÄN</t>
        </is>
      </c>
      <c r="G363" t="inlineStr">
        <is>
          <t>HUDIKSVALL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45738-2025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46256</v>
      </c>
      <c r="F364" t="inlineStr">
        <is>
          <t>GÄVLEBORGS LÄN</t>
        </is>
      </c>
      <c r="G364" t="inlineStr">
        <is>
          <t>HUDIKSVALL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45314</v>
      </c>
      <c r="E365" s="1" t="n">
        <v>46256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46256</v>
      </c>
      <c r="F366" t="inlineStr">
        <is>
          <t>GÄVLEBORGS LÄN</t>
        </is>
      </c>
      <c r="G366" t="inlineStr">
        <is>
          <t>HUDIKSVALL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46256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59593-2021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44491</v>
      </c>
      <c r="E368" s="1" t="n">
        <v>46256</v>
      </c>
      <c r="F368" t="inlineStr">
        <is>
          <t>GÄVLEBORGS LÄN</t>
        </is>
      </c>
      <c r="G368" t="inlineStr">
        <is>
          <t>HUDIKSVALL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46256</v>
      </c>
      <c r="F369" t="inlineStr">
        <is>
          <t>GÄVLEBORGS LÄN</t>
        </is>
      </c>
      <c r="G369" t="inlineStr">
        <is>
          <t>HUDIKSVALL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46256</v>
      </c>
      <c r="F370" t="inlineStr">
        <is>
          <t>GÄVLEBORGS LÄN</t>
        </is>
      </c>
      <c r="G370" t="inlineStr">
        <is>
          <t>HUDIKSVALL</t>
        </is>
      </c>
      <c r="I370" t="n">
        <v>31.2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45559</v>
      </c>
      <c r="E371" s="1" t="n">
        <v>46256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45851-2025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46256</v>
      </c>
      <c r="F372" t="inlineStr">
        <is>
          <t>GÄVLEBORGS LÄN</t>
        </is>
      </c>
      <c r="G372" t="inlineStr">
        <is>
          <t>HUDIKSVALL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45705</v>
      </c>
      <c r="E373" s="1" t="n">
        <v>46256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46256</v>
      </c>
      <c r="F374" t="inlineStr">
        <is>
          <t>GÄVLEBORGS LÄN</t>
        </is>
      </c>
      <c r="G374" t="inlineStr">
        <is>
          <t>HUDIKSVALL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46256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46257-2025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46256</v>
      </c>
      <c r="F376" t="inlineStr">
        <is>
          <t>GÄVLEBORGS LÄN</t>
        </is>
      </c>
      <c r="G376" t="inlineStr">
        <is>
          <t>HUDIKSVALL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64593-2023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45281</v>
      </c>
      <c r="E377" s="1" t="n">
        <v>46256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46256</v>
      </c>
      <c r="F378" t="inlineStr">
        <is>
          <t>GÄVLEBORGS LÄN</t>
        </is>
      </c>
      <c r="G378" t="inlineStr">
        <is>
          <t>HUDIKSVALL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44902</v>
      </c>
      <c r="E379" s="1" t="n">
        <v>46256</v>
      </c>
      <c r="F379" t="inlineStr">
        <is>
          <t>GÄVLEBORGS LÄN</t>
        </is>
      </c>
      <c r="G379" t="inlineStr">
        <is>
          <t>HUDIKSVALL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46256</v>
      </c>
      <c r="F380" t="inlineStr">
        <is>
          <t>GÄVLEBORGS LÄN</t>
        </is>
      </c>
      <c r="G380" t="inlineStr">
        <is>
          <t>HUDIKSVALL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46256</v>
      </c>
      <c r="F381" t="inlineStr">
        <is>
          <t>GÄVLEBORGS LÄN</t>
        </is>
      </c>
      <c r="G381" t="inlineStr">
        <is>
          <t>HUDIKSVALL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46256</v>
      </c>
      <c r="F382" t="inlineStr">
        <is>
          <t>GÄVLEBORGS LÄN</t>
        </is>
      </c>
      <c r="G382" t="inlineStr">
        <is>
          <t>HUDIKSVALL</t>
        </is>
      </c>
      <c r="I382" t="n">
        <v>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46256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21.6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58423-2022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46256</v>
      </c>
      <c r="F384" t="inlineStr">
        <is>
          <t>GÄVLEBORGS LÄN</t>
        </is>
      </c>
      <c r="G384" t="inlineStr">
        <is>
          <t>HUDIKSVALL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46256</v>
      </c>
      <c r="F385" t="inlineStr">
        <is>
          <t>GÄVLEBORGS LÄN</t>
        </is>
      </c>
      <c r="G385" t="inlineStr">
        <is>
          <t>HUDIKSVALL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45075</v>
      </c>
      <c r="E386" s="1" t="n">
        <v>46256</v>
      </c>
      <c r="F386" t="inlineStr">
        <is>
          <t>GÄVLEBORGS LÄN</t>
        </is>
      </c>
      <c r="G386" t="inlineStr">
        <is>
          <t>HUDIKSVALL</t>
        </is>
      </c>
      <c r="H386" t="inlineStr">
        <is>
          <t>Kommuner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43007-2023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46256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46256</v>
      </c>
      <c r="F388" t="inlineStr">
        <is>
          <t>GÄVLEBORGS LÄN</t>
        </is>
      </c>
      <c r="G388" t="inlineStr">
        <is>
          <t>HUDIKSVALL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46256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46902-2025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46256</v>
      </c>
      <c r="F390" t="inlineStr">
        <is>
          <t>GÄVLEBORGS LÄN</t>
        </is>
      </c>
      <c r="G390" t="inlineStr">
        <is>
          <t>HUDIKSVALL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46256</v>
      </c>
      <c r="F391" t="inlineStr">
        <is>
          <t>GÄVLEBORGS LÄN</t>
        </is>
      </c>
      <c r="G391" t="inlineStr">
        <is>
          <t>HUDIKSVALL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46256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46256</v>
      </c>
      <c r="F393" t="inlineStr">
        <is>
          <t>GÄVLEBORGS LÄN</t>
        </is>
      </c>
      <c r="G393" t="inlineStr">
        <is>
          <t>HUDIKSVALL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46256</v>
      </c>
      <c r="F394" t="inlineStr">
        <is>
          <t>GÄVLEBORGS LÄN</t>
        </is>
      </c>
      <c r="G394" t="inlineStr">
        <is>
          <t>HUDIKSVALL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45535</v>
      </c>
      <c r="E395" s="1" t="n">
        <v>46256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45352-2021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44439</v>
      </c>
      <c r="E396" s="1" t="n">
        <v>46256</v>
      </c>
      <c r="F396" t="inlineStr">
        <is>
          <t>GÄVLEBORGS LÄN</t>
        </is>
      </c>
      <c r="G396" t="inlineStr">
        <is>
          <t>HUDIKSVALL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45145</v>
      </c>
      <c r="E397" s="1" t="n">
        <v>46256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8.800000000000001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45414</v>
      </c>
      <c r="E398" s="1" t="n">
        <v>46256</v>
      </c>
      <c r="F398" t="inlineStr">
        <is>
          <t>GÄVLEBORGS LÄN</t>
        </is>
      </c>
      <c r="G398" t="inlineStr">
        <is>
          <t>HUDIKSVALL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46256</v>
      </c>
      <c r="F399" t="inlineStr">
        <is>
          <t>GÄVLEBORGS LÄN</t>
        </is>
      </c>
      <c r="G399" t="inlineStr">
        <is>
          <t>HUDIKSVALL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46256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46256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46992-2025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45929</v>
      </c>
      <c r="E402" s="1" t="n">
        <v>46256</v>
      </c>
      <c r="F402" t="inlineStr">
        <is>
          <t>GÄVLEBORGS LÄN</t>
        </is>
      </c>
      <c r="G402" t="inlineStr">
        <is>
          <t>HUDIKSVALL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46256</v>
      </c>
      <c r="F403" t="inlineStr">
        <is>
          <t>GÄVLEBORGS LÄN</t>
        </is>
      </c>
      <c r="G403" t="inlineStr">
        <is>
          <t>HUDIKSVALL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46256</v>
      </c>
      <c r="F404" t="inlineStr">
        <is>
          <t>GÄVLEBORGS LÄN</t>
        </is>
      </c>
      <c r="G404" t="inlineStr">
        <is>
          <t>HUDIKSVALL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14863-2024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46256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46256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45258</v>
      </c>
      <c r="E407" s="1" t="n">
        <v>46256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45225</v>
      </c>
      <c r="E408" s="1" t="n">
        <v>46256</v>
      </c>
      <c r="F408" t="inlineStr">
        <is>
          <t>GÄVLEBORGS LÄN</t>
        </is>
      </c>
      <c r="G408" t="inlineStr">
        <is>
          <t>HUDIKSVALL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46256</v>
      </c>
      <c r="F409" t="inlineStr">
        <is>
          <t>GÄVLEBORGS LÄN</t>
        </is>
      </c>
      <c r="G409" t="inlineStr">
        <is>
          <t>HUDIKSVALL</t>
        </is>
      </c>
      <c r="I409" t="n">
        <v>16.4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47185-2025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46256</v>
      </c>
      <c r="F410" t="inlineStr">
        <is>
          <t>GÄVLEBORGS LÄN</t>
        </is>
      </c>
      <c r="G410" t="inlineStr">
        <is>
          <t>HUDIKSVALL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46256</v>
      </c>
      <c r="F411" t="inlineStr">
        <is>
          <t>GÄVLEBORGS LÄN</t>
        </is>
      </c>
      <c r="G411" t="inlineStr">
        <is>
          <t>HUDIKSVALL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45715</v>
      </c>
      <c r="E412" s="1" t="n">
        <v>46256</v>
      </c>
      <c r="F412" t="inlineStr">
        <is>
          <t>GÄVLEBORGS LÄN</t>
        </is>
      </c>
      <c r="G412" t="inlineStr">
        <is>
          <t>HUDIKSVALL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72535-2021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44546</v>
      </c>
      <c r="E413" s="1" t="n">
        <v>46256</v>
      </c>
      <c r="F413" t="inlineStr">
        <is>
          <t>GÄVLEBORGS LÄN</t>
        </is>
      </c>
      <c r="G413" t="inlineStr">
        <is>
          <t>HUDIKSVALL</t>
        </is>
      </c>
      <c r="H413" t="inlineStr">
        <is>
          <t>Sveaskog</t>
        </is>
      </c>
      <c r="I413" t="n">
        <v>23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42136-2024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46256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46256</v>
      </c>
      <c r="F415" t="inlineStr">
        <is>
          <t>GÄVLEBORGS LÄN</t>
        </is>
      </c>
      <c r="G415" t="inlineStr">
        <is>
          <t>HUDIKSVALL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46256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18.3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45342</v>
      </c>
      <c r="E417" s="1" t="n">
        <v>46256</v>
      </c>
      <c r="F417" t="inlineStr">
        <is>
          <t>GÄVLEBORGS LÄN</t>
        </is>
      </c>
      <c r="G417" t="inlineStr">
        <is>
          <t>HUDIKSVALL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60872-2024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46256</v>
      </c>
      <c r="F418" t="inlineStr">
        <is>
          <t>GÄVLEBORGS LÄN</t>
        </is>
      </c>
      <c r="G418" t="inlineStr">
        <is>
          <t>HUDIKSVALL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46256</v>
      </c>
      <c r="F419" t="inlineStr">
        <is>
          <t>GÄVLEBORGS LÄN</t>
        </is>
      </c>
      <c r="G419" t="inlineStr">
        <is>
          <t>HUDIKSVALL</t>
        </is>
      </c>
      <c r="I419" t="n">
        <v>20.1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46256</v>
      </c>
      <c r="F420" t="inlineStr">
        <is>
          <t>GÄVLEBORGS LÄN</t>
        </is>
      </c>
      <c r="G420" t="inlineStr">
        <is>
          <t>HUDIKSVALL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61785-2024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45649</v>
      </c>
      <c r="E421" s="1" t="n">
        <v>46256</v>
      </c>
      <c r="F421" t="inlineStr">
        <is>
          <t>GÄVLEBORGS LÄN</t>
        </is>
      </c>
      <c r="G421" t="inlineStr">
        <is>
          <t>HUDIKSVALL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45649</v>
      </c>
      <c r="E422" s="1" t="n">
        <v>46256</v>
      </c>
      <c r="F422" t="inlineStr">
        <is>
          <t>GÄVLEBORGS LÄN</t>
        </is>
      </c>
      <c r="G422" t="inlineStr">
        <is>
          <t>HUDIKSVALL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46256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45933</v>
      </c>
      <c r="E424" s="1" t="n">
        <v>46256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46256</v>
      </c>
      <c r="F425" t="inlineStr">
        <is>
          <t>GÄVLEBORGS LÄN</t>
        </is>
      </c>
      <c r="G425" t="inlineStr">
        <is>
          <t>HUDIKSVALL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45295</v>
      </c>
      <c r="E426" s="1" t="n">
        <v>46256</v>
      </c>
      <c r="F426" t="inlineStr">
        <is>
          <t>GÄVLEBORGS LÄN</t>
        </is>
      </c>
      <c r="G426" t="inlineStr">
        <is>
          <t>HUDIKSVALL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46256</v>
      </c>
      <c r="F427" t="inlineStr">
        <is>
          <t>GÄVLEBORGS LÄN</t>
        </is>
      </c>
      <c r="G427" t="inlineStr">
        <is>
          <t>HUDIKSVALL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45232</v>
      </c>
      <c r="E428" s="1" t="n">
        <v>46256</v>
      </c>
      <c r="F428" t="inlineStr">
        <is>
          <t>GÄVLEBORGS LÄN</t>
        </is>
      </c>
      <c r="G428" t="inlineStr">
        <is>
          <t>HUDIKSVALL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54676-2024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45618</v>
      </c>
      <c r="E429" s="1" t="n">
        <v>46256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46256</v>
      </c>
      <c r="F430" t="inlineStr">
        <is>
          <t>GÄVLEBORGS LÄN</t>
        </is>
      </c>
      <c r="G430" t="inlineStr">
        <is>
          <t>HUDIKSVALL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48380-2025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46256</v>
      </c>
      <c r="F431" t="inlineStr">
        <is>
          <t>GÄVLEBORGS LÄN</t>
        </is>
      </c>
      <c r="G431" t="inlineStr">
        <is>
          <t>HUDIKSVALL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45034</v>
      </c>
      <c r="E432" s="1" t="n">
        <v>46256</v>
      </c>
      <c r="F432" t="inlineStr">
        <is>
          <t>GÄVLEBORGS LÄN</t>
        </is>
      </c>
      <c r="G432" t="inlineStr">
        <is>
          <t>HUDIKSVALL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44833</v>
      </c>
      <c r="E433" s="1" t="n">
        <v>46256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44833</v>
      </c>
      <c r="E434" s="1" t="n">
        <v>46256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45309</v>
      </c>
      <c r="E435" s="1" t="n">
        <v>46256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46256</v>
      </c>
      <c r="F436" t="inlineStr">
        <is>
          <t>GÄVLEBORGS LÄN</t>
        </is>
      </c>
      <c r="G436" t="inlineStr">
        <is>
          <t>HUDIKSVALL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46256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44571</v>
      </c>
      <c r="E438" s="1" t="n">
        <v>46256</v>
      </c>
      <c r="F438" t="inlineStr">
        <is>
          <t>GÄVLEBORGS LÄN</t>
        </is>
      </c>
      <c r="G438" t="inlineStr">
        <is>
          <t>HUDIKSVALL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46256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46256</v>
      </c>
      <c r="F440" t="inlineStr">
        <is>
          <t>GÄVLEBORGS LÄN</t>
        </is>
      </c>
      <c r="G440" t="inlineStr">
        <is>
          <t>HUDIKSVALL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46256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45722</v>
      </c>
      <c r="E442" s="1" t="n">
        <v>46256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5230-2024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45330</v>
      </c>
      <c r="E443" s="1" t="n">
        <v>46256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45022</v>
      </c>
      <c r="E444" s="1" t="n">
        <v>46256</v>
      </c>
      <c r="F444" t="inlineStr">
        <is>
          <t>GÄVLEBORGS LÄN</t>
        </is>
      </c>
      <c r="G444" t="inlineStr">
        <is>
          <t>HUDIKSVALL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45353</v>
      </c>
      <c r="E445" s="1" t="n">
        <v>46256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33138-2022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44785</v>
      </c>
      <c r="E446" s="1" t="n">
        <v>46256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50031-2025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46256</v>
      </c>
      <c r="F447" t="inlineStr">
        <is>
          <t>GÄVLEBORGS LÄN</t>
        </is>
      </c>
      <c r="G447" t="inlineStr">
        <is>
          <t>HUDIKSVALL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45426</v>
      </c>
      <c r="E448" s="1" t="n">
        <v>46256</v>
      </c>
      <c r="F448" t="inlineStr">
        <is>
          <t>GÄVLEBORGS LÄN</t>
        </is>
      </c>
      <c r="G448" t="inlineStr">
        <is>
          <t>HUDIKSVALL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45426</v>
      </c>
      <c r="E449" s="1" t="n">
        <v>46256</v>
      </c>
      <c r="F449" t="inlineStr">
        <is>
          <t>GÄVLEBORGS LÄN</t>
        </is>
      </c>
      <c r="G449" t="inlineStr">
        <is>
          <t>HUDIKSVALL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46256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45328</v>
      </c>
      <c r="E451" s="1" t="n">
        <v>46256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68659-2021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44529</v>
      </c>
      <c r="E452" s="1" t="n">
        <v>46256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45944</v>
      </c>
      <c r="E453" s="1" t="n">
        <v>46256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46256</v>
      </c>
      <c r="F454" t="inlineStr">
        <is>
          <t>GÄVLEBORGS LÄN</t>
        </is>
      </c>
      <c r="G454" t="inlineStr">
        <is>
          <t>HUDIKSVALL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46256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45944</v>
      </c>
      <c r="E456" s="1" t="n">
        <v>46256</v>
      </c>
      <c r="F456" t="inlineStr">
        <is>
          <t>GÄVLEBORGS LÄN</t>
        </is>
      </c>
      <c r="G456" t="inlineStr">
        <is>
          <t>HUDIKSVALL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44980</v>
      </c>
      <c r="E457" s="1" t="n">
        <v>46256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46256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45700</v>
      </c>
      <c r="E459" s="1" t="n">
        <v>46256</v>
      </c>
      <c r="F459" t="inlineStr">
        <is>
          <t>GÄVLEBORGS LÄN</t>
        </is>
      </c>
      <c r="G459" t="inlineStr">
        <is>
          <t>HUDIKSVALL</t>
        </is>
      </c>
      <c r="I459" t="n">
        <v>25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45944</v>
      </c>
      <c r="E460" s="1" t="n">
        <v>46256</v>
      </c>
      <c r="F460" t="inlineStr">
        <is>
          <t>GÄVLEBORGS LÄN</t>
        </is>
      </c>
      <c r="G460" t="inlineStr">
        <is>
          <t>HUDIKSVALL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45386</v>
      </c>
      <c r="E461" s="1" t="n">
        <v>46256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46256</v>
      </c>
      <c r="F462" t="inlineStr">
        <is>
          <t>GÄVLEBORGS LÄN</t>
        </is>
      </c>
      <c r="G462" t="inlineStr">
        <is>
          <t>HUDIKSVALL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46256</v>
      </c>
      <c r="F463" t="inlineStr">
        <is>
          <t>GÄVLEBORGS LÄN</t>
        </is>
      </c>
      <c r="G463" t="inlineStr">
        <is>
          <t>HUDIKSVALL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46256</v>
      </c>
      <c r="F464" t="inlineStr">
        <is>
          <t>GÄVLEBORGS LÄN</t>
        </is>
      </c>
      <c r="G464" t="inlineStr">
        <is>
          <t>HUDIKSVALL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45527</v>
      </c>
      <c r="E465" s="1" t="n">
        <v>46256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45715</v>
      </c>
      <c r="E466" s="1" t="n">
        <v>46256</v>
      </c>
      <c r="F466" t="inlineStr">
        <is>
          <t>GÄVLEBORGS LÄN</t>
        </is>
      </c>
      <c r="G466" t="inlineStr">
        <is>
          <t>HUDIKSVALL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46256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46256</v>
      </c>
      <c r="F468" t="inlineStr">
        <is>
          <t>GÄVLEBORGS LÄN</t>
        </is>
      </c>
      <c r="G468" t="inlineStr">
        <is>
          <t>HUDIKSVALL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46256</v>
      </c>
      <c r="F469" t="inlineStr">
        <is>
          <t>GÄVLEBORGS LÄN</t>
        </is>
      </c>
      <c r="G469" t="inlineStr">
        <is>
          <t>HUDIKSVALL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45387</v>
      </c>
      <c r="E470" s="1" t="n">
        <v>46256</v>
      </c>
      <c r="F470" t="inlineStr">
        <is>
          <t>GÄVLEBORGS LÄN</t>
        </is>
      </c>
      <c r="G470" t="inlineStr">
        <is>
          <t>HUDIKSVALL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27467-2024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46256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45617</v>
      </c>
      <c r="E472" s="1" t="n">
        <v>46256</v>
      </c>
      <c r="F472" t="inlineStr">
        <is>
          <t>GÄVLEBORGS LÄN</t>
        </is>
      </c>
      <c r="G472" t="inlineStr">
        <is>
          <t>HUDIKSVALL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46256</v>
      </c>
      <c r="F473" t="inlineStr">
        <is>
          <t>GÄVLEBORGS LÄN</t>
        </is>
      </c>
      <c r="G473" t="inlineStr">
        <is>
          <t>HUDIKSVALL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46256</v>
      </c>
      <c r="F474" t="inlineStr">
        <is>
          <t>GÄVLEBORGS LÄN</t>
        </is>
      </c>
      <c r="G474" t="inlineStr">
        <is>
          <t>HUDIKSVALL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19601-2024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45431</v>
      </c>
      <c r="E475" s="1" t="n">
        <v>46256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46256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51534-2025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46256</v>
      </c>
      <c r="F477" t="inlineStr">
        <is>
          <t>GÄVLEBORGS LÄN</t>
        </is>
      </c>
      <c r="G477" t="inlineStr">
        <is>
          <t>HUDIKSVALL</t>
        </is>
      </c>
      <c r="I477" t="n">
        <v>15.2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45951</v>
      </c>
      <c r="E478" s="1" t="n">
        <v>46256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45289</v>
      </c>
      <c r="E479" s="1" t="n">
        <v>46256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46256</v>
      </c>
      <c r="F480" t="inlineStr">
        <is>
          <t>GÄVLEBORGS LÄN</t>
        </is>
      </c>
      <c r="G480" t="inlineStr">
        <is>
          <t>HUDIKSVALL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46256</v>
      </c>
      <c r="F481" t="inlineStr">
        <is>
          <t>GÄVLEBORGS LÄN</t>
        </is>
      </c>
      <c r="G481" t="inlineStr">
        <is>
          <t>HUDIKSVALL</t>
        </is>
      </c>
      <c r="I481" t="n">
        <v>11.8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45639</v>
      </c>
      <c r="E482" s="1" t="n">
        <v>46256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14059-2025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45740</v>
      </c>
      <c r="E483" s="1" t="n">
        <v>46256</v>
      </c>
      <c r="F483" t="inlineStr">
        <is>
          <t>GÄVLEBORGS LÄN</t>
        </is>
      </c>
      <c r="G483" t="inlineStr">
        <is>
          <t>HUDIKSVALL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45841</v>
      </c>
      <c r="E484" s="1" t="n">
        <v>46256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45951</v>
      </c>
      <c r="E485" s="1" t="n">
        <v>46256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46256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45663</v>
      </c>
      <c r="E487" s="1" t="n">
        <v>46256</v>
      </c>
      <c r="F487" t="inlineStr">
        <is>
          <t>GÄVLEBORGS LÄN</t>
        </is>
      </c>
      <c r="G487" t="inlineStr">
        <is>
          <t>HUDIKSVALL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45677</v>
      </c>
      <c r="E488" s="1" t="n">
        <v>46256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46256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46256</v>
      </c>
      <c r="F490" t="inlineStr">
        <is>
          <t>GÄVLEBORGS LÄN</t>
        </is>
      </c>
      <c r="G490" t="inlineStr">
        <is>
          <t>HUDIKSVALL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45951</v>
      </c>
      <c r="E491" s="1" t="n">
        <v>46256</v>
      </c>
      <c r="F491" t="inlineStr">
        <is>
          <t>GÄVLEBORGS LÄN</t>
        </is>
      </c>
      <c r="G491" t="inlineStr">
        <is>
          <t>HUDIKSVALL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51766-2025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45951</v>
      </c>
      <c r="E492" s="1" t="n">
        <v>46256</v>
      </c>
      <c r="F492" t="inlineStr">
        <is>
          <t>GÄVLEBORGS LÄN</t>
        </is>
      </c>
      <c r="G492" t="inlineStr">
        <is>
          <t>HUDIKSVALL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46256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46256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45950</v>
      </c>
      <c r="E495" s="1" t="n">
        <v>46256</v>
      </c>
      <c r="F495" t="inlineStr">
        <is>
          <t>GÄVLEBORGS LÄN</t>
        </is>
      </c>
      <c r="G495" t="inlineStr">
        <is>
          <t>HUDIKSVALL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45840</v>
      </c>
      <c r="E496" s="1" t="n">
        <v>46256</v>
      </c>
      <c r="F496" t="inlineStr">
        <is>
          <t>GÄVLEBORGS LÄN</t>
        </is>
      </c>
      <c r="G496" t="inlineStr">
        <is>
          <t>HUDIKSVALL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38687-2024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46256</v>
      </c>
      <c r="F497" t="inlineStr">
        <is>
          <t>GÄVLEBORGS LÄN</t>
        </is>
      </c>
      <c r="G497" t="inlineStr">
        <is>
          <t>HUDIKSVALL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46256</v>
      </c>
      <c r="F498" t="inlineStr">
        <is>
          <t>GÄVLEBORGS LÄN</t>
        </is>
      </c>
      <c r="G498" t="inlineStr">
        <is>
          <t>HUDIKSVALL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51860-2025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45952</v>
      </c>
      <c r="E499" s="1" t="n">
        <v>46256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51877-2025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45952</v>
      </c>
      <c r="E500" s="1" t="n">
        <v>46256</v>
      </c>
      <c r="F500" t="inlineStr">
        <is>
          <t>GÄVLEBORGS LÄN</t>
        </is>
      </c>
      <c r="G500" t="inlineStr">
        <is>
          <t>HUDIKSVALL</t>
        </is>
      </c>
      <c r="H500" t="inlineStr">
        <is>
          <t>Naturvårdsverket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46256</v>
      </c>
      <c r="F501" t="inlineStr">
        <is>
          <t>GÄVLEBORGS LÄN</t>
        </is>
      </c>
      <c r="G501" t="inlineStr">
        <is>
          <t>HUDIKSVALL</t>
        </is>
      </c>
      <c r="H501" t="inlineStr">
        <is>
          <t>Naturvårdsverket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45247</v>
      </c>
      <c r="E502" s="1" t="n">
        <v>46256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45371</v>
      </c>
      <c r="E503" s="1" t="n">
        <v>46256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46256</v>
      </c>
      <c r="F504" t="inlineStr">
        <is>
          <t>GÄVLEBORGS LÄN</t>
        </is>
      </c>
      <c r="G504" t="inlineStr">
        <is>
          <t>HUDIKSVALL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45265</v>
      </c>
      <c r="E505" s="1" t="n">
        <v>46256</v>
      </c>
      <c r="F505" t="inlineStr">
        <is>
          <t>GÄVLEBORGS LÄN</t>
        </is>
      </c>
      <c r="G505" t="inlineStr">
        <is>
          <t>HUDIKSVALL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46256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46256</v>
      </c>
      <c r="F507" t="inlineStr">
        <is>
          <t>GÄVLEBORGS LÄN</t>
        </is>
      </c>
      <c r="G507" t="inlineStr">
        <is>
          <t>HUDIKSVALL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46256</v>
      </c>
      <c r="F508" t="inlineStr">
        <is>
          <t>GÄVLEBORGS LÄN</t>
        </is>
      </c>
      <c r="G508" t="inlineStr">
        <is>
          <t>HUDIKSVALL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45957</v>
      </c>
      <c r="E509" s="1" t="n">
        <v>46256</v>
      </c>
      <c r="F509" t="inlineStr">
        <is>
          <t>GÄVLEBORGS LÄN</t>
        </is>
      </c>
      <c r="G509" t="inlineStr">
        <is>
          <t>HUDIKSVALL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46256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33254-2025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45840</v>
      </c>
      <c r="E511" s="1" t="n">
        <v>46256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46256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45412</v>
      </c>
      <c r="E513" s="1" t="n">
        <v>46256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28.6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45019</v>
      </c>
      <c r="E514" s="1" t="n">
        <v>46256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45569</v>
      </c>
      <c r="E515" s="1" t="n">
        <v>46256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45044</v>
      </c>
      <c r="E516" s="1" t="n">
        <v>46256</v>
      </c>
      <c r="F516" t="inlineStr">
        <is>
          <t>GÄVLEBORGS LÄN</t>
        </is>
      </c>
      <c r="G516" t="inlineStr">
        <is>
          <t>HUDIKSVALL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13759-2022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44649</v>
      </c>
      <c r="E517" s="1" t="n">
        <v>46256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44939</v>
      </c>
      <c r="E518" s="1" t="n">
        <v>46256</v>
      </c>
      <c r="F518" t="inlineStr">
        <is>
          <t>GÄVLEBORGS LÄN</t>
        </is>
      </c>
      <c r="G518" t="inlineStr">
        <is>
          <t>HUDIKSVALL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45960</v>
      </c>
      <c r="E519" s="1" t="n">
        <v>46256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20670-2022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44700</v>
      </c>
      <c r="E520" s="1" t="n">
        <v>46256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59118-2022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44904</v>
      </c>
      <c r="E521" s="1" t="n">
        <v>46256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46256</v>
      </c>
      <c r="F522" t="inlineStr">
        <is>
          <t>GÄVLEBORGS LÄN</t>
        </is>
      </c>
      <c r="G522" t="inlineStr">
        <is>
          <t>HUDIKSVALL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45958</v>
      </c>
      <c r="E523" s="1" t="n">
        <v>46256</v>
      </c>
      <c r="F523" t="inlineStr">
        <is>
          <t>GÄVLEBORGS LÄN</t>
        </is>
      </c>
      <c r="G523" t="inlineStr">
        <is>
          <t>HUDIKSVALL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45764</v>
      </c>
      <c r="E524" s="1" t="n">
        <v>46256</v>
      </c>
      <c r="F524" t="inlineStr">
        <is>
          <t>GÄVLEBORGS LÄN</t>
        </is>
      </c>
      <c r="G524" t="inlineStr">
        <is>
          <t>HUDIKSVALL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46256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45082</v>
      </c>
      <c r="E526" s="1" t="n">
        <v>46256</v>
      </c>
      <c r="F526" t="inlineStr">
        <is>
          <t>GÄVLEBORGS LÄN</t>
        </is>
      </c>
      <c r="G526" t="inlineStr">
        <is>
          <t>HUDIKSVALL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11432-2023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46256</v>
      </c>
      <c r="F527" t="inlineStr">
        <is>
          <t>GÄVLEBORGS LÄN</t>
        </is>
      </c>
      <c r="G527" t="inlineStr">
        <is>
          <t>HUDIKSVALL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61977-2022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44918</v>
      </c>
      <c r="E528" s="1" t="n">
        <v>46256</v>
      </c>
      <c r="F528" t="inlineStr">
        <is>
          <t>GÄVLEBORGS LÄN</t>
        </is>
      </c>
      <c r="G528" t="inlineStr">
        <is>
          <t>HUDIKSVALL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45842</v>
      </c>
      <c r="E529" s="1" t="n">
        <v>46256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32.2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46256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13.9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34370-2022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44792</v>
      </c>
      <c r="E531" s="1" t="n">
        <v>46256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45545</v>
      </c>
      <c r="E532" s="1" t="n">
        <v>46256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45965</v>
      </c>
      <c r="E533" s="1" t="n">
        <v>46256</v>
      </c>
      <c r="F533" t="inlineStr">
        <is>
          <t>GÄVLEBORGS LÄN</t>
        </is>
      </c>
      <c r="G533" t="inlineStr">
        <is>
          <t>HUDIKSVALL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14771-2025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45742</v>
      </c>
      <c r="E534" s="1" t="n">
        <v>46256</v>
      </c>
      <c r="F534" t="inlineStr">
        <is>
          <t>GÄVLEBORGS LÄN</t>
        </is>
      </c>
      <c r="G534" t="inlineStr">
        <is>
          <t>HUDIKSVALL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55330-2021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44475</v>
      </c>
      <c r="E535" s="1" t="n">
        <v>46256</v>
      </c>
      <c r="F535" t="inlineStr">
        <is>
          <t>GÄVLEBORGS LÄN</t>
        </is>
      </c>
      <c r="G535" t="inlineStr">
        <is>
          <t>HUDIKSVALL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74009-2021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44557</v>
      </c>
      <c r="E536" s="1" t="n">
        <v>46256</v>
      </c>
      <c r="F536" t="inlineStr">
        <is>
          <t>GÄVLEBORGS LÄN</t>
        </is>
      </c>
      <c r="G536" t="inlineStr">
        <is>
          <t>HUDIKSVALL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46256</v>
      </c>
      <c r="F537" t="inlineStr">
        <is>
          <t>GÄVLEBORGS LÄN</t>
        </is>
      </c>
      <c r="G537" t="inlineStr">
        <is>
          <t>HUDIKSVALL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46256</v>
      </c>
      <c r="F538" t="inlineStr">
        <is>
          <t>GÄVLEBORGS LÄN</t>
        </is>
      </c>
      <c r="G538" t="inlineStr">
        <is>
          <t>HUDIKSVALL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46256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46256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45314</v>
      </c>
      <c r="E541" s="1" t="n">
        <v>46256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16327-2023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45028</v>
      </c>
      <c r="E542" s="1" t="n">
        <v>46256</v>
      </c>
      <c r="F542" t="inlineStr">
        <is>
          <t>GÄVLEBORGS LÄN</t>
        </is>
      </c>
      <c r="G542" t="inlineStr">
        <is>
          <t>HUDIKSVALL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54864-2025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45966</v>
      </c>
      <c r="E543" s="1" t="n">
        <v>46256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12846-2024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45384</v>
      </c>
      <c r="E544" s="1" t="n">
        <v>46256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46256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55481-2025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46256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46256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46256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53796-2023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46256</v>
      </c>
      <c r="F549" t="inlineStr">
        <is>
          <t>GÄVLEBORGS LÄN</t>
        </is>
      </c>
      <c r="G549" t="inlineStr">
        <is>
          <t>HUDIKSVALL</t>
        </is>
      </c>
      <c r="I549" t="n">
        <v>17.6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45967</v>
      </c>
      <c r="E550" s="1" t="n">
        <v>46256</v>
      </c>
      <c r="F550" t="inlineStr">
        <is>
          <t>GÄVLEBORGS LÄN</t>
        </is>
      </c>
      <c r="G550" t="inlineStr">
        <is>
          <t>HUDIKSVALL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46256</v>
      </c>
      <c r="F551" t="inlineStr">
        <is>
          <t>GÄVLEBORGS LÄN</t>
        </is>
      </c>
      <c r="G551" t="inlineStr">
        <is>
          <t>HUDIKSVALL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46256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55370-2025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46256</v>
      </c>
      <c r="F553" t="inlineStr">
        <is>
          <t>GÄVLEBORGS LÄN</t>
        </is>
      </c>
      <c r="G553" t="inlineStr">
        <is>
          <t>HUDIKSVALL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46256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63619-2023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45275</v>
      </c>
      <c r="E555" s="1" t="n">
        <v>46256</v>
      </c>
      <c r="F555" t="inlineStr">
        <is>
          <t>GÄVLEBORGS LÄN</t>
        </is>
      </c>
      <c r="G555" t="inlineStr">
        <is>
          <t>HUDIKSVALL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55395-2025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46256</v>
      </c>
      <c r="F556" t="inlineStr">
        <is>
          <t>GÄVLEBORGS LÄN</t>
        </is>
      </c>
      <c r="G556" t="inlineStr">
        <is>
          <t>HUDIKSVALL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56021-2025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45973</v>
      </c>
      <c r="E557" s="1" t="n">
        <v>46256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21525-2022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44706</v>
      </c>
      <c r="E558" s="1" t="n">
        <v>46256</v>
      </c>
      <c r="F558" t="inlineStr">
        <is>
          <t>GÄVLEBORGS LÄN</t>
        </is>
      </c>
      <c r="G558" t="inlineStr">
        <is>
          <t>HUDIKSVALL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10994-2025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45723</v>
      </c>
      <c r="E559" s="1" t="n">
        <v>46256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45055</v>
      </c>
      <c r="E560" s="1" t="n">
        <v>46256</v>
      </c>
      <c r="F560" t="inlineStr">
        <is>
          <t>GÄVLEBORGS LÄN</t>
        </is>
      </c>
      <c r="G560" t="inlineStr">
        <is>
          <t>HUDIKSVALL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45456</v>
      </c>
      <c r="E561" s="1" t="n">
        <v>46256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11668-2024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45373</v>
      </c>
      <c r="E562" s="1" t="n">
        <v>46256</v>
      </c>
      <c r="F562" t="inlineStr">
        <is>
          <t>GÄVLEBORGS LÄN</t>
        </is>
      </c>
      <c r="G562" t="inlineStr">
        <is>
          <t>HUDIKSVALL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59823-2024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45639</v>
      </c>
      <c r="E563" s="1" t="n">
        <v>46256</v>
      </c>
      <c r="F563" t="inlineStr">
        <is>
          <t>GÄVLEBORGS LÄN</t>
        </is>
      </c>
      <c r="G563" t="inlineStr">
        <is>
          <t>HUDIKSVALL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44972</v>
      </c>
      <c r="E564" s="1" t="n">
        <v>46256</v>
      </c>
      <c r="F564" t="inlineStr">
        <is>
          <t>GÄVLEBORGS LÄN</t>
        </is>
      </c>
      <c r="G564" t="inlineStr">
        <is>
          <t>HUDIKSVALL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46256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55460-2024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45622</v>
      </c>
      <c r="E566" s="1" t="n">
        <v>46256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45512</v>
      </c>
      <c r="E567" s="1" t="n">
        <v>46256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46256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45975</v>
      </c>
      <c r="E569" s="1" t="n">
        <v>46256</v>
      </c>
      <c r="F569" t="inlineStr">
        <is>
          <t>GÄVLEBORGS LÄN</t>
        </is>
      </c>
      <c r="G569" t="inlineStr">
        <is>
          <t>HUDIKSVALL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45974</v>
      </c>
      <c r="E570" s="1" t="n">
        <v>46256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8027-2024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45350</v>
      </c>
      <c r="E571" s="1" t="n">
        <v>46256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56858-2024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45628</v>
      </c>
      <c r="E572" s="1" t="n">
        <v>46256</v>
      </c>
      <c r="F572" t="inlineStr">
        <is>
          <t>GÄVLEBORGS LÄN</t>
        </is>
      </c>
      <c r="G572" t="inlineStr">
        <is>
          <t>HUDIKSVALL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45975</v>
      </c>
      <c r="E573" s="1" t="n">
        <v>46256</v>
      </c>
      <c r="F573" t="inlineStr">
        <is>
          <t>GÄVLEBORGS LÄN</t>
        </is>
      </c>
      <c r="G573" t="inlineStr">
        <is>
          <t>HUDIKSVALL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56151-2025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45974</v>
      </c>
      <c r="E574" s="1" t="n">
        <v>46256</v>
      </c>
      <c r="F574" t="inlineStr">
        <is>
          <t>GÄVLEBORGS LÄN</t>
        </is>
      </c>
      <c r="G574" t="inlineStr">
        <is>
          <t>HUDIKSVALL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46256</v>
      </c>
      <c r="F575" t="inlineStr">
        <is>
          <t>GÄVLEBORGS LÄN</t>
        </is>
      </c>
      <c r="G575" t="inlineStr">
        <is>
          <t>HUDIKSVALL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46256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46256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45847</v>
      </c>
      <c r="E578" s="1" t="n">
        <v>46256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56698-2025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45976</v>
      </c>
      <c r="E579" s="1" t="n">
        <v>46256</v>
      </c>
      <c r="F579" t="inlineStr">
        <is>
          <t>GÄVLEBORGS LÄN</t>
        </is>
      </c>
      <c r="G579" t="inlineStr">
        <is>
          <t>HUDIKSVALL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45849</v>
      </c>
      <c r="E580" s="1" t="n">
        <v>46256</v>
      </c>
      <c r="F580" t="inlineStr">
        <is>
          <t>GÄVLEBORGS LÄN</t>
        </is>
      </c>
      <c r="G580" t="inlineStr">
        <is>
          <t>HUDIKSVALL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45849</v>
      </c>
      <c r="E581" s="1" t="n">
        <v>46256</v>
      </c>
      <c r="F581" t="inlineStr">
        <is>
          <t>GÄVLEBORGS LÄN</t>
        </is>
      </c>
      <c r="G581" t="inlineStr">
        <is>
          <t>HUDIKSVALL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45976</v>
      </c>
      <c r="E582" s="1" t="n">
        <v>46256</v>
      </c>
      <c r="F582" t="inlineStr">
        <is>
          <t>GÄVLEBORGS LÄN</t>
        </is>
      </c>
      <c r="G582" t="inlineStr">
        <is>
          <t>HUDIKSVALL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45730</v>
      </c>
      <c r="E583" s="1" t="n">
        <v>46256</v>
      </c>
      <c r="F583" t="inlineStr">
        <is>
          <t>GÄVLEBORGS LÄN</t>
        </is>
      </c>
      <c r="G583" t="inlineStr">
        <is>
          <t>HUDIKSVALL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45976</v>
      </c>
      <c r="E584" s="1" t="n">
        <v>46256</v>
      </c>
      <c r="F584" t="inlineStr">
        <is>
          <t>GÄVLEBORGS LÄN</t>
        </is>
      </c>
      <c r="G584" t="inlineStr">
        <is>
          <t>HUDIKSVALL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46256</v>
      </c>
      <c r="F585" t="inlineStr">
        <is>
          <t>GÄVLEBORGS LÄN</t>
        </is>
      </c>
      <c r="G585" t="inlineStr">
        <is>
          <t>HUDIKSVALL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46256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44894</v>
      </c>
      <c r="E587" s="1" t="n">
        <v>46256</v>
      </c>
      <c r="F587" t="inlineStr">
        <is>
          <t>GÄVLEBORGS LÄN</t>
        </is>
      </c>
      <c r="G587" t="inlineStr">
        <is>
          <t>HUDIKSVALL</t>
        </is>
      </c>
      <c r="H587" t="inlineStr">
        <is>
          <t>Kommuner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1297-2024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45303</v>
      </c>
      <c r="E588" s="1" t="n">
        <v>46256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46256</v>
      </c>
      <c r="F589" t="inlineStr">
        <is>
          <t>GÄVLEBORGS LÄN</t>
        </is>
      </c>
      <c r="G589" t="inlineStr">
        <is>
          <t>HUDIKSVALL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64727-2023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45281</v>
      </c>
      <c r="E590" s="1" t="n">
        <v>46256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57191-2025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46256</v>
      </c>
      <c r="F591" t="inlineStr">
        <is>
          <t>GÄVLEBORGS LÄN</t>
        </is>
      </c>
      <c r="G591" t="inlineStr">
        <is>
          <t>HUDIKSVALL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45716</v>
      </c>
      <c r="E592" s="1" t="n">
        <v>46256</v>
      </c>
      <c r="F592" t="inlineStr">
        <is>
          <t>GÄVLEBORGS LÄN</t>
        </is>
      </c>
      <c r="G592" t="inlineStr">
        <is>
          <t>HUDIKSVALL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46256</v>
      </c>
      <c r="F593" t="inlineStr">
        <is>
          <t>GÄVLEBORGS LÄN</t>
        </is>
      </c>
      <c r="G593" t="inlineStr">
        <is>
          <t>HUDIKSVALL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47995-2024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45589</v>
      </c>
      <c r="E594" s="1" t="n">
        <v>46256</v>
      </c>
      <c r="F594" t="inlineStr">
        <is>
          <t>GÄVLEBORGS LÄN</t>
        </is>
      </c>
      <c r="G594" t="inlineStr">
        <is>
          <t>HUDIKSVALL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46256</v>
      </c>
      <c r="F595" t="inlineStr">
        <is>
          <t>GÄVLEBORGS LÄN</t>
        </is>
      </c>
      <c r="G595" t="inlineStr">
        <is>
          <t>HUDIKSVALL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45593</v>
      </c>
      <c r="E596" s="1" t="n">
        <v>46256</v>
      </c>
      <c r="F596" t="inlineStr">
        <is>
          <t>GÄVLEBORGS LÄN</t>
        </is>
      </c>
      <c r="G596" t="inlineStr">
        <is>
          <t>HUDIKSVALL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45425</v>
      </c>
      <c r="E597" s="1" t="n">
        <v>46256</v>
      </c>
      <c r="F597" t="inlineStr">
        <is>
          <t>GÄVLEBORGS LÄN</t>
        </is>
      </c>
      <c r="G597" t="inlineStr">
        <is>
          <t>HUDIKSVALL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45575</v>
      </c>
      <c r="E598" s="1" t="n">
        <v>46256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46256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45695</v>
      </c>
      <c r="E600" s="1" t="n">
        <v>46256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57322-2025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45980</v>
      </c>
      <c r="E601" s="1" t="n">
        <v>46256</v>
      </c>
      <c r="F601" t="inlineStr">
        <is>
          <t>GÄVLEBORGS LÄN</t>
        </is>
      </c>
      <c r="G601" t="inlineStr">
        <is>
          <t>HUDIKSVALL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35071-2024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46256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35081-2024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46256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37697-2024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45541</v>
      </c>
      <c r="E604" s="1" t="n">
        <v>46256</v>
      </c>
      <c r="F604" t="inlineStr">
        <is>
          <t>GÄVLEBORGS LÄN</t>
        </is>
      </c>
      <c r="G604" t="inlineStr">
        <is>
          <t>HUDIKSVALL</t>
        </is>
      </c>
      <c r="H604" t="inlineStr">
        <is>
          <t>Kommuner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62439-2023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45268</v>
      </c>
      <c r="E605" s="1" t="n">
        <v>46256</v>
      </c>
      <c r="F605" t="inlineStr">
        <is>
          <t>GÄVLEBORGS LÄN</t>
        </is>
      </c>
      <c r="G605" t="inlineStr">
        <is>
          <t>HUDIKSVALL</t>
        </is>
      </c>
      <c r="I605" t="n">
        <v>13.3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45693</v>
      </c>
      <c r="E606" s="1" t="n">
        <v>46256</v>
      </c>
      <c r="F606" t="inlineStr">
        <is>
          <t>GÄVLEBORGS LÄN</t>
        </is>
      </c>
      <c r="G606" t="inlineStr">
        <is>
          <t>HUDIKSVALL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58254-2025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45985</v>
      </c>
      <c r="E607" s="1" t="n">
        <v>46256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15.5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45852</v>
      </c>
      <c r="E608" s="1" t="n">
        <v>46256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45982</v>
      </c>
      <c r="E609" s="1" t="n">
        <v>46256</v>
      </c>
      <c r="F609" t="inlineStr">
        <is>
          <t>GÄVLEBORGS LÄN</t>
        </is>
      </c>
      <c r="G609" t="inlineStr">
        <is>
          <t>HUDIKSVALL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58038-2025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45982</v>
      </c>
      <c r="E610" s="1" t="n">
        <v>46256</v>
      </c>
      <c r="F610" t="inlineStr">
        <is>
          <t>GÄVLEBORGS LÄN</t>
        </is>
      </c>
      <c r="G610" t="inlineStr">
        <is>
          <t>HUDIKSVALL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46256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45771</v>
      </c>
      <c r="E612" s="1" t="n">
        <v>46256</v>
      </c>
      <c r="F612" t="inlineStr">
        <is>
          <t>GÄVLEBORGS LÄN</t>
        </is>
      </c>
      <c r="G612" t="inlineStr">
        <is>
          <t>HUDIKSVALL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45852</v>
      </c>
      <c r="E613" s="1" t="n">
        <v>46256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57679-2022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44897</v>
      </c>
      <c r="E614" s="1" t="n">
        <v>46256</v>
      </c>
      <c r="F614" t="inlineStr">
        <is>
          <t>GÄVLEBORGS LÄN</t>
        </is>
      </c>
      <c r="G614" t="inlineStr">
        <is>
          <t>HUDIKSVALL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45337</v>
      </c>
      <c r="E615" s="1" t="n">
        <v>46256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45985</v>
      </c>
      <c r="E616" s="1" t="n">
        <v>46256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68730-2021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44529</v>
      </c>
      <c r="E617" s="1" t="n">
        <v>46256</v>
      </c>
      <c r="F617" t="inlineStr">
        <is>
          <t>GÄVLEBORGS LÄN</t>
        </is>
      </c>
      <c r="G617" t="inlineStr">
        <is>
          <t>HUDIKSVALL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45721</v>
      </c>
      <c r="E618" s="1" t="n">
        <v>46256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46256</v>
      </c>
      <c r="F619" t="inlineStr">
        <is>
          <t>GÄVLEBORGS LÄN</t>
        </is>
      </c>
      <c r="G619" t="inlineStr">
        <is>
          <t>HUDIKSVALL</t>
        </is>
      </c>
      <c r="I619" t="n">
        <v>12.8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58481-2025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46256</v>
      </c>
      <c r="F620" t="inlineStr">
        <is>
          <t>GÄVLEBORGS LÄN</t>
        </is>
      </c>
      <c r="G620" t="inlineStr">
        <is>
          <t>HUDIKSVALL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45527</v>
      </c>
      <c r="E621" s="1" t="n">
        <v>46256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46256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58529-2025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45985</v>
      </c>
      <c r="E623" s="1" t="n">
        <v>46256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58561-2025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45986</v>
      </c>
      <c r="E624" s="1" t="n">
        <v>46256</v>
      </c>
      <c r="F624" t="inlineStr">
        <is>
          <t>GÄVLEBORGS LÄN</t>
        </is>
      </c>
      <c r="G624" t="inlineStr">
        <is>
          <t>HUDIKSVALL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46256</v>
      </c>
      <c r="F625" t="inlineStr">
        <is>
          <t>GÄVLEBORGS LÄN</t>
        </is>
      </c>
      <c r="G625" t="inlineStr">
        <is>
          <t>HUDIKSVALL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44942</v>
      </c>
      <c r="E626" s="1" t="n">
        <v>46256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35000-2024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45527</v>
      </c>
      <c r="E627" s="1" t="n">
        <v>46256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69851-2021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44532</v>
      </c>
      <c r="E628" s="1" t="n">
        <v>46256</v>
      </c>
      <c r="F628" t="inlineStr">
        <is>
          <t>GÄVLEBORGS LÄN</t>
        </is>
      </c>
      <c r="G628" t="inlineStr">
        <is>
          <t>HUDIKSVALL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37689-2024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45541</v>
      </c>
      <c r="E629" s="1" t="n">
        <v>46256</v>
      </c>
      <c r="F629" t="inlineStr">
        <is>
          <t>GÄVLEBORGS LÄN</t>
        </is>
      </c>
      <c r="G629" t="inlineStr">
        <is>
          <t>HUDIKSVALL</t>
        </is>
      </c>
      <c r="H629" t="inlineStr">
        <is>
          <t>Kommuner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70264-2021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46256</v>
      </c>
      <c r="F630" t="inlineStr">
        <is>
          <t>GÄVLEBORGS LÄN</t>
        </is>
      </c>
      <c r="G630" t="inlineStr">
        <is>
          <t>HUDIKSVALL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45986</v>
      </c>
      <c r="E631" s="1" t="n">
        <v>46256</v>
      </c>
      <c r="F631" t="inlineStr">
        <is>
          <t>GÄVLEBORGS LÄN</t>
        </is>
      </c>
      <c r="G631" t="inlineStr">
        <is>
          <t>HUDIKSVALL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58843-2025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45987</v>
      </c>
      <c r="E632" s="1" t="n">
        <v>46256</v>
      </c>
      <c r="F632" t="inlineStr">
        <is>
          <t>GÄVLEBORGS LÄN</t>
        </is>
      </c>
      <c r="G632" t="inlineStr">
        <is>
          <t>HUDIKSVALL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45664</v>
      </c>
      <c r="E633" s="1" t="n">
        <v>46256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58560-2025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46256</v>
      </c>
      <c r="F634" t="inlineStr">
        <is>
          <t>GÄVLEBORGS LÄN</t>
        </is>
      </c>
      <c r="G634" t="inlineStr">
        <is>
          <t>HUDIKSVALL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58782-2025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46256</v>
      </c>
      <c r="F635" t="inlineStr">
        <is>
          <t>GÄVLEBORGS LÄN</t>
        </is>
      </c>
      <c r="G635" t="inlineStr">
        <is>
          <t>HUDIKSVALL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46256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47059-2024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45586</v>
      </c>
      <c r="E637" s="1" t="n">
        <v>46256</v>
      </c>
      <c r="F637" t="inlineStr">
        <is>
          <t>GÄVLEBORGS LÄN</t>
        </is>
      </c>
      <c r="G637" t="inlineStr">
        <is>
          <t>HUDIKSVALL</t>
        </is>
      </c>
      <c r="I637" t="n">
        <v>18.2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45989</v>
      </c>
      <c r="E638" s="1" t="n">
        <v>46256</v>
      </c>
      <c r="F638" t="inlineStr">
        <is>
          <t>GÄVLEBORGS LÄN</t>
        </is>
      </c>
      <c r="G638" t="inlineStr">
        <is>
          <t>HUDIKSVALL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45691</v>
      </c>
      <c r="E639" s="1" t="n">
        <v>46256</v>
      </c>
      <c r="F639" t="inlineStr">
        <is>
          <t>GÄVLEBORGS LÄN</t>
        </is>
      </c>
      <c r="G639" t="inlineStr">
        <is>
          <t>HUDIKSVALL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46256</v>
      </c>
      <c r="F640" t="inlineStr">
        <is>
          <t>GÄVLEBORGS LÄN</t>
        </is>
      </c>
      <c r="G640" t="inlineStr">
        <is>
          <t>HUDIKSVALL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45168</v>
      </c>
      <c r="E641" s="1" t="n">
        <v>46256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46256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46256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59096-2025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45988</v>
      </c>
      <c r="E644" s="1" t="n">
        <v>46256</v>
      </c>
      <c r="F644" t="inlineStr">
        <is>
          <t>GÄVLEBORGS LÄN</t>
        </is>
      </c>
      <c r="G644" t="inlineStr">
        <is>
          <t>HUDIKSVALL</t>
        </is>
      </c>
      <c r="I644" t="n">
        <v>12.9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60789-2023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45260</v>
      </c>
      <c r="E645" s="1" t="n">
        <v>46256</v>
      </c>
      <c r="F645" t="inlineStr">
        <is>
          <t>GÄVLEBORGS LÄN</t>
        </is>
      </c>
      <c r="G645" t="inlineStr">
        <is>
          <t>HUDIKSVALL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60796-2023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45260</v>
      </c>
      <c r="E646" s="1" t="n">
        <v>46256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60801-2023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45260</v>
      </c>
      <c r="E647" s="1" t="n">
        <v>46256</v>
      </c>
      <c r="F647" t="inlineStr">
        <is>
          <t>GÄVLEBORGS LÄN</t>
        </is>
      </c>
      <c r="G647" t="inlineStr">
        <is>
          <t>HUDIKSVALL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63414-2023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45274</v>
      </c>
      <c r="E648" s="1" t="n">
        <v>46256</v>
      </c>
      <c r="F648" t="inlineStr">
        <is>
          <t>GÄVLEBORGS LÄN</t>
        </is>
      </c>
      <c r="G648" t="inlineStr">
        <is>
          <t>HUDIKSVALL</t>
        </is>
      </c>
      <c r="I648" t="n">
        <v>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45674</v>
      </c>
      <c r="E649" s="1" t="n">
        <v>46256</v>
      </c>
      <c r="F649" t="inlineStr">
        <is>
          <t>GÄVLEBORGS LÄN</t>
        </is>
      </c>
      <c r="G649" t="inlineStr">
        <is>
          <t>HUDIKSVALL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59488-2025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46256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45993</v>
      </c>
      <c r="E651" s="1" t="n">
        <v>46256</v>
      </c>
      <c r="F651" t="inlineStr">
        <is>
          <t>GÄVLEBORGS LÄN</t>
        </is>
      </c>
      <c r="G651" t="inlineStr">
        <is>
          <t>HUDIKSVALL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45993</v>
      </c>
      <c r="E652" s="1" t="n">
        <v>46256</v>
      </c>
      <c r="F652" t="inlineStr">
        <is>
          <t>GÄVLEBORGS LÄN</t>
        </is>
      </c>
      <c r="G652" t="inlineStr">
        <is>
          <t>HUDIKSVALL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59781-2025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45992</v>
      </c>
      <c r="E653" s="1" t="n">
        <v>46256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45258</v>
      </c>
      <c r="E654" s="1" t="n">
        <v>46256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50898-2023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45218</v>
      </c>
      <c r="E655" s="1" t="n">
        <v>46256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14955-2023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46256</v>
      </c>
      <c r="F656" t="inlineStr">
        <is>
          <t>GÄVLEBORGS LÄN</t>
        </is>
      </c>
      <c r="G656" t="inlineStr">
        <is>
          <t>HUDIKSVALL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53721-2024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45615</v>
      </c>
      <c r="E657" s="1" t="n">
        <v>46256</v>
      </c>
      <c r="F657" t="inlineStr">
        <is>
          <t>GÄVLEBORGS LÄN</t>
        </is>
      </c>
      <c r="G657" t="inlineStr">
        <is>
          <t>HUDIKSVALL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15097-2022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44658</v>
      </c>
      <c r="E658" s="1" t="n">
        <v>46256</v>
      </c>
      <c r="F658" t="inlineStr">
        <is>
          <t>GÄVLEBORGS LÄN</t>
        </is>
      </c>
      <c r="G658" t="inlineStr">
        <is>
          <t>HUDIKSVALL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45043</v>
      </c>
      <c r="E659" s="1" t="n">
        <v>46256</v>
      </c>
      <c r="F659" t="inlineStr">
        <is>
          <t>GÄVLEBORGS LÄN</t>
        </is>
      </c>
      <c r="G659" t="inlineStr">
        <is>
          <t>HUDIKSVALL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51241-2023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45219</v>
      </c>
      <c r="E660" s="1" t="n">
        <v>46256</v>
      </c>
      <c r="F660" t="inlineStr">
        <is>
          <t>GÄVLEBORGS LÄN</t>
        </is>
      </c>
      <c r="G660" t="inlineStr">
        <is>
          <t>HUDIKSVALL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59595-2025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45992</v>
      </c>
      <c r="E661" s="1" t="n">
        <v>46256</v>
      </c>
      <c r="F661" t="inlineStr">
        <is>
          <t>GÄVLEBORGS LÄN</t>
        </is>
      </c>
      <c r="G661" t="inlineStr">
        <is>
          <t>HUDIKSVALL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22261-2024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45446</v>
      </c>
      <c r="E662" s="1" t="n">
        <v>46256</v>
      </c>
      <c r="F662" t="inlineStr">
        <is>
          <t>GÄVLEBORGS LÄN</t>
        </is>
      </c>
      <c r="G662" t="inlineStr">
        <is>
          <t>HUDIKSVALL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45587</v>
      </c>
      <c r="E663" s="1" t="n">
        <v>46256</v>
      </c>
      <c r="F663" t="inlineStr">
        <is>
          <t>GÄVLEBORGS LÄN</t>
        </is>
      </c>
      <c r="G663" t="inlineStr">
        <is>
          <t>HUDIKSVALL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45535</v>
      </c>
      <c r="E664" s="1" t="n">
        <v>46256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7.7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23964-2025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45796</v>
      </c>
      <c r="E665" s="1" t="n">
        <v>46256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9.5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37638-2022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44810</v>
      </c>
      <c r="E666" s="1" t="n">
        <v>46256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37681-2022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44810</v>
      </c>
      <c r="E667" s="1" t="n">
        <v>46256</v>
      </c>
      <c r="F667" t="inlineStr">
        <is>
          <t>GÄVLEBORGS LÄN</t>
        </is>
      </c>
      <c r="G667" t="inlineStr">
        <is>
          <t>HUDIKSVALL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60319-2025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45994</v>
      </c>
      <c r="E668" s="1" t="n">
        <v>46256</v>
      </c>
      <c r="F668" t="inlineStr">
        <is>
          <t>GÄVLEBORGS LÄN</t>
        </is>
      </c>
      <c r="G668" t="inlineStr">
        <is>
          <t>HUDIKSVALL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49713-2022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44862</v>
      </c>
      <c r="E669" s="1" t="n">
        <v>46256</v>
      </c>
      <c r="F669" t="inlineStr">
        <is>
          <t>GÄVLEBORGS LÄN</t>
        </is>
      </c>
      <c r="G669" t="inlineStr">
        <is>
          <t>HUDIKSVALL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42239-2023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45180</v>
      </c>
      <c r="E670" s="1" t="n">
        <v>46256</v>
      </c>
      <c r="F670" t="inlineStr">
        <is>
          <t>GÄVLEBORGS LÄN</t>
        </is>
      </c>
      <c r="G670" t="inlineStr">
        <is>
          <t>HUDIKSVALL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45995</v>
      </c>
      <c r="E671" s="1" t="n">
        <v>46256</v>
      </c>
      <c r="F671" t="inlineStr">
        <is>
          <t>GÄVLEBORGS LÄN</t>
        </is>
      </c>
      <c r="G671" t="inlineStr">
        <is>
          <t>HUDIKSVALL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45676</v>
      </c>
      <c r="E672" s="1" t="n">
        <v>46256</v>
      </c>
      <c r="F672" t="inlineStr">
        <is>
          <t>GÄVLEBORGS LÄN</t>
        </is>
      </c>
      <c r="G672" t="inlineStr">
        <is>
          <t>HUDIKSVALL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2754-2025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46256</v>
      </c>
      <c r="F673" t="inlineStr">
        <is>
          <t>GÄVLEBORGS LÄN</t>
        </is>
      </c>
      <c r="G673" t="inlineStr">
        <is>
          <t>HUDIKSVALL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23663-2025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45792</v>
      </c>
      <c r="E674" s="1" t="n">
        <v>46256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45294</v>
      </c>
      <c r="E675" s="1" t="n">
        <v>46256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45359</v>
      </c>
      <c r="E676" s="1" t="n">
        <v>46256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36086-2024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45533</v>
      </c>
      <c r="E677" s="1" t="n">
        <v>46256</v>
      </c>
      <c r="F677" t="inlineStr">
        <is>
          <t>GÄVLEBORGS LÄN</t>
        </is>
      </c>
      <c r="G677" t="inlineStr">
        <is>
          <t>HUDIKSVALL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60431-2025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45995</v>
      </c>
      <c r="E678" s="1" t="n">
        <v>46256</v>
      </c>
      <c r="F678" t="inlineStr">
        <is>
          <t>GÄVLEBORGS LÄN</t>
        </is>
      </c>
      <c r="G678" t="inlineStr">
        <is>
          <t>HUDIKSVALL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17322-2022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44678</v>
      </c>
      <c r="E679" s="1" t="n">
        <v>46256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61207-2022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44915</v>
      </c>
      <c r="E680" s="1" t="n">
        <v>46256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46256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60366-2025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45995</v>
      </c>
      <c r="E682" s="1" t="n">
        <v>46256</v>
      </c>
      <c r="F682" t="inlineStr">
        <is>
          <t>GÄVLEBORGS LÄN</t>
        </is>
      </c>
      <c r="G682" t="inlineStr">
        <is>
          <t>HUDIKSVALL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60899-2023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45261</v>
      </c>
      <c r="E683" s="1" t="n">
        <v>46256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60901-2023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46256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58088-2022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44900</v>
      </c>
      <c r="E685" s="1" t="n">
        <v>46256</v>
      </c>
      <c r="F685" t="inlineStr">
        <is>
          <t>GÄVLEBORGS LÄN</t>
        </is>
      </c>
      <c r="G685" t="inlineStr">
        <is>
          <t>HUDIKSVALL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45749</v>
      </c>
      <c r="E686" s="1" t="n">
        <v>46256</v>
      </c>
      <c r="F686" t="inlineStr">
        <is>
          <t>GÄVLEBORGS LÄN</t>
        </is>
      </c>
      <c r="G686" t="inlineStr">
        <is>
          <t>HUDIKSVALL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61546-2025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46001</v>
      </c>
      <c r="E687" s="1" t="n">
        <v>46256</v>
      </c>
      <c r="F687" t="inlineStr">
        <is>
          <t>GÄVLEBORGS LÄN</t>
        </is>
      </c>
      <c r="G687" t="inlineStr">
        <is>
          <t>HUDIKSVALL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45702</v>
      </c>
      <c r="E688" s="1" t="n">
        <v>46256</v>
      </c>
      <c r="F688" t="inlineStr">
        <is>
          <t>GÄVLEBORGS LÄN</t>
        </is>
      </c>
      <c r="G688" t="inlineStr">
        <is>
          <t>HUDIKSVALL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10375-2023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44987</v>
      </c>
      <c r="E689" s="1" t="n">
        <v>46256</v>
      </c>
      <c r="F689" t="inlineStr">
        <is>
          <t>GÄVLEBORGS LÄN</t>
        </is>
      </c>
      <c r="G689" t="inlineStr">
        <is>
          <t>HUDIKSVALL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66418-2021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44518</v>
      </c>
      <c r="E690" s="1" t="n">
        <v>46256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21772-2023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45065</v>
      </c>
      <c r="E691" s="1" t="n">
        <v>46256</v>
      </c>
      <c r="F691" t="inlineStr">
        <is>
          <t>GÄVLEBORGS LÄN</t>
        </is>
      </c>
      <c r="G691" t="inlineStr">
        <is>
          <t>HUDIKSVALL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60847-2022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44914</v>
      </c>
      <c r="E692" s="1" t="n">
        <v>46256</v>
      </c>
      <c r="F692" t="inlineStr">
        <is>
          <t>GÄVLEBORGS LÄN</t>
        </is>
      </c>
      <c r="G692" t="inlineStr">
        <is>
          <t>HUDIKSVALL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59244-2025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45988</v>
      </c>
      <c r="E693" s="1" t="n">
        <v>46256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Kommuner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46256</v>
      </c>
      <c r="F694" t="inlineStr">
        <is>
          <t>GÄVLEBORGS LÄN</t>
        </is>
      </c>
      <c r="G694" t="inlineStr">
        <is>
          <t>HUDIKSVALL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46256</v>
      </c>
      <c r="F695" t="inlineStr">
        <is>
          <t>GÄVLEBORGS LÄN</t>
        </is>
      </c>
      <c r="G695" t="inlineStr">
        <is>
          <t>HUDIKSVALL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47320-2023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45202</v>
      </c>
      <c r="E696" s="1" t="n">
        <v>46256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45202</v>
      </c>
      <c r="E697" s="1" t="n">
        <v>46256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46256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6985-2025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46256</v>
      </c>
      <c r="F699" t="inlineStr">
        <is>
          <t>GÄVLEBORGS LÄN</t>
        </is>
      </c>
      <c r="G699" t="inlineStr">
        <is>
          <t>HUDIKSVALL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61343-2025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46001</v>
      </c>
      <c r="E700" s="1" t="n">
        <v>46256</v>
      </c>
      <c r="F700" t="inlineStr">
        <is>
          <t>GÄVLEBORGS LÄN</t>
        </is>
      </c>
      <c r="G700" t="inlineStr">
        <is>
          <t>HUDIKSVALL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46256</v>
      </c>
      <c r="F701" t="inlineStr">
        <is>
          <t>GÄVLEBORGS LÄN</t>
        </is>
      </c>
      <c r="G701" t="inlineStr">
        <is>
          <t>HUDIKSVALL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26547-2024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45469</v>
      </c>
      <c r="E702" s="1" t="n">
        <v>46256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5901-2025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45695</v>
      </c>
      <c r="E703" s="1" t="n">
        <v>46256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18912-2025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45764</v>
      </c>
      <c r="E704" s="1" t="n">
        <v>46256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45499</v>
      </c>
      <c r="E705" s="1" t="n">
        <v>46256</v>
      </c>
      <c r="F705" t="inlineStr">
        <is>
          <t>GÄVLEBORGS LÄN</t>
        </is>
      </c>
      <c r="G705" t="inlineStr">
        <is>
          <t>HUDIKSVALL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45861</v>
      </c>
      <c r="E706" s="1" t="n">
        <v>46256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61696-2025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46002</v>
      </c>
      <c r="E707" s="1" t="n">
        <v>46256</v>
      </c>
      <c r="F707" t="inlineStr">
        <is>
          <t>GÄVLEBORGS LÄN</t>
        </is>
      </c>
      <c r="G707" t="inlineStr">
        <is>
          <t>HUDIKSVALL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61649-2025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46002</v>
      </c>
      <c r="E708" s="1" t="n">
        <v>46256</v>
      </c>
      <c r="F708" t="inlineStr">
        <is>
          <t>GÄVLEBORGS LÄN</t>
        </is>
      </c>
      <c r="G708" t="inlineStr">
        <is>
          <t>HUDIKSVALL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45663</v>
      </c>
      <c r="E709" s="1" t="n">
        <v>46256</v>
      </c>
      <c r="F709" t="inlineStr">
        <is>
          <t>GÄVLEBORGS LÄN</t>
        </is>
      </c>
      <c r="G709" t="inlineStr">
        <is>
          <t>HUDIKSVALL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58942-2022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44903</v>
      </c>
      <c r="E710" s="1" t="n">
        <v>46256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45677</v>
      </c>
      <c r="E711" s="1" t="n">
        <v>46256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22.5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62313-2025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46256</v>
      </c>
      <c r="F712" t="inlineStr">
        <is>
          <t>GÄVLEBORGS LÄN</t>
        </is>
      </c>
      <c r="G712" t="inlineStr">
        <is>
          <t>HUDIKSVALL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44979</v>
      </c>
      <c r="E713" s="1" t="n">
        <v>46256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62378-2025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46007</v>
      </c>
      <c r="E714" s="1" t="n">
        <v>46256</v>
      </c>
      <c r="F714" t="inlineStr">
        <is>
          <t>GÄVLEBORGS LÄN</t>
        </is>
      </c>
      <c r="G714" t="inlineStr">
        <is>
          <t>HUDIKSVALL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73458-2021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44551</v>
      </c>
      <c r="E715" s="1" t="n">
        <v>46256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46256</v>
      </c>
      <c r="F716" t="inlineStr">
        <is>
          <t>GÄVLEBORGS LÄN</t>
        </is>
      </c>
      <c r="G716" t="inlineStr">
        <is>
          <t>HUDIKSVALL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46256</v>
      </c>
      <c r="F717" t="inlineStr">
        <is>
          <t>GÄVLEBORGS LÄN</t>
        </is>
      </c>
      <c r="G717" t="inlineStr">
        <is>
          <t>HUDIKSVALL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14796-2023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45014</v>
      </c>
      <c r="E718" s="1" t="n">
        <v>46256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62036-2025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46004</v>
      </c>
      <c r="E719" s="1" t="n">
        <v>46256</v>
      </c>
      <c r="F719" t="inlineStr">
        <is>
          <t>GÄVLEBORGS LÄN</t>
        </is>
      </c>
      <c r="G719" t="inlineStr">
        <is>
          <t>HUDIKSVALL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19942-2025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45771</v>
      </c>
      <c r="E720" s="1" t="n">
        <v>46256</v>
      </c>
      <c r="F720" t="inlineStr">
        <is>
          <t>GÄVLEBORGS LÄN</t>
        </is>
      </c>
      <c r="G720" t="inlineStr">
        <is>
          <t>HUDIKSVALL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35825-2025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45861</v>
      </c>
      <c r="E721" s="1" t="n">
        <v>46256</v>
      </c>
      <c r="F721" t="inlineStr">
        <is>
          <t>GÄVLEBORGS LÄN</t>
        </is>
      </c>
      <c r="G721" t="inlineStr">
        <is>
          <t>HUDIKSVALL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45427</v>
      </c>
      <c r="E722" s="1" t="n">
        <v>46256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2652-2024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45314</v>
      </c>
      <c r="E723" s="1" t="n">
        <v>46256</v>
      </c>
      <c r="F723" t="inlineStr">
        <is>
          <t>GÄVLEBORGS LÄN</t>
        </is>
      </c>
      <c r="G723" t="inlineStr">
        <is>
          <t>HUDIKSVALL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45314</v>
      </c>
      <c r="E724" s="1" t="n">
        <v>46256</v>
      </c>
      <c r="F724" t="inlineStr">
        <is>
          <t>GÄVLEBORGS LÄN</t>
        </is>
      </c>
      <c r="G724" t="inlineStr">
        <is>
          <t>HUDIKSVALL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41191-2024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46256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59064-2022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44904</v>
      </c>
      <c r="E726" s="1" t="n">
        <v>46256</v>
      </c>
      <c r="F726" t="inlineStr">
        <is>
          <t>GÄVLEBORGS LÄN</t>
        </is>
      </c>
      <c r="G726" t="inlineStr">
        <is>
          <t>HUDIKSVALL</t>
        </is>
      </c>
      <c r="H726" t="inlineStr">
        <is>
          <t>Kyrkan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46009</v>
      </c>
      <c r="E727" s="1" t="n">
        <v>46256</v>
      </c>
      <c r="F727" t="inlineStr">
        <is>
          <t>GÄVLEBORGS LÄN</t>
        </is>
      </c>
      <c r="G727" t="inlineStr">
        <is>
          <t>HUDIKSVALL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45701</v>
      </c>
      <c r="E728" s="1" t="n">
        <v>46256</v>
      </c>
      <c r="F728" t="inlineStr">
        <is>
          <t>GÄVLEBORGS LÄN</t>
        </is>
      </c>
      <c r="G728" t="inlineStr">
        <is>
          <t>HUDIKSVALL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63072-2025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46009</v>
      </c>
      <c r="E729" s="1" t="n">
        <v>46256</v>
      </c>
      <c r="F729" t="inlineStr">
        <is>
          <t>GÄVLEBORGS LÄN</t>
        </is>
      </c>
      <c r="G729" t="inlineStr">
        <is>
          <t>HUDIKSVALL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62665-2025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46008</v>
      </c>
      <c r="E730" s="1" t="n">
        <v>46256</v>
      </c>
      <c r="F730" t="inlineStr">
        <is>
          <t>GÄVLEBORGS LÄN</t>
        </is>
      </c>
      <c r="G730" t="inlineStr">
        <is>
          <t>HUDIKSVALL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4505-2024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45327</v>
      </c>
      <c r="E731" s="1" t="n">
        <v>46256</v>
      </c>
      <c r="F731" t="inlineStr">
        <is>
          <t>GÄVLEBORGS LÄN</t>
        </is>
      </c>
      <c r="G731" t="inlineStr">
        <is>
          <t>HUDIKSVALL</t>
        </is>
      </c>
      <c r="I731" t="n">
        <v>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45463</v>
      </c>
      <c r="E732" s="1" t="n">
        <v>46256</v>
      </c>
      <c r="F732" t="inlineStr">
        <is>
          <t>GÄVLEBORGS LÄN</t>
        </is>
      </c>
      <c r="G732" t="inlineStr">
        <is>
          <t>HUDIKSVALL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36200-2025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45867</v>
      </c>
      <c r="E733" s="1" t="n">
        <v>46256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45867</v>
      </c>
      <c r="E734" s="1" t="n">
        <v>46256</v>
      </c>
      <c r="F734" t="inlineStr">
        <is>
          <t>GÄVLEBORGS LÄN</t>
        </is>
      </c>
      <c r="G734" t="inlineStr">
        <is>
          <t>HUDIKSVALL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63541-2025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46013</v>
      </c>
      <c r="E735" s="1" t="n">
        <v>46256</v>
      </c>
      <c r="F735" t="inlineStr">
        <is>
          <t>GÄVLEBORGS LÄN</t>
        </is>
      </c>
      <c r="G735" t="inlineStr">
        <is>
          <t>HUDIKSVALL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10193-2023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44986</v>
      </c>
      <c r="E736" s="1" t="n">
        <v>46256</v>
      </c>
      <c r="F736" t="inlineStr">
        <is>
          <t>GÄVLEBORGS LÄN</t>
        </is>
      </c>
      <c r="G736" t="inlineStr">
        <is>
          <t>HUDIKSVALL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63557-2025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46013</v>
      </c>
      <c r="E737" s="1" t="n">
        <v>46256</v>
      </c>
      <c r="F737" t="inlineStr">
        <is>
          <t>GÄVLEBORGS LÄN</t>
        </is>
      </c>
      <c r="G737" t="inlineStr">
        <is>
          <t>HUDIKSVALL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62674-2023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45271</v>
      </c>
      <c r="E738" s="1" t="n">
        <v>46256</v>
      </c>
      <c r="F738" t="inlineStr">
        <is>
          <t>GÄVLEBORGS LÄN</t>
        </is>
      </c>
      <c r="G738" t="inlineStr">
        <is>
          <t>HUDIKSVALL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45565</v>
      </c>
      <c r="E739" s="1" t="n">
        <v>46256</v>
      </c>
      <c r="F739" t="inlineStr">
        <is>
          <t>GÄVLEBORGS LÄN</t>
        </is>
      </c>
      <c r="G739" t="inlineStr">
        <is>
          <t>HUDIKSVALL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45258</v>
      </c>
      <c r="E740" s="1" t="n">
        <v>46256</v>
      </c>
      <c r="F740" t="inlineStr">
        <is>
          <t>GÄVLEBORGS LÄN</t>
        </is>
      </c>
      <c r="G740" t="inlineStr">
        <is>
          <t>HUDIKSVALL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36194-2025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45867</v>
      </c>
      <c r="E741" s="1" t="n">
        <v>46256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45432</v>
      </c>
      <c r="E742" s="1" t="n">
        <v>46256</v>
      </c>
      <c r="F742" t="inlineStr">
        <is>
          <t>GÄVLEBORGS LÄN</t>
        </is>
      </c>
      <c r="G742" t="inlineStr">
        <is>
          <t>HUDIKSVALL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64082-2025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46021</v>
      </c>
      <c r="E743" s="1" t="n">
        <v>46256</v>
      </c>
      <c r="F743" t="inlineStr">
        <is>
          <t>GÄVLEBORGS LÄN</t>
        </is>
      </c>
      <c r="G743" t="inlineStr">
        <is>
          <t>HUDIKSVALL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63925-2025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46020</v>
      </c>
      <c r="E744" s="1" t="n">
        <v>46256</v>
      </c>
      <c r="F744" t="inlineStr">
        <is>
          <t>GÄVLEBORGS LÄN</t>
        </is>
      </c>
      <c r="G744" t="inlineStr">
        <is>
          <t>HUDIKSVALL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64091-2025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46021</v>
      </c>
      <c r="E745" s="1" t="n">
        <v>46256</v>
      </c>
      <c r="F745" t="inlineStr">
        <is>
          <t>GÄVLEBORGS LÄN</t>
        </is>
      </c>
      <c r="G745" t="inlineStr">
        <is>
          <t>HUDIKSVALL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63819-2025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46020</v>
      </c>
      <c r="E746" s="1" t="n">
        <v>46256</v>
      </c>
      <c r="F746" t="inlineStr">
        <is>
          <t>GÄVLEBORGS LÄN</t>
        </is>
      </c>
      <c r="G746" t="inlineStr">
        <is>
          <t>HUDIKSVALL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62639-2023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45271</v>
      </c>
      <c r="E747" s="1" t="n">
        <v>46256</v>
      </c>
      <c r="F747" t="inlineStr">
        <is>
          <t>GÄVLEBORGS LÄN</t>
        </is>
      </c>
      <c r="G747" t="inlineStr">
        <is>
          <t>HUDIKSVALL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45868</v>
      </c>
      <c r="E748" s="1" t="n">
        <v>46256</v>
      </c>
      <c r="F748" t="inlineStr">
        <is>
          <t>GÄVLEBORGS LÄN</t>
        </is>
      </c>
      <c r="G748" t="inlineStr">
        <is>
          <t>HUDIKSVALL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63798-2025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46019</v>
      </c>
      <c r="E749" s="1" t="n">
        <v>46256</v>
      </c>
      <c r="F749" t="inlineStr">
        <is>
          <t>GÄVLEBORGS LÄN</t>
        </is>
      </c>
      <c r="G749" t="inlineStr">
        <is>
          <t>HUDIKSVALL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63911-2025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46256</v>
      </c>
      <c r="F750" t="inlineStr">
        <is>
          <t>GÄVLEBORGS LÄN</t>
        </is>
      </c>
      <c r="G750" t="inlineStr">
        <is>
          <t>HUDIKSVALL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  <c r="Z750">
        <f>HYPERLINK("https://klasma.github.io/Logging_2184/knärot/A 63911-2025 karta knärot.png", "A 63911-2025")</f>
        <v/>
      </c>
      <c r="AA750">
        <f>HYPERLINK("https://klasma.github.io/Logging_2184/klagomål/A 63911-2025 FSC-klagomål.docx", "A 63911-2025")</f>
        <v/>
      </c>
      <c r="AB750">
        <f>HYPERLINK("https://klasma.github.io/Logging_2184/klagomålsmail/A 63911-2025 FSC-klagomål mail.docx", "A 63911-2025")</f>
        <v/>
      </c>
      <c r="AC750">
        <f>HYPERLINK("https://klasma.github.io/Logging_2184/tillsyn/A 63911-2025 tillsynsbegäran.docx", "A 63911-2025")</f>
        <v/>
      </c>
      <c r="AD750">
        <f>HYPERLINK("https://klasma.github.io/Logging_2184/tillsynsmail/A 63911-2025 tillsynsbegäran mail.docx", "A 63911-2025")</f>
        <v/>
      </c>
    </row>
    <row r="751" ht="15" customHeight="1">
      <c r="A751" t="inlineStr">
        <is>
          <t>A 63963-2025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46020</v>
      </c>
      <c r="E751" s="1" t="n">
        <v>46256</v>
      </c>
      <c r="F751" t="inlineStr">
        <is>
          <t>GÄVLEBORGS LÄN</t>
        </is>
      </c>
      <c r="G751" t="inlineStr">
        <is>
          <t>HUDIKSVALL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64086-2025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46021</v>
      </c>
      <c r="E752" s="1" t="n">
        <v>46256</v>
      </c>
      <c r="F752" t="inlineStr">
        <is>
          <t>GÄVLEBORGS LÄN</t>
        </is>
      </c>
      <c r="G752" t="inlineStr">
        <is>
          <t>HUDIKSVALL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45002</v>
      </c>
      <c r="E753" s="1" t="n">
        <v>46256</v>
      </c>
      <c r="F753" t="inlineStr">
        <is>
          <t>GÄVLEBORGS LÄN</t>
        </is>
      </c>
      <c r="G753" t="inlineStr">
        <is>
          <t>HUDIKSVALL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46026</v>
      </c>
      <c r="E754" s="1" t="n">
        <v>46256</v>
      </c>
      <c r="F754" t="inlineStr">
        <is>
          <t>GÄVLEBORGS LÄN</t>
        </is>
      </c>
      <c r="G754" t="inlineStr">
        <is>
          <t>HUDIKSVALL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46026</v>
      </c>
      <c r="E755" s="1" t="n">
        <v>46256</v>
      </c>
      <c r="F755" t="inlineStr">
        <is>
          <t>GÄVLEBORGS LÄN</t>
        </is>
      </c>
      <c r="G755" t="inlineStr">
        <is>
          <t>HUDIKSVALL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46026</v>
      </c>
      <c r="E756" s="1" t="n">
        <v>46256</v>
      </c>
      <c r="F756" t="inlineStr">
        <is>
          <t>GÄVLEBORGS LÄN</t>
        </is>
      </c>
      <c r="G756" t="inlineStr">
        <is>
          <t>HUDIKSVALL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46026</v>
      </c>
      <c r="E757" s="1" t="n">
        <v>46256</v>
      </c>
      <c r="F757" t="inlineStr">
        <is>
          <t>GÄVLEBORGS LÄN</t>
        </is>
      </c>
      <c r="G757" t="inlineStr">
        <is>
          <t>HUDIKSVALL</t>
        </is>
      </c>
      <c r="I757" t="n">
        <v>15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32007-2024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45510</v>
      </c>
      <c r="E758" s="1" t="n">
        <v>46256</v>
      </c>
      <c r="F758" t="inlineStr">
        <is>
          <t>GÄVLEBORGS LÄN</t>
        </is>
      </c>
      <c r="G758" t="inlineStr">
        <is>
          <t>HUDIKSVALL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46027</v>
      </c>
      <c r="E759" s="1" t="n">
        <v>46256</v>
      </c>
      <c r="F759" t="inlineStr">
        <is>
          <t>GÄVLEBORGS LÄN</t>
        </is>
      </c>
      <c r="G759" t="inlineStr">
        <is>
          <t>HUDIKSVALL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46024</v>
      </c>
      <c r="E760" s="1" t="n">
        <v>46256</v>
      </c>
      <c r="F760" t="inlineStr">
        <is>
          <t>GÄVLEBORGS LÄN</t>
        </is>
      </c>
      <c r="G760" t="inlineStr">
        <is>
          <t>HUDIKSVALL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46026</v>
      </c>
      <c r="E761" s="1" t="n">
        <v>46256</v>
      </c>
      <c r="F761" t="inlineStr">
        <is>
          <t>GÄVLEBORGS LÄN</t>
        </is>
      </c>
      <c r="G761" t="inlineStr">
        <is>
          <t>HUDIKSVALL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46024</v>
      </c>
      <c r="E762" s="1" t="n">
        <v>46256</v>
      </c>
      <c r="F762" t="inlineStr">
        <is>
          <t>GÄVLEBORGS LÄN</t>
        </is>
      </c>
      <c r="G762" t="inlineStr">
        <is>
          <t>HUDIKSVALL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44969</v>
      </c>
      <c r="E763" s="1" t="n">
        <v>46256</v>
      </c>
      <c r="F763" t="inlineStr">
        <is>
          <t>GÄVLEBORGS LÄN</t>
        </is>
      </c>
      <c r="G763" t="inlineStr">
        <is>
          <t>HUDIKSVALL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10890-2025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45722</v>
      </c>
      <c r="E764" s="1" t="n">
        <v>46256</v>
      </c>
      <c r="F764" t="inlineStr">
        <is>
          <t>GÄVLEBORGS LÄN</t>
        </is>
      </c>
      <c r="G764" t="inlineStr">
        <is>
          <t>HUDIKSVALL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46029</v>
      </c>
      <c r="E765" s="1" t="n">
        <v>46256</v>
      </c>
      <c r="F765" t="inlineStr">
        <is>
          <t>GÄVLEBORGS LÄN</t>
        </is>
      </c>
      <c r="G765" t="inlineStr">
        <is>
          <t>HUDIKSVALL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24885-2023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45085</v>
      </c>
      <c r="E766" s="1" t="n">
        <v>46256</v>
      </c>
      <c r="F766" t="inlineStr">
        <is>
          <t>GÄVLEBORGS LÄN</t>
        </is>
      </c>
      <c r="G766" t="inlineStr">
        <is>
          <t>HUDIKSVALL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9563-2025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45715</v>
      </c>
      <c r="E767" s="1" t="n">
        <v>46256</v>
      </c>
      <c r="F767" t="inlineStr">
        <is>
          <t>GÄVLEBORGS LÄN</t>
        </is>
      </c>
      <c r="G767" t="inlineStr">
        <is>
          <t>HUDIKSVALL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9427-2024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45359</v>
      </c>
      <c r="E768" s="1" t="n">
        <v>46256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16070-2025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45749</v>
      </c>
      <c r="E769" s="1" t="n">
        <v>46256</v>
      </c>
      <c r="F769" t="inlineStr">
        <is>
          <t>GÄVLEBORGS LÄN</t>
        </is>
      </c>
      <c r="G769" t="inlineStr">
        <is>
          <t>HUDIKSVALL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10130-2025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45719</v>
      </c>
      <c r="E770" s="1" t="n">
        <v>46256</v>
      </c>
      <c r="F770" t="inlineStr">
        <is>
          <t>GÄVLEBORGS LÄN</t>
        </is>
      </c>
      <c r="G770" t="inlineStr">
        <is>
          <t>HUDIKSVALL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45869</v>
      </c>
      <c r="E771" s="1" t="n">
        <v>46256</v>
      </c>
      <c r="F771" t="inlineStr">
        <is>
          <t>GÄVLEBORGS LÄN</t>
        </is>
      </c>
      <c r="G771" t="inlineStr">
        <is>
          <t>HUDIKSVALL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36388-2025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45868</v>
      </c>
      <c r="E772" s="1" t="n">
        <v>46256</v>
      </c>
      <c r="F772" t="inlineStr">
        <is>
          <t>GÄVLEBORGS LÄN</t>
        </is>
      </c>
      <c r="G772" t="inlineStr">
        <is>
          <t>HUDIKSVALL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46256</v>
      </c>
      <c r="F773" t="inlineStr">
        <is>
          <t>GÄVLEBORGS LÄN</t>
        </is>
      </c>
      <c r="G773" t="inlineStr">
        <is>
          <t>HUDIKSVALL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55615-2025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45971</v>
      </c>
      <c r="E774" s="1" t="n">
        <v>46256</v>
      </c>
      <c r="F774" t="inlineStr">
        <is>
          <t>GÄVLEBORGS LÄN</t>
        </is>
      </c>
      <c r="G774" t="inlineStr">
        <is>
          <t>HUDIKSVALL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46029</v>
      </c>
      <c r="E775" s="1" t="n">
        <v>46256</v>
      </c>
      <c r="F775" t="inlineStr">
        <is>
          <t>GÄVLEBORGS LÄN</t>
        </is>
      </c>
      <c r="G775" t="inlineStr">
        <is>
          <t>HUDIKSVALL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62469-2025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46007</v>
      </c>
      <c r="E776" s="1" t="n">
        <v>46256</v>
      </c>
      <c r="F776" t="inlineStr">
        <is>
          <t>GÄVLEBORGS LÄN</t>
        </is>
      </c>
      <c r="G776" t="inlineStr">
        <is>
          <t>HUDIKSVALL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9989-2025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45719</v>
      </c>
      <c r="E777" s="1" t="n">
        <v>46256</v>
      </c>
      <c r="F777" t="inlineStr">
        <is>
          <t>GÄVLEBORGS LÄN</t>
        </is>
      </c>
      <c r="G777" t="inlineStr">
        <is>
          <t>HUDIKSVALL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2232-2022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44578</v>
      </c>
      <c r="E778" s="1" t="n">
        <v>46256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8.699999999999999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45702</v>
      </c>
      <c r="E779" s="1" t="n">
        <v>46256</v>
      </c>
      <c r="F779" t="inlineStr">
        <is>
          <t>GÄVLEBORGS LÄN</t>
        </is>
      </c>
      <c r="G779" t="inlineStr">
        <is>
          <t>HUDIKSVALL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13603-2025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45736</v>
      </c>
      <c r="E780" s="1" t="n">
        <v>46256</v>
      </c>
      <c r="F780" t="inlineStr">
        <is>
          <t>GÄVLEBORGS LÄN</t>
        </is>
      </c>
      <c r="G780" t="inlineStr">
        <is>
          <t>HUDIKSVALL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30122-2023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45110</v>
      </c>
      <c r="E781" s="1" t="n">
        <v>46256</v>
      </c>
      <c r="F781" t="inlineStr">
        <is>
          <t>GÄVLEBORGS LÄN</t>
        </is>
      </c>
      <c r="G781" t="inlineStr">
        <is>
          <t>HUDIKSVALL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20639-2025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45776</v>
      </c>
      <c r="E782" s="1" t="n">
        <v>46256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45889</v>
      </c>
      <c r="E783" s="1" t="n">
        <v>46256</v>
      </c>
      <c r="F783" t="inlineStr">
        <is>
          <t>GÄVLEBORGS LÄN</t>
        </is>
      </c>
      <c r="G783" t="inlineStr">
        <is>
          <t>HUDIKSVALL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46029</v>
      </c>
      <c r="E784" s="1" t="n">
        <v>46256</v>
      </c>
      <c r="F784" t="inlineStr">
        <is>
          <t>GÄVLEBORGS LÄN</t>
        </is>
      </c>
      <c r="G784" t="inlineStr">
        <is>
          <t>HUDIKSVALL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46030</v>
      </c>
      <c r="E785" s="1" t="n">
        <v>46256</v>
      </c>
      <c r="F785" t="inlineStr">
        <is>
          <t>GÄVLEBORGS LÄN</t>
        </is>
      </c>
      <c r="G785" t="inlineStr">
        <is>
          <t>HUDIKSVALL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46030</v>
      </c>
      <c r="E786" s="1" t="n">
        <v>46256</v>
      </c>
      <c r="F786" t="inlineStr">
        <is>
          <t>GÄVLEBORGS LÄN</t>
        </is>
      </c>
      <c r="G786" t="inlineStr">
        <is>
          <t>HUDIKSVALL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45079</v>
      </c>
      <c r="E787" s="1" t="n">
        <v>46256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4062-2025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45684</v>
      </c>
      <c r="E788" s="1" t="n">
        <v>46256</v>
      </c>
      <c r="F788" t="inlineStr">
        <is>
          <t>GÄVLEBORGS LÄN</t>
        </is>
      </c>
      <c r="G788" t="inlineStr">
        <is>
          <t>HUDIKSVALL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46030</v>
      </c>
      <c r="E789" s="1" t="n">
        <v>46256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9.1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1132-2026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46030</v>
      </c>
      <c r="E790" s="1" t="n">
        <v>46256</v>
      </c>
      <c r="F790" t="inlineStr">
        <is>
          <t>GÄVLEBORGS LÄN</t>
        </is>
      </c>
      <c r="G790" t="inlineStr">
        <is>
          <t>HUDIKSVALL</t>
        </is>
      </c>
      <c r="I790" t="n">
        <v>12.5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46256</v>
      </c>
      <c r="F791" t="inlineStr">
        <is>
          <t>GÄVLEBORGS LÄN</t>
        </is>
      </c>
      <c r="G791" t="inlineStr">
        <is>
          <t>HUDIKSVALL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46256</v>
      </c>
      <c r="F792" t="inlineStr">
        <is>
          <t>GÄVLEBORGS LÄN</t>
        </is>
      </c>
      <c r="G792" t="inlineStr">
        <is>
          <t>HUDIKSVALL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46029</v>
      </c>
      <c r="E793" s="1" t="n">
        <v>46256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45666</v>
      </c>
      <c r="E794" s="1" t="n">
        <v>46256</v>
      </c>
      <c r="F794" t="inlineStr">
        <is>
          <t>GÄVLEBORGS LÄN</t>
        </is>
      </c>
      <c r="G794" t="inlineStr">
        <is>
          <t>HUDIKSVALL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46035</v>
      </c>
      <c r="E795" s="1" t="n">
        <v>46256</v>
      </c>
      <c r="F795" t="inlineStr">
        <is>
          <t>GÄVLEBORGS LÄN</t>
        </is>
      </c>
      <c r="G795" t="inlineStr">
        <is>
          <t>HUDIKSVALL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46256</v>
      </c>
      <c r="F796" t="inlineStr">
        <is>
          <t>GÄVLEBORGS LÄN</t>
        </is>
      </c>
      <c r="G796" t="inlineStr">
        <is>
          <t>HUDIKSVALL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46034</v>
      </c>
      <c r="E797" s="1" t="n">
        <v>46256</v>
      </c>
      <c r="F797" t="inlineStr">
        <is>
          <t>GÄVLEBORGS LÄN</t>
        </is>
      </c>
      <c r="G797" t="inlineStr">
        <is>
          <t>HUDIKSVALL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46256</v>
      </c>
      <c r="F798" t="inlineStr">
        <is>
          <t>GÄVLEBORGS LÄN</t>
        </is>
      </c>
      <c r="G798" t="inlineStr">
        <is>
          <t>HUDIKSVALL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32201-2022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44781</v>
      </c>
      <c r="E799" s="1" t="n">
        <v>46256</v>
      </c>
      <c r="F799" t="inlineStr">
        <is>
          <t>GÄVLEBORGS LÄN</t>
        </is>
      </c>
      <c r="G799" t="inlineStr">
        <is>
          <t>HUDIKSVALL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21561-2022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44706</v>
      </c>
      <c r="E800" s="1" t="n">
        <v>46256</v>
      </c>
      <c r="F800" t="inlineStr">
        <is>
          <t>GÄVLEBORGS LÄN</t>
        </is>
      </c>
      <c r="G800" t="inlineStr">
        <is>
          <t>HUDIKSVALL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52986-2024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46256</v>
      </c>
      <c r="F801" t="inlineStr">
        <is>
          <t>GÄVLEBORGS LÄN</t>
        </is>
      </c>
      <c r="G801" t="inlineStr">
        <is>
          <t>HUDIKSVALL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58473-2024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45635</v>
      </c>
      <c r="E802" s="1" t="n">
        <v>46256</v>
      </c>
      <c r="F802" t="inlineStr">
        <is>
          <t>GÄVLEBORGS LÄN</t>
        </is>
      </c>
      <c r="G802" t="inlineStr">
        <is>
          <t>HUDIKSVALL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46034</v>
      </c>
      <c r="E803" s="1" t="n">
        <v>46256</v>
      </c>
      <c r="F803" t="inlineStr">
        <is>
          <t>GÄVLEBORGS LÄN</t>
        </is>
      </c>
      <c r="G803" t="inlineStr">
        <is>
          <t>HUDIKSVALL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46034</v>
      </c>
      <c r="E804" s="1" t="n">
        <v>46256</v>
      </c>
      <c r="F804" t="inlineStr">
        <is>
          <t>GÄVLEBORGS LÄN</t>
        </is>
      </c>
      <c r="G804" t="inlineStr">
        <is>
          <t>HUDIKSVALL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1692-2026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46034</v>
      </c>
      <c r="E805" s="1" t="n">
        <v>46256</v>
      </c>
      <c r="F805" t="inlineStr">
        <is>
          <t>GÄVLEBORGS LÄN</t>
        </is>
      </c>
      <c r="G805" t="inlineStr">
        <is>
          <t>HUDIKSVALL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2651-2024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45314</v>
      </c>
      <c r="E806" s="1" t="n">
        <v>46256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46034</v>
      </c>
      <c r="E807" s="1" t="n">
        <v>46256</v>
      </c>
      <c r="F807" t="inlineStr">
        <is>
          <t>GÄVLEBORGS LÄN</t>
        </is>
      </c>
      <c r="G807" t="inlineStr">
        <is>
          <t>HUDIKSVALL</t>
        </is>
      </c>
      <c r="I807" t="n">
        <v>38.9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60750-2023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45260</v>
      </c>
      <c r="E808" s="1" t="n">
        <v>46256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11409-2024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45372</v>
      </c>
      <c r="E809" s="1" t="n">
        <v>46256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8.199999999999999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32959-2024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45517</v>
      </c>
      <c r="E810" s="1" t="n">
        <v>46256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46036</v>
      </c>
      <c r="E811" s="1" t="n">
        <v>46256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46256</v>
      </c>
      <c r="F812" t="inlineStr">
        <is>
          <t>GÄVLEBORGS LÄN</t>
        </is>
      </c>
      <c r="G812" t="inlineStr">
        <is>
          <t>HUDIKSVALL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8754-2023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44978</v>
      </c>
      <c r="E813" s="1" t="n">
        <v>46256</v>
      </c>
      <c r="F813" t="inlineStr">
        <is>
          <t>GÄVLEBORGS LÄN</t>
        </is>
      </c>
      <c r="G813" t="inlineStr">
        <is>
          <t>HUDIKSVALL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46256</v>
      </c>
      <c r="F814" t="inlineStr">
        <is>
          <t>GÄVLEBORGS LÄN</t>
        </is>
      </c>
      <c r="G814" t="inlineStr">
        <is>
          <t>HUDIKSVALL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46037</v>
      </c>
      <c r="E815" s="1" t="n">
        <v>46256</v>
      </c>
      <c r="F815" t="inlineStr">
        <is>
          <t>GÄVLEBORGS LÄN</t>
        </is>
      </c>
      <c r="G815" t="inlineStr">
        <is>
          <t>HUDIKSVALL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60356-2024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45643</v>
      </c>
      <c r="E816" s="1" t="n">
        <v>46256</v>
      </c>
      <c r="F816" t="inlineStr">
        <is>
          <t>GÄVLEBORGS LÄN</t>
        </is>
      </c>
      <c r="G816" t="inlineStr">
        <is>
          <t>HUDIKSVALL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8137-2023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44974</v>
      </c>
      <c r="E817" s="1" t="n">
        <v>46256</v>
      </c>
      <c r="F817" t="inlineStr">
        <is>
          <t>GÄVLEBORGS LÄN</t>
        </is>
      </c>
      <c r="G817" t="inlineStr">
        <is>
          <t>HUDIKSVALL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56637-2022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44893</v>
      </c>
      <c r="E818" s="1" t="n">
        <v>46256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46038</v>
      </c>
      <c r="E819" s="1" t="n">
        <v>46256</v>
      </c>
      <c r="F819" t="inlineStr">
        <is>
          <t>GÄVLEBORGS LÄN</t>
        </is>
      </c>
      <c r="G819" t="inlineStr">
        <is>
          <t>HUDIKSVALL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46038</v>
      </c>
      <c r="E820" s="1" t="n">
        <v>46256</v>
      </c>
      <c r="F820" t="inlineStr">
        <is>
          <t>GÄVLEBORGS LÄN</t>
        </is>
      </c>
      <c r="G820" t="inlineStr">
        <is>
          <t>HUDIKSVALL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61938-2022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44918</v>
      </c>
      <c r="E821" s="1" t="n">
        <v>46256</v>
      </c>
      <c r="F821" t="inlineStr">
        <is>
          <t>GÄVLEBORGS LÄN</t>
        </is>
      </c>
      <c r="G821" t="inlineStr">
        <is>
          <t>HUDIKSVALL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46038</v>
      </c>
      <c r="E822" s="1" t="n">
        <v>46256</v>
      </c>
      <c r="F822" t="inlineStr">
        <is>
          <t>GÄVLEBORGS LÄN</t>
        </is>
      </c>
      <c r="G822" t="inlineStr">
        <is>
          <t>HUDIKSVALL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2280-2022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44578</v>
      </c>
      <c r="E823" s="1" t="n">
        <v>46256</v>
      </c>
      <c r="F823" t="inlineStr">
        <is>
          <t>GÄVLEBORGS LÄN</t>
        </is>
      </c>
      <c r="G823" t="inlineStr">
        <is>
          <t>HUDIKSVALL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46038</v>
      </c>
      <c r="E824" s="1" t="n">
        <v>46256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46041</v>
      </c>
      <c r="E825" s="1" t="n">
        <v>46256</v>
      </c>
      <c r="F825" t="inlineStr">
        <is>
          <t>GÄVLEBORGS LÄN</t>
        </is>
      </c>
      <c r="G825" t="inlineStr">
        <is>
          <t>HUDIKSVALL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2799-2026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46038</v>
      </c>
      <c r="E826" s="1" t="n">
        <v>46256</v>
      </c>
      <c r="F826" t="inlineStr">
        <is>
          <t>GÄVLEBORGS LÄN</t>
        </is>
      </c>
      <c r="G826" t="inlineStr">
        <is>
          <t>HUDIKSVALL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19605-2025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46256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46256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46041</v>
      </c>
      <c r="E829" s="1" t="n">
        <v>46256</v>
      </c>
      <c r="F829" t="inlineStr">
        <is>
          <t>GÄVLEBORGS LÄN</t>
        </is>
      </c>
      <c r="G829" t="inlineStr">
        <is>
          <t>HUDIKSVALL</t>
        </is>
      </c>
      <c r="I829" t="n">
        <v>7.7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21880-2023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45068</v>
      </c>
      <c r="E830" s="1" t="n">
        <v>46256</v>
      </c>
      <c r="F830" t="inlineStr">
        <is>
          <t>GÄVLEBORGS LÄN</t>
        </is>
      </c>
      <c r="G830" t="inlineStr">
        <is>
          <t>HUDIKSVALL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44182-2023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45188</v>
      </c>
      <c r="E831" s="1" t="n">
        <v>46256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52221-2024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46256</v>
      </c>
      <c r="F832" t="inlineStr">
        <is>
          <t>GÄVLEBORGS LÄN</t>
        </is>
      </c>
      <c r="G832" t="inlineStr">
        <is>
          <t>HUDIKSVALL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45147</v>
      </c>
      <c r="E833" s="1" t="n">
        <v>46256</v>
      </c>
      <c r="F833" t="inlineStr">
        <is>
          <t>GÄVLEBORGS LÄN</t>
        </is>
      </c>
      <c r="G833" t="inlineStr">
        <is>
          <t>HUDIKSVALL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3605-2026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46042</v>
      </c>
      <c r="E834" s="1" t="n">
        <v>46256</v>
      </c>
      <c r="F834" t="inlineStr">
        <is>
          <t>GÄVLEBORGS LÄN</t>
        </is>
      </c>
      <c r="G834" t="inlineStr">
        <is>
          <t>HUDIKSVALL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3816-2026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46256</v>
      </c>
      <c r="F835" t="inlineStr">
        <is>
          <t>GÄVLEBORGS LÄN</t>
        </is>
      </c>
      <c r="G835" t="inlineStr">
        <is>
          <t>HUDIKSVALL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55201-2023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45237</v>
      </c>
      <c r="E836" s="1" t="n">
        <v>46256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3860-2026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46256</v>
      </c>
      <c r="F837" t="inlineStr">
        <is>
          <t>GÄVLEBORGS LÄN</t>
        </is>
      </c>
      <c r="G837" t="inlineStr">
        <is>
          <t>HUDIKSVALL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43665-2023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45187</v>
      </c>
      <c r="E838" s="1" t="n">
        <v>46256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21251-2023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45062</v>
      </c>
      <c r="E839" s="1" t="n">
        <v>46256</v>
      </c>
      <c r="F839" t="inlineStr">
        <is>
          <t>GÄVLEBORGS LÄN</t>
        </is>
      </c>
      <c r="G839" t="inlineStr">
        <is>
          <t>HUDIKSVALL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60188-2023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45258</v>
      </c>
      <c r="E840" s="1" t="n">
        <v>46256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18828-2024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45426</v>
      </c>
      <c r="E841" s="1" t="n">
        <v>46256</v>
      </c>
      <c r="F841" t="inlineStr">
        <is>
          <t>GÄVLEBORGS LÄN</t>
        </is>
      </c>
      <c r="G841" t="inlineStr">
        <is>
          <t>HUDIKSVALL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60517-2022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44911</v>
      </c>
      <c r="E842" s="1" t="n">
        <v>46256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46043</v>
      </c>
      <c r="E843" s="1" t="n">
        <v>46256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46044</v>
      </c>
      <c r="E844" s="1" t="n">
        <v>46256</v>
      </c>
      <c r="F844" t="inlineStr">
        <is>
          <t>GÄVLEBORGS LÄN</t>
        </is>
      </c>
      <c r="G844" t="inlineStr">
        <is>
          <t>HUDIKSVALL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39669-2022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44818</v>
      </c>
      <c r="E845" s="1" t="n">
        <v>46256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4499-2026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46256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22380-2026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46154</v>
      </c>
      <c r="E847" s="1" t="n">
        <v>46256</v>
      </c>
      <c r="F847" t="inlineStr">
        <is>
          <t>GÄVLEBORGS LÄN</t>
        </is>
      </c>
      <c r="G847" t="inlineStr">
        <is>
          <t>HUDIKSVALL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46030</v>
      </c>
      <c r="E848" s="1" t="n">
        <v>46256</v>
      </c>
      <c r="F848" t="inlineStr">
        <is>
          <t>GÄVLEBORGS LÄN</t>
        </is>
      </c>
      <c r="G848" t="inlineStr">
        <is>
          <t>HUDIKSVALL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46044</v>
      </c>
      <c r="E849" s="1" t="n">
        <v>46256</v>
      </c>
      <c r="F849" t="inlineStr">
        <is>
          <t>GÄVLEBORGS LÄN</t>
        </is>
      </c>
      <c r="G849" t="inlineStr">
        <is>
          <t>HUDIKSVALL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46044</v>
      </c>
      <c r="E850" s="1" t="n">
        <v>46256</v>
      </c>
      <c r="F850" t="inlineStr">
        <is>
          <t>GÄVLEBORGS LÄN</t>
        </is>
      </c>
      <c r="G850" t="inlineStr">
        <is>
          <t>HUDIKSVALL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46256</v>
      </c>
      <c r="F851" t="inlineStr">
        <is>
          <t>GÄVLEBORGS LÄN</t>
        </is>
      </c>
      <c r="G851" t="inlineStr">
        <is>
          <t>HUDIKSVALL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46045</v>
      </c>
      <c r="E852" s="1" t="n">
        <v>46256</v>
      </c>
      <c r="F852" t="inlineStr">
        <is>
          <t>GÄVLEBORGS LÄN</t>
        </is>
      </c>
      <c r="G852" t="inlineStr">
        <is>
          <t>HUDIKSVALL</t>
        </is>
      </c>
      <c r="I852" t="n">
        <v>9.4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46256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23768-2026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46164</v>
      </c>
      <c r="E854" s="1" t="n">
        <v>46256</v>
      </c>
      <c r="F854" t="inlineStr">
        <is>
          <t>GÄVLEBORGS LÄN</t>
        </is>
      </c>
      <c r="G854" t="inlineStr">
        <is>
          <t>HUDIKSVALL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37208-2025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45875</v>
      </c>
      <c r="E855" s="1" t="n">
        <v>46256</v>
      </c>
      <c r="F855" t="inlineStr">
        <is>
          <t>GÄVLEBORGS LÄN</t>
        </is>
      </c>
      <c r="G855" t="inlineStr">
        <is>
          <t>HUDIKSVALL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46048</v>
      </c>
      <c r="E856" s="1" t="n">
        <v>46256</v>
      </c>
      <c r="F856" t="inlineStr">
        <is>
          <t>GÄVLEBORGS LÄN</t>
        </is>
      </c>
      <c r="G856" t="inlineStr">
        <is>
          <t>HUDIKSVALL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46256</v>
      </c>
      <c r="F857" t="inlineStr">
        <is>
          <t>GÄVLEBORGS LÄN</t>
        </is>
      </c>
      <c r="G857" t="inlineStr">
        <is>
          <t>HUDIKSVALL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46256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46049</v>
      </c>
      <c r="E859" s="1" t="n">
        <v>46256</v>
      </c>
      <c r="F859" t="inlineStr">
        <is>
          <t>GÄVLEBORGS LÄN</t>
        </is>
      </c>
      <c r="G859" t="inlineStr">
        <is>
          <t>HUDIKSVALL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32631-2024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46256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46048</v>
      </c>
      <c r="E861" s="1" t="n">
        <v>46256</v>
      </c>
      <c r="F861" t="inlineStr">
        <is>
          <t>GÄVLEBORGS LÄN</t>
        </is>
      </c>
      <c r="G861" t="inlineStr">
        <is>
          <t>HUDIKSVALL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46590-2024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46256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37082-2025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45875</v>
      </c>
      <c r="E863" s="1" t="n">
        <v>46256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18657-2023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45043</v>
      </c>
      <c r="E864" s="1" t="n">
        <v>46256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23686-2026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46164</v>
      </c>
      <c r="E865" s="1" t="n">
        <v>46256</v>
      </c>
      <c r="F865" t="inlineStr">
        <is>
          <t>GÄVLEBORGS LÄN</t>
        </is>
      </c>
      <c r="G865" t="inlineStr">
        <is>
          <t>HUDIKSVALL</t>
        </is>
      </c>
      <c r="H865" t="inlineStr">
        <is>
          <t>Kommuner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5788-2025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45694</v>
      </c>
      <c r="E866" s="1" t="n">
        <v>46256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24017-2026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46167</v>
      </c>
      <c r="E867" s="1" t="n">
        <v>46256</v>
      </c>
      <c r="F867" t="inlineStr">
        <is>
          <t>GÄVLEBORGS LÄN</t>
        </is>
      </c>
      <c r="G867" t="inlineStr">
        <is>
          <t>HUDIKSVALL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4843-2026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46048</v>
      </c>
      <c r="E868" s="1" t="n">
        <v>46256</v>
      </c>
      <c r="F868" t="inlineStr">
        <is>
          <t>GÄVLEBORGS LÄN</t>
        </is>
      </c>
      <c r="G868" t="inlineStr">
        <is>
          <t>HUDIKSVALL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46048</v>
      </c>
      <c r="E869" s="1" t="n">
        <v>46256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37083-2025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45875</v>
      </c>
      <c r="E870" s="1" t="n">
        <v>46256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6.4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46051</v>
      </c>
      <c r="E871" s="1" t="n">
        <v>46256</v>
      </c>
      <c r="F871" t="inlineStr">
        <is>
          <t>GÄVLEBORGS LÄN</t>
        </is>
      </c>
      <c r="G871" t="inlineStr">
        <is>
          <t>HUDIKSVALL</t>
        </is>
      </c>
      <c r="I871" t="n">
        <v>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23293-2026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46256</v>
      </c>
      <c r="F872" t="inlineStr">
        <is>
          <t>GÄVLEBORGS LÄN</t>
        </is>
      </c>
      <c r="G872" t="inlineStr">
        <is>
          <t>HUDIKSVALL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46050</v>
      </c>
      <c r="E873" s="1" t="n">
        <v>46256</v>
      </c>
      <c r="F873" t="inlineStr">
        <is>
          <t>GÄVLEBORGS LÄN</t>
        </is>
      </c>
      <c r="G873" t="inlineStr">
        <is>
          <t>HUDIKSVALL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5420-2026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46050</v>
      </c>
      <c r="E874" s="1" t="n">
        <v>46256</v>
      </c>
      <c r="F874" t="inlineStr">
        <is>
          <t>GÄVLEBORGS LÄN</t>
        </is>
      </c>
      <c r="G874" t="inlineStr">
        <is>
          <t>HUDIKSVALL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27204-2023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45096</v>
      </c>
      <c r="E875" s="1" t="n">
        <v>46256</v>
      </c>
      <c r="F875" t="inlineStr">
        <is>
          <t>GÄVLEBORGS LÄN</t>
        </is>
      </c>
      <c r="G875" t="inlineStr">
        <is>
          <t>HUDIKSVALL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5560-2026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46256</v>
      </c>
      <c r="F876" t="inlineStr">
        <is>
          <t>GÄVLEBORGS LÄN</t>
        </is>
      </c>
      <c r="G876" t="inlineStr">
        <is>
          <t>HUDIKSVALL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5634-2026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46051</v>
      </c>
      <c r="E877" s="1" t="n">
        <v>46256</v>
      </c>
      <c r="F877" t="inlineStr">
        <is>
          <t>GÄVLEBORGS LÄN</t>
        </is>
      </c>
      <c r="G877" t="inlineStr">
        <is>
          <t>HUDIKSVALL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16633-2024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45408</v>
      </c>
      <c r="E878" s="1" t="n">
        <v>46256</v>
      </c>
      <c r="F878" t="inlineStr">
        <is>
          <t>GÄVLEBORGS LÄN</t>
        </is>
      </c>
      <c r="G878" t="inlineStr">
        <is>
          <t>HUDIKSVALL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5250-2026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46049</v>
      </c>
      <c r="E879" s="1" t="n">
        <v>46256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46051</v>
      </c>
      <c r="E880" s="1" t="n">
        <v>46256</v>
      </c>
      <c r="F880" t="inlineStr">
        <is>
          <t>GÄVLEBORGS LÄN</t>
        </is>
      </c>
      <c r="G880" t="inlineStr">
        <is>
          <t>HUDIKSVALL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36647-2025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45872</v>
      </c>
      <c r="E881" s="1" t="n">
        <v>46256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8.199999999999999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46050</v>
      </c>
      <c r="E882" s="1" t="n">
        <v>46256</v>
      </c>
      <c r="F882" t="inlineStr">
        <is>
          <t>GÄVLEBORGS LÄN</t>
        </is>
      </c>
      <c r="G882" t="inlineStr">
        <is>
          <t>HUDIKSVALL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46256</v>
      </c>
      <c r="F883" t="inlineStr">
        <is>
          <t>GÄVLEBORGS LÄN</t>
        </is>
      </c>
      <c r="G883" t="inlineStr">
        <is>
          <t>HUDIKSVALL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46256</v>
      </c>
      <c r="F884" t="inlineStr">
        <is>
          <t>GÄVLEBORGS LÄN</t>
        </is>
      </c>
      <c r="G884" t="inlineStr">
        <is>
          <t>HUDIKSVALL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46055</v>
      </c>
      <c r="E885" s="1" t="n">
        <v>46256</v>
      </c>
      <c r="F885" t="inlineStr">
        <is>
          <t>GÄVLEBORGS LÄN</t>
        </is>
      </c>
      <c r="G885" t="inlineStr">
        <is>
          <t>HUDIKSVALL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25647-2024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45463</v>
      </c>
      <c r="E886" s="1" t="n">
        <v>46256</v>
      </c>
      <c r="F886" t="inlineStr">
        <is>
          <t>GÄVLEBORGS LÄN</t>
        </is>
      </c>
      <c r="G886" t="inlineStr">
        <is>
          <t>HUDIKSVALL</t>
        </is>
      </c>
      <c r="H886" t="inlineStr">
        <is>
          <t>Sveaskog</t>
        </is>
      </c>
      <c r="I886" t="n">
        <v>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6369-2026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46055</v>
      </c>
      <c r="E887" s="1" t="n">
        <v>46256</v>
      </c>
      <c r="F887" t="inlineStr">
        <is>
          <t>GÄVLEBORGS LÄN</t>
        </is>
      </c>
      <c r="G887" t="inlineStr">
        <is>
          <t>HUDIKSVALL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46256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6061-2026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46052</v>
      </c>
      <c r="E889" s="1" t="n">
        <v>46256</v>
      </c>
      <c r="F889" t="inlineStr">
        <is>
          <t>GÄVLEBORGS LÄN</t>
        </is>
      </c>
      <c r="G889" t="inlineStr">
        <is>
          <t>HUDIKSVALL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48593-2024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45593</v>
      </c>
      <c r="E890" s="1" t="n">
        <v>46256</v>
      </c>
      <c r="F890" t="inlineStr">
        <is>
          <t>GÄVLEBORGS LÄN</t>
        </is>
      </c>
      <c r="G890" t="inlineStr">
        <is>
          <t>HUDIKSVALL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37213-2025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45875</v>
      </c>
      <c r="E891" s="1" t="n">
        <v>46256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7.8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46256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37355-2025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45876</v>
      </c>
      <c r="E893" s="1" t="n">
        <v>46256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37725-2025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45880</v>
      </c>
      <c r="E894" s="1" t="n">
        <v>46256</v>
      </c>
      <c r="F894" t="inlineStr">
        <is>
          <t>GÄVLEBORGS LÄN</t>
        </is>
      </c>
      <c r="G894" t="inlineStr">
        <is>
          <t>HUDIKSVALL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40321-2024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45554</v>
      </c>
      <c r="E895" s="1" t="n">
        <v>46256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37701-2025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45880</v>
      </c>
      <c r="E896" s="1" t="n">
        <v>46256</v>
      </c>
      <c r="F896" t="inlineStr">
        <is>
          <t>GÄVLEBORGS LÄN</t>
        </is>
      </c>
      <c r="G896" t="inlineStr">
        <is>
          <t>HUDIKSVALL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24868-2026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46174</v>
      </c>
      <c r="E897" s="1" t="n">
        <v>46256</v>
      </c>
      <c r="F897" t="inlineStr">
        <is>
          <t>GÄVLEBORGS LÄN</t>
        </is>
      </c>
      <c r="G897" t="inlineStr">
        <is>
          <t>HUDIKSVALL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37616-2025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45880</v>
      </c>
      <c r="E898" s="1" t="n">
        <v>46256</v>
      </c>
      <c r="F898" t="inlineStr">
        <is>
          <t>GÄVLEBORGS LÄN</t>
        </is>
      </c>
      <c r="G898" t="inlineStr">
        <is>
          <t>HUDIKSVALL</t>
        </is>
      </c>
      <c r="I898" t="n">
        <v>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6294-2026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46055</v>
      </c>
      <c r="E899" s="1" t="n">
        <v>46256</v>
      </c>
      <c r="F899" t="inlineStr">
        <is>
          <t>GÄVLEBORGS LÄN</t>
        </is>
      </c>
      <c r="G899" t="inlineStr">
        <is>
          <t>HUDIKSVALL</t>
        </is>
      </c>
      <c r="I899" t="n">
        <v>14.2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25043-2026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46174</v>
      </c>
      <c r="E900" s="1" t="n">
        <v>46256</v>
      </c>
      <c r="F900" t="inlineStr">
        <is>
          <t>GÄVLEBORGS LÄN</t>
        </is>
      </c>
      <c r="G900" t="inlineStr">
        <is>
          <t>HUDIKSVALL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37645-2025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45880</v>
      </c>
      <c r="E901" s="1" t="n">
        <v>46256</v>
      </c>
      <c r="F901" t="inlineStr">
        <is>
          <t>GÄVLEBORGS LÄN</t>
        </is>
      </c>
      <c r="G901" t="inlineStr">
        <is>
          <t>HUDIKSVALL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6504-2026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46256</v>
      </c>
      <c r="F902" t="inlineStr">
        <is>
          <t>GÄVLEBORGS LÄN</t>
        </is>
      </c>
      <c r="G902" t="inlineStr">
        <is>
          <t>HUDIKSVALL</t>
        </is>
      </c>
      <c r="I902" t="n">
        <v>9.699999999999999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46827-2024</t>
        </is>
      </c>
      <c r="B903" t="inlineStr">
        <is>
          <t>avverkningsanmälan</t>
        </is>
      </c>
      <c r="C903" t="inlineStr">
        <is>
          <t>Avverkning för att bevara och utveckla /försöksver</t>
        </is>
      </c>
      <c r="D903" s="1" t="n">
        <v>45583</v>
      </c>
      <c r="E903" s="1" t="n">
        <v>46256</v>
      </c>
      <c r="F903" t="inlineStr">
        <is>
          <t>GÄVLEBORGS LÄN</t>
        </is>
      </c>
      <c r="G903" t="inlineStr">
        <is>
          <t>HUDIKSVALL</t>
        </is>
      </c>
      <c r="H903" t="inlineStr">
        <is>
          <t>Sveaskog</t>
        </is>
      </c>
      <c r="I903" t="n">
        <v>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37804-2025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45881</v>
      </c>
      <c r="E904" s="1" t="n">
        <v>46256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46256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46256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46256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46256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46256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46256</v>
      </c>
      <c r="F910" t="inlineStr">
        <is>
          <t>GÄVLEBORGS LÄN</t>
        </is>
      </c>
      <c r="G910" t="inlineStr">
        <is>
          <t>HUDIKSVALL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46256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46256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13663-2025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45736</v>
      </c>
      <c r="E913" s="1" t="n">
        <v>46256</v>
      </c>
      <c r="F913" t="inlineStr">
        <is>
          <t>GÄVLEBORGS LÄN</t>
        </is>
      </c>
      <c r="G913" t="inlineStr">
        <is>
          <t>HUDIKSVALL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15964-2025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45749</v>
      </c>
      <c r="E914" s="1" t="n">
        <v>46256</v>
      </c>
      <c r="F914" t="inlineStr">
        <is>
          <t>GÄVLEBORGS LÄN</t>
        </is>
      </c>
      <c r="G914" t="inlineStr">
        <is>
          <t>HUDIKSVALL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7033-2026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46057</v>
      </c>
      <c r="E915" s="1" t="n">
        <v>46256</v>
      </c>
      <c r="F915" t="inlineStr">
        <is>
          <t>GÄVLEBORGS LÄN</t>
        </is>
      </c>
      <c r="G915" t="inlineStr">
        <is>
          <t>HUDIKSVALL</t>
        </is>
      </c>
      <c r="I915" t="n">
        <v>4.2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46057</v>
      </c>
      <c r="E916" s="1" t="n">
        <v>46256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7.6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19600-2024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45431</v>
      </c>
      <c r="E917" s="1" t="n">
        <v>46256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7137-2026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46256</v>
      </c>
      <c r="F918" t="inlineStr">
        <is>
          <t>GÄVLEBORGS LÄN</t>
        </is>
      </c>
      <c r="G918" t="inlineStr">
        <is>
          <t>HUDIKSVALL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7141-2026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46256</v>
      </c>
      <c r="F919" t="inlineStr">
        <is>
          <t>GÄVLEBORGS LÄN</t>
        </is>
      </c>
      <c r="G919" t="inlineStr">
        <is>
          <t>HUDIKSVALL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38077-2025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45882</v>
      </c>
      <c r="E920" s="1" t="n">
        <v>46256</v>
      </c>
      <c r="F920" t="inlineStr">
        <is>
          <t>GÄVLEBORGS LÄN</t>
        </is>
      </c>
      <c r="G920" t="inlineStr">
        <is>
          <t>HUDIKSVALL</t>
        </is>
      </c>
      <c r="I920" t="n">
        <v>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7484-2026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46256</v>
      </c>
      <c r="F921" t="inlineStr">
        <is>
          <t>GÄVLEBORGS LÄN</t>
        </is>
      </c>
      <c r="G921" t="inlineStr">
        <is>
          <t>HUDIKSVALL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38259-2025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45883</v>
      </c>
      <c r="E922" s="1" t="n">
        <v>46256</v>
      </c>
      <c r="F922" t="inlineStr">
        <is>
          <t>GÄVLEBORGS LÄN</t>
        </is>
      </c>
      <c r="G922" t="inlineStr">
        <is>
          <t>HUDIKSVALL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7301-2026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46256</v>
      </c>
      <c r="F923" t="inlineStr">
        <is>
          <t>GÄVLEBORGS LÄN</t>
        </is>
      </c>
      <c r="G923" t="inlineStr">
        <is>
          <t>HUDIKSVALL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46057</v>
      </c>
      <c r="E924" s="1" t="n">
        <v>46256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7379-2026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46059</v>
      </c>
      <c r="E925" s="1" t="n">
        <v>46256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24863-2026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46174</v>
      </c>
      <c r="E926" s="1" t="n">
        <v>46256</v>
      </c>
      <c r="F926" t="inlineStr">
        <is>
          <t>GÄVLEBORGS LÄN</t>
        </is>
      </c>
      <c r="G926" t="inlineStr">
        <is>
          <t>HUDIKSVALL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44978</v>
      </c>
      <c r="E927" s="1" t="n">
        <v>46256</v>
      </c>
      <c r="F927" t="inlineStr">
        <is>
          <t>GÄVLEBORGS LÄN</t>
        </is>
      </c>
      <c r="G927" t="inlineStr">
        <is>
          <t>HUDIKSVALL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7085-2026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46058</v>
      </c>
      <c r="E928" s="1" t="n">
        <v>46256</v>
      </c>
      <c r="F928" t="inlineStr">
        <is>
          <t>GÄVLEBORGS LÄN</t>
        </is>
      </c>
      <c r="G928" t="inlineStr">
        <is>
          <t>HUDIKSVALL</t>
        </is>
      </c>
      <c r="I928" t="n">
        <v>41.1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24853-2026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46174</v>
      </c>
      <c r="E929" s="1" t="n">
        <v>46256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46256</v>
      </c>
      <c r="F930" t="inlineStr">
        <is>
          <t>GÄVLEBORGS LÄN</t>
        </is>
      </c>
      <c r="G930" t="inlineStr">
        <is>
          <t>HUDIKSVALL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25187-2025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45800</v>
      </c>
      <c r="E931" s="1" t="n">
        <v>46256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53.6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7114-2025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45702</v>
      </c>
      <c r="E932" s="1" t="n">
        <v>46256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13484-2023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45005</v>
      </c>
      <c r="E933" s="1" t="n">
        <v>46256</v>
      </c>
      <c r="F933" t="inlineStr">
        <is>
          <t>GÄVLEBORGS LÄN</t>
        </is>
      </c>
      <c r="G933" t="inlineStr">
        <is>
          <t>HUDIKSVALL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7651-2026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46062</v>
      </c>
      <c r="E934" s="1" t="n">
        <v>46256</v>
      </c>
      <c r="F934" t="inlineStr">
        <is>
          <t>GÄVLEBORGS LÄN</t>
        </is>
      </c>
      <c r="G934" t="inlineStr">
        <is>
          <t>HUDIKSVALL</t>
        </is>
      </c>
      <c r="I934" t="n">
        <v>4.7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46256</v>
      </c>
      <c r="F935" t="inlineStr">
        <is>
          <t>GÄVLEBORGS LÄN</t>
        </is>
      </c>
      <c r="G935" t="inlineStr">
        <is>
          <t>HUDIKSVALL</t>
        </is>
      </c>
      <c r="I935" t="n">
        <v>10.9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19366-2026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46256</v>
      </c>
      <c r="F936" t="inlineStr">
        <is>
          <t>GÄVLEBORGS LÄN</t>
        </is>
      </c>
      <c r="G936" t="inlineStr">
        <is>
          <t>HUDIKSVALL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15963-2025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45749</v>
      </c>
      <c r="E937" s="1" t="n">
        <v>46256</v>
      </c>
      <c r="F937" t="inlineStr">
        <is>
          <t>GÄVLEBORGS LÄN</t>
        </is>
      </c>
      <c r="G937" t="inlineStr">
        <is>
          <t>HUDIKSVALL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46256</v>
      </c>
      <c r="F938" t="inlineStr">
        <is>
          <t>GÄVLEBORGS LÄN</t>
        </is>
      </c>
      <c r="G938" t="inlineStr">
        <is>
          <t>HUDIKSVALL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8001-2026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46063</v>
      </c>
      <c r="E939" s="1" t="n">
        <v>46256</v>
      </c>
      <c r="F939" t="inlineStr">
        <is>
          <t>GÄVLEBORGS LÄN</t>
        </is>
      </c>
      <c r="G939" t="inlineStr">
        <is>
          <t>HUDIKSVALL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20711-2023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45058</v>
      </c>
      <c r="E940" s="1" t="n">
        <v>46256</v>
      </c>
      <c r="F940" t="inlineStr">
        <is>
          <t>GÄVLEBORGS LÄN</t>
        </is>
      </c>
      <c r="G940" t="inlineStr">
        <is>
          <t>HUDIKSVALL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16849-2023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45033</v>
      </c>
      <c r="E941" s="1" t="n">
        <v>46256</v>
      </c>
      <c r="F941" t="inlineStr">
        <is>
          <t>GÄVLEBORGS LÄN</t>
        </is>
      </c>
      <c r="G941" t="inlineStr">
        <is>
          <t>HUDIKSVALL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7976-2026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46256</v>
      </c>
      <c r="F942" t="inlineStr">
        <is>
          <t>GÄVLEBORGS LÄN</t>
        </is>
      </c>
      <c r="G942" t="inlineStr">
        <is>
          <t>HUDIKSVALL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45096-2023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45191</v>
      </c>
      <c r="E943" s="1" t="n">
        <v>46256</v>
      </c>
      <c r="F943" t="inlineStr">
        <is>
          <t>GÄVLEBORGS LÄN</t>
        </is>
      </c>
      <c r="G943" t="inlineStr">
        <is>
          <t>HUDIKSVALL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46062</v>
      </c>
      <c r="E944" s="1" t="n">
        <v>46256</v>
      </c>
      <c r="F944" t="inlineStr">
        <is>
          <t>GÄVLEBORGS LÄN</t>
        </is>
      </c>
      <c r="G944" t="inlineStr">
        <is>
          <t>HUDIKSVALL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8440-2026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46256</v>
      </c>
      <c r="F945" t="inlineStr">
        <is>
          <t>GÄVLEBORGS LÄN</t>
        </is>
      </c>
      <c r="G945" t="inlineStr">
        <is>
          <t>HUDIKSVALL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8480-2026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46256</v>
      </c>
      <c r="F946" t="inlineStr">
        <is>
          <t>GÄVLEBORGS LÄN</t>
        </is>
      </c>
      <c r="G946" t="inlineStr">
        <is>
          <t>HUDIKSVALL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8370-2026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46064</v>
      </c>
      <c r="E947" s="1" t="n">
        <v>46256</v>
      </c>
      <c r="F947" t="inlineStr">
        <is>
          <t>GÄVLEBORGS LÄN</t>
        </is>
      </c>
      <c r="G947" t="inlineStr">
        <is>
          <t>HUDIKSVALL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5940-2025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45695</v>
      </c>
      <c r="E948" s="1" t="n">
        <v>46256</v>
      </c>
      <c r="F948" t="inlineStr">
        <is>
          <t>GÄVLEBORGS LÄN</t>
        </is>
      </c>
      <c r="G948" t="inlineStr">
        <is>
          <t>HUDIKSVALL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5946-2025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45695</v>
      </c>
      <c r="E949" s="1" t="n">
        <v>46256</v>
      </c>
      <c r="F949" t="inlineStr">
        <is>
          <t>GÄVLEBORGS LÄN</t>
        </is>
      </c>
      <c r="G949" t="inlineStr">
        <is>
          <t>HUDIKSVALL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8307-2026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46064</v>
      </c>
      <c r="E950" s="1" t="n">
        <v>46256</v>
      </c>
      <c r="F950" t="inlineStr">
        <is>
          <t>GÄVLEBORGS LÄN</t>
        </is>
      </c>
      <c r="G950" t="inlineStr">
        <is>
          <t>HUDIKSVALL</t>
        </is>
      </c>
      <c r="I950" t="n">
        <v>5.6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56366-2024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45625</v>
      </c>
      <c r="E951" s="1" t="n">
        <v>46256</v>
      </c>
      <c r="F951" t="inlineStr">
        <is>
          <t>GÄVLEBORGS LÄN</t>
        </is>
      </c>
      <c r="G951" t="inlineStr">
        <is>
          <t>HUDIKSVALL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25191-2026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46175</v>
      </c>
      <c r="E952" s="1" t="n">
        <v>46256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46256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8471-2026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46256</v>
      </c>
      <c r="F954" t="inlineStr">
        <is>
          <t>GÄVLEBORGS LÄN</t>
        </is>
      </c>
      <c r="G954" t="inlineStr">
        <is>
          <t>HUDIKSVALL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8512-2026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46256</v>
      </c>
      <c r="F955" t="inlineStr">
        <is>
          <t>GÄVLEBORGS LÄN</t>
        </is>
      </c>
      <c r="G955" t="inlineStr">
        <is>
          <t>HUDIKSVALL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25311-2026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46176</v>
      </c>
      <c r="E956" s="1" t="n">
        <v>46256</v>
      </c>
      <c r="F956" t="inlineStr">
        <is>
          <t>GÄVLEBORGS LÄN</t>
        </is>
      </c>
      <c r="G956" t="inlineStr">
        <is>
          <t>HUDIKSVALL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8369-2026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46064</v>
      </c>
      <c r="E957" s="1" t="n">
        <v>46256</v>
      </c>
      <c r="F957" t="inlineStr">
        <is>
          <t>GÄVLEBORGS LÄN</t>
        </is>
      </c>
      <c r="G957" t="inlineStr">
        <is>
          <t>HUDIKSVALL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8561-2026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46065</v>
      </c>
      <c r="E958" s="1" t="n">
        <v>46256</v>
      </c>
      <c r="F958" t="inlineStr">
        <is>
          <t>GÄVLEBORGS LÄN</t>
        </is>
      </c>
      <c r="G958" t="inlineStr">
        <is>
          <t>HUDIKSVALL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21539-2026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46148</v>
      </c>
      <c r="E959" s="1" t="n">
        <v>46256</v>
      </c>
      <c r="F959" t="inlineStr">
        <is>
          <t>GÄVLEBORGS LÄN</t>
        </is>
      </c>
      <c r="G959" t="inlineStr">
        <is>
          <t>HUDIKSVALL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8685-2026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46066</v>
      </c>
      <c r="E960" s="1" t="n">
        <v>46256</v>
      </c>
      <c r="F960" t="inlineStr">
        <is>
          <t>GÄVLEBORGS LÄN</t>
        </is>
      </c>
      <c r="G960" t="inlineStr">
        <is>
          <t>HUDIKSVALL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32109-2024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45511</v>
      </c>
      <c r="E961" s="1" t="n">
        <v>46256</v>
      </c>
      <c r="F961" t="inlineStr">
        <is>
          <t>GÄVLEBORGS LÄN</t>
        </is>
      </c>
      <c r="G961" t="inlineStr">
        <is>
          <t>HUDIKSVALL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8763-2026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46066</v>
      </c>
      <c r="E962" s="1" t="n">
        <v>46256</v>
      </c>
      <c r="F962" t="inlineStr">
        <is>
          <t>GÄVLEBORGS LÄN</t>
        </is>
      </c>
      <c r="G962" t="inlineStr">
        <is>
          <t>HUDIKSVALL</t>
        </is>
      </c>
      <c r="I962" t="n">
        <v>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25318-2026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46176</v>
      </c>
      <c r="E963" s="1" t="n">
        <v>46256</v>
      </c>
      <c r="F963" t="inlineStr">
        <is>
          <t>GÄVLEBORGS LÄN</t>
        </is>
      </c>
      <c r="G963" t="inlineStr">
        <is>
          <t>HUDIKSVALL</t>
        </is>
      </c>
      <c r="I963" t="n">
        <v>6.7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48597-2024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45593</v>
      </c>
      <c r="E964" s="1" t="n">
        <v>46256</v>
      </c>
      <c r="F964" t="inlineStr">
        <is>
          <t>GÄVLEBORGS LÄN</t>
        </is>
      </c>
      <c r="G964" t="inlineStr">
        <is>
          <t>HUDIKSVALL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8775-2026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46066</v>
      </c>
      <c r="E965" s="1" t="n">
        <v>46256</v>
      </c>
      <c r="F965" t="inlineStr">
        <is>
          <t>GÄVLEBORGS LÄN</t>
        </is>
      </c>
      <c r="G965" t="inlineStr">
        <is>
          <t>HUDIKSVALL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59741-2022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44908</v>
      </c>
      <c r="E966" s="1" t="n">
        <v>46256</v>
      </c>
      <c r="F966" t="inlineStr">
        <is>
          <t>GÄVLEBORGS LÄN</t>
        </is>
      </c>
      <c r="G966" t="inlineStr">
        <is>
          <t>HUDIKSVALL</t>
        </is>
      </c>
      <c r="I966" t="n">
        <v>7.3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59742-2022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44908</v>
      </c>
      <c r="E967" s="1" t="n">
        <v>46256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56832-2025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45978</v>
      </c>
      <c r="E968" s="1" t="n">
        <v>46256</v>
      </c>
      <c r="F968" t="inlineStr">
        <is>
          <t>GÄVLEBORGS LÄN</t>
        </is>
      </c>
      <c r="G968" t="inlineStr">
        <is>
          <t>HUDIKSVALL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45725-2023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45195</v>
      </c>
      <c r="E969" s="1" t="n">
        <v>46256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36408-2024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45535</v>
      </c>
      <c r="E970" s="1" t="n">
        <v>46256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9581-2026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46256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9583-2026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46071</v>
      </c>
      <c r="E972" s="1" t="n">
        <v>46256</v>
      </c>
      <c r="F972" t="inlineStr">
        <is>
          <t>GÄVLEBORGS LÄN</t>
        </is>
      </c>
      <c r="G972" t="inlineStr">
        <is>
          <t>HUDIKSVALL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57891-2023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45247</v>
      </c>
      <c r="E973" s="1" t="n">
        <v>46256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9396-2026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46256</v>
      </c>
      <c r="F974" t="inlineStr">
        <is>
          <t>GÄVLEBORGS LÄN</t>
        </is>
      </c>
      <c r="G974" t="inlineStr">
        <is>
          <t>HUDIKSVALL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9585-2026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46256</v>
      </c>
      <c r="F975" t="inlineStr">
        <is>
          <t>GÄVLEBORGS LÄN</t>
        </is>
      </c>
      <c r="G975" t="inlineStr">
        <is>
          <t>HUDIKSVALL</t>
        </is>
      </c>
      <c r="I975" t="n">
        <v>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46256</v>
      </c>
      <c r="F976" t="inlineStr">
        <is>
          <t>GÄVLEBORGS LÄN</t>
        </is>
      </c>
      <c r="G976" t="inlineStr">
        <is>
          <t>HUDIKSVALL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9916-2026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46073</v>
      </c>
      <c r="E977" s="1" t="n">
        <v>46256</v>
      </c>
      <c r="F977" t="inlineStr">
        <is>
          <t>GÄVLEBORGS LÄN</t>
        </is>
      </c>
      <c r="G977" t="inlineStr">
        <is>
          <t>HUDIKSVALL</t>
        </is>
      </c>
      <c r="I977" t="n">
        <v>5.3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34293-2024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45524</v>
      </c>
      <c r="E978" s="1" t="n">
        <v>46256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10073-2026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46073</v>
      </c>
      <c r="E979" s="1" t="n">
        <v>46256</v>
      </c>
      <c r="F979" t="inlineStr">
        <is>
          <t>GÄVLEBORGS LÄN</t>
        </is>
      </c>
      <c r="G979" t="inlineStr">
        <is>
          <t>HUDIKSVALL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9763-2026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46072</v>
      </c>
      <c r="E980" s="1" t="n">
        <v>46256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46220</v>
      </c>
      <c r="E981" s="1" t="n">
        <v>46256</v>
      </c>
      <c r="F981" t="inlineStr">
        <is>
          <t>GÄVLEBORGS LÄN</t>
        </is>
      </c>
      <c r="G981" t="inlineStr">
        <is>
          <t>HUDIKSVALL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10010-2026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46073</v>
      </c>
      <c r="E982" s="1" t="n">
        <v>46256</v>
      </c>
      <c r="F982" t="inlineStr">
        <is>
          <t>GÄVLEBORGS LÄN</t>
        </is>
      </c>
      <c r="G982" t="inlineStr">
        <is>
          <t>HUDIKSVALL</t>
        </is>
      </c>
      <c r="I982" t="n">
        <v>18.2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28810-2023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45104</v>
      </c>
      <c r="E983" s="1" t="n">
        <v>46256</v>
      </c>
      <c r="F983" t="inlineStr">
        <is>
          <t>GÄVLEBORGS LÄN</t>
        </is>
      </c>
      <c r="G983" t="inlineStr">
        <is>
          <t>HUDIKSVALL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9800-2026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46072</v>
      </c>
      <c r="E984" s="1" t="n">
        <v>46256</v>
      </c>
      <c r="F984" t="inlineStr">
        <is>
          <t>GÄVLEBORGS LÄN</t>
        </is>
      </c>
      <c r="G984" t="inlineStr">
        <is>
          <t>HUDIKSVALL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20024-2024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45434</v>
      </c>
      <c r="E985" s="1" t="n">
        <v>46256</v>
      </c>
      <c r="F985" t="inlineStr">
        <is>
          <t>GÄVLEBORGS LÄN</t>
        </is>
      </c>
      <c r="G985" t="inlineStr">
        <is>
          <t>HUDIKSVALL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10059-2026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46073</v>
      </c>
      <c r="E986" s="1" t="n">
        <v>46256</v>
      </c>
      <c r="F986" t="inlineStr">
        <is>
          <t>GÄVLEBORGS LÄN</t>
        </is>
      </c>
      <c r="G986" t="inlineStr">
        <is>
          <t>HUDIKSVALL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10235-2026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46076</v>
      </c>
      <c r="E987" s="1" t="n">
        <v>46256</v>
      </c>
      <c r="F987" t="inlineStr">
        <is>
          <t>GÄVLEBORGS LÄN</t>
        </is>
      </c>
      <c r="G987" t="inlineStr">
        <is>
          <t>HUDIKSVALL</t>
        </is>
      </c>
      <c r="I987" t="n">
        <v>7.7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10378-2026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46076</v>
      </c>
      <c r="E988" s="1" t="n">
        <v>46256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10372-2026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46256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10534-2026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46077</v>
      </c>
      <c r="E990" s="1" t="n">
        <v>46256</v>
      </c>
      <c r="F990" t="inlineStr">
        <is>
          <t>GÄVLEBORGS LÄN</t>
        </is>
      </c>
      <c r="G990" t="inlineStr">
        <is>
          <t>HUDIKSVALL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25590-2026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46177</v>
      </c>
      <c r="E991" s="1" t="n">
        <v>46256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10308-2026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46256</v>
      </c>
      <c r="F992" t="inlineStr">
        <is>
          <t>GÄVLEBORGS LÄN</t>
        </is>
      </c>
      <c r="G992" t="inlineStr">
        <is>
          <t>HUDIKSVALL</t>
        </is>
      </c>
      <c r="H992" t="inlineStr">
        <is>
          <t>Sveaskog</t>
        </is>
      </c>
      <c r="I992" t="n">
        <v>5.4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25573-2026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46177</v>
      </c>
      <c r="E993" s="1" t="n">
        <v>46256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10374-2026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46076</v>
      </c>
      <c r="E994" s="1" t="n">
        <v>46256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10839-2026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46078</v>
      </c>
      <c r="E995" s="1" t="n">
        <v>46256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9824-2026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46256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29904-2024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45487</v>
      </c>
      <c r="E997" s="1" t="n">
        <v>46256</v>
      </c>
      <c r="F997" t="inlineStr">
        <is>
          <t>GÄVLEBORGS LÄN</t>
        </is>
      </c>
      <c r="G997" t="inlineStr">
        <is>
          <t>HUDIKSVALL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47530-2023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45203</v>
      </c>
      <c r="E998" s="1" t="n">
        <v>46256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37.8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35805-2024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45532</v>
      </c>
      <c r="E999" s="1" t="n">
        <v>46256</v>
      </c>
      <c r="F999" t="inlineStr">
        <is>
          <t>GÄVLEBORGS LÄN</t>
        </is>
      </c>
      <c r="G999" t="inlineStr">
        <is>
          <t>HUDIKSVALL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30983-2024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45499</v>
      </c>
      <c r="E1000" s="1" t="n">
        <v>46256</v>
      </c>
      <c r="F1000" t="inlineStr">
        <is>
          <t>GÄVLEBORGS LÄN</t>
        </is>
      </c>
      <c r="G1000" t="inlineStr">
        <is>
          <t>HUDIKSVALL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55182-2023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45230</v>
      </c>
      <c r="E1001" s="1" t="n">
        <v>46256</v>
      </c>
      <c r="F1001" t="inlineStr">
        <is>
          <t>GÄVLEBORGS LÄN</t>
        </is>
      </c>
      <c r="G1001" t="inlineStr">
        <is>
          <t>HUDIKSVALL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31662-2026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46225</v>
      </c>
      <c r="E1002" s="1" t="n">
        <v>46256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12.1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8269-2022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44610</v>
      </c>
      <c r="E1003" s="1" t="n">
        <v>46256</v>
      </c>
      <c r="F1003" t="inlineStr">
        <is>
          <t>GÄVLEBORGS LÄN</t>
        </is>
      </c>
      <c r="G1003" t="inlineStr">
        <is>
          <t>HUDIKSVALL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31663-2026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46225</v>
      </c>
      <c r="E1004" s="1" t="n">
        <v>46256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35882-2025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45862</v>
      </c>
      <c r="E1005" s="1" t="n">
        <v>46256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21229-2025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45779</v>
      </c>
      <c r="E1006" s="1" t="n">
        <v>46256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38.1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27477-2024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45474</v>
      </c>
      <c r="E1007" s="1" t="n">
        <v>46256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16073-2023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45027</v>
      </c>
      <c r="E1008" s="1" t="n">
        <v>46256</v>
      </c>
      <c r="F1008" t="inlineStr">
        <is>
          <t>GÄVLEBORGS LÄN</t>
        </is>
      </c>
      <c r="G1008" t="inlineStr">
        <is>
          <t>HUDIKSVALL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54219-2023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45232</v>
      </c>
      <c r="E1009" s="1" t="n">
        <v>46256</v>
      </c>
      <c r="F1009" t="inlineStr">
        <is>
          <t>GÄVLEBORGS LÄN</t>
        </is>
      </c>
      <c r="G1009" t="inlineStr">
        <is>
          <t>HUDIKSVALL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46041</v>
      </c>
      <c r="E1010" s="1" t="n">
        <v>46256</v>
      </c>
      <c r="F1010" t="inlineStr">
        <is>
          <t>GÄVLEBORGS LÄN</t>
        </is>
      </c>
      <c r="G1010" t="inlineStr">
        <is>
          <t>HUDIKSVALL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38201-2024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45545</v>
      </c>
      <c r="E1011" s="1" t="n">
        <v>46256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56738-2023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45244</v>
      </c>
      <c r="E1012" s="1" t="n">
        <v>46256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56755-2023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45244</v>
      </c>
      <c r="E1013" s="1" t="n">
        <v>46256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24890-2023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45085</v>
      </c>
      <c r="E1014" s="1" t="n">
        <v>46256</v>
      </c>
      <c r="F1014" t="inlineStr">
        <is>
          <t>GÄVLEBORGS LÄN</t>
        </is>
      </c>
      <c r="G1014" t="inlineStr">
        <is>
          <t>HUDIKSVALL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46031</v>
      </c>
      <c r="E1015" s="1" t="n">
        <v>46256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11605-2026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46084</v>
      </c>
      <c r="E1016" s="1" t="n">
        <v>46256</v>
      </c>
      <c r="F1016" t="inlineStr">
        <is>
          <t>GÄVLEBORGS LÄN</t>
        </is>
      </c>
      <c r="G1016" t="inlineStr">
        <is>
          <t>HUDIKSVALL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39440-2024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45551</v>
      </c>
      <c r="E1017" s="1" t="n">
        <v>46256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41521-2024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45560</v>
      </c>
      <c r="E1018" s="1" t="n">
        <v>46256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11778-2026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46084</v>
      </c>
      <c r="E1019" s="1" t="n">
        <v>46256</v>
      </c>
      <c r="F1019" t="inlineStr">
        <is>
          <t>GÄVLEBORGS LÄN</t>
        </is>
      </c>
      <c r="G1019" t="inlineStr">
        <is>
          <t>HUDIKSVALL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11932-2026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46085</v>
      </c>
      <c r="E1020" s="1" t="n">
        <v>46256</v>
      </c>
      <c r="F1020" t="inlineStr">
        <is>
          <t>GÄVLEBORGS LÄN</t>
        </is>
      </c>
      <c r="G1020" t="inlineStr">
        <is>
          <t>HUDIKSVALL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26413-2026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46183</v>
      </c>
      <c r="E1021" s="1" t="n">
        <v>46256</v>
      </c>
      <c r="F1021" t="inlineStr">
        <is>
          <t>GÄVLEBORGS LÄN</t>
        </is>
      </c>
      <c r="G1021" t="inlineStr">
        <is>
          <t>HUDIKSVALL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31707-2024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45508</v>
      </c>
      <c r="E1022" s="1" t="n">
        <v>46256</v>
      </c>
      <c r="F1022" t="inlineStr">
        <is>
          <t>GÄVLEBORGS LÄN</t>
        </is>
      </c>
      <c r="G1022" t="inlineStr">
        <is>
          <t>HUDIKSVALL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12024-2026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46256</v>
      </c>
      <c r="F1023" t="inlineStr">
        <is>
          <t>GÄVLEBORGS LÄN</t>
        </is>
      </c>
      <c r="G1023" t="inlineStr">
        <is>
          <t>HUDIKSVALL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12127-2026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46086</v>
      </c>
      <c r="E1024" s="1" t="n">
        <v>46256</v>
      </c>
      <c r="F1024" t="inlineStr">
        <is>
          <t>GÄVLEBORGS LÄN</t>
        </is>
      </c>
      <c r="G1024" t="inlineStr">
        <is>
          <t>HUDIKSVALL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12421-2026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46256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12543-2026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46090</v>
      </c>
      <c r="E1026" s="1" t="n">
        <v>46256</v>
      </c>
      <c r="F1026" t="inlineStr">
        <is>
          <t>GÄVLEBORGS LÄN</t>
        </is>
      </c>
      <c r="G1026" t="inlineStr">
        <is>
          <t>HUDIKSVALL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12556-2026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46090</v>
      </c>
      <c r="E1027" s="1" t="n">
        <v>46256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12350-2026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46087</v>
      </c>
      <c r="E1028" s="1" t="n">
        <v>46256</v>
      </c>
      <c r="F1028" t="inlineStr">
        <is>
          <t>GÄVLEBORGS LÄN</t>
        </is>
      </c>
      <c r="G1028" t="inlineStr">
        <is>
          <t>HUDIKSVALL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26410-2026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46183</v>
      </c>
      <c r="E1029" s="1" t="n">
        <v>46256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12513-2026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46090</v>
      </c>
      <c r="E1030" s="1" t="n">
        <v>46256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44070-2023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45188</v>
      </c>
      <c r="E1031" s="1" t="n">
        <v>46256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44084-2023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45188</v>
      </c>
      <c r="E1032" s="1" t="n">
        <v>46256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11093-2025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45723</v>
      </c>
      <c r="E1033" s="1" t="n">
        <v>46256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31686-2026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46256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Naturvårdsverket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1776-2026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46034</v>
      </c>
      <c r="E1035" s="1" t="n">
        <v>46256</v>
      </c>
      <c r="F1035" t="inlineStr">
        <is>
          <t>GÄVLEBORGS LÄN</t>
        </is>
      </c>
      <c r="G1035" t="inlineStr">
        <is>
          <t>HUDIKSVALL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2889-2025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45677</v>
      </c>
      <c r="E1036" s="1" t="n">
        <v>46256</v>
      </c>
      <c r="F1036" t="inlineStr">
        <is>
          <t>GÄVLEBORGS LÄN</t>
        </is>
      </c>
      <c r="G1036" t="inlineStr">
        <is>
          <t>HUDIKSVALL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12480-2026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46090</v>
      </c>
      <c r="E1037" s="1" t="n">
        <v>46256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16.3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46044</v>
      </c>
      <c r="E1038" s="1" t="n">
        <v>46256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5905-2025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45695</v>
      </c>
      <c r="E1039" s="1" t="n">
        <v>46256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12538-2026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46256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12252-2026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46087</v>
      </c>
      <c r="E1041" s="1" t="n">
        <v>46256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12541-2026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46090</v>
      </c>
      <c r="E1042" s="1" t="n">
        <v>46256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Kyrkan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12894-2026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46092</v>
      </c>
      <c r="E1043" s="1" t="n">
        <v>46256</v>
      </c>
      <c r="F1043" t="inlineStr">
        <is>
          <t>GÄVLEBORGS LÄN</t>
        </is>
      </c>
      <c r="G1043" t="inlineStr">
        <is>
          <t>HUDIKSVALL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46207-2024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45581</v>
      </c>
      <c r="E1044" s="1" t="n">
        <v>46256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12634-2026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46091</v>
      </c>
      <c r="E1045" s="1" t="n">
        <v>46256</v>
      </c>
      <c r="F1045" t="inlineStr">
        <is>
          <t>GÄVLEBORGS LÄN</t>
        </is>
      </c>
      <c r="G1045" t="inlineStr">
        <is>
          <t>HUDIKSVALL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12526-2024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45379</v>
      </c>
      <c r="E1046" s="1" t="n">
        <v>46256</v>
      </c>
      <c r="F1046" t="inlineStr">
        <is>
          <t>GÄVLEBORGS LÄN</t>
        </is>
      </c>
      <c r="G1046" t="inlineStr">
        <is>
          <t>HUDIKSVALL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60736-2023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45260</v>
      </c>
      <c r="E1047" s="1" t="n">
        <v>46256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27259-2026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46188</v>
      </c>
      <c r="E1048" s="1" t="n">
        <v>46256</v>
      </c>
      <c r="F1048" t="inlineStr">
        <is>
          <t>GÄVLEBORGS LÄN</t>
        </is>
      </c>
      <c r="G1048" t="inlineStr">
        <is>
          <t>HUDIKSVALL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12729-2026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46091</v>
      </c>
      <c r="E1049" s="1" t="n">
        <v>46256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56882-2023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45244</v>
      </c>
      <c r="E1050" s="1" t="n">
        <v>46256</v>
      </c>
      <c r="F1050" t="inlineStr">
        <is>
          <t>GÄVLEBORGS LÄN</t>
        </is>
      </c>
      <c r="G1050" t="inlineStr">
        <is>
          <t>HUDIKSVALL</t>
        </is>
      </c>
      <c r="I1050" t="n">
        <v>7.7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13315-2026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46094</v>
      </c>
      <c r="E1051" s="1" t="n">
        <v>46256</v>
      </c>
      <c r="F1051" t="inlineStr">
        <is>
          <t>GÄVLEBORGS LÄN</t>
        </is>
      </c>
      <c r="G1051" t="inlineStr">
        <is>
          <t>HUDIKSVALL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59326-2025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45989</v>
      </c>
      <c r="E1052" s="1" t="n">
        <v>46256</v>
      </c>
      <c r="F1052" t="inlineStr">
        <is>
          <t>GÄVLEBORGS LÄN</t>
        </is>
      </c>
      <c r="G1052" t="inlineStr">
        <is>
          <t>HUDIKSVALL</t>
        </is>
      </c>
      <c r="I1052" t="n">
        <v>5.3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13451-2026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46094</v>
      </c>
      <c r="E1053" s="1" t="n">
        <v>46256</v>
      </c>
      <c r="F1053" t="inlineStr">
        <is>
          <t>GÄVLEBORGS LÄN</t>
        </is>
      </c>
      <c r="G1053" t="inlineStr">
        <is>
          <t>HUDIKSVALL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13453-2026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46094</v>
      </c>
      <c r="E1054" s="1" t="n">
        <v>46256</v>
      </c>
      <c r="F1054" t="inlineStr">
        <is>
          <t>GÄVLEBORGS LÄN</t>
        </is>
      </c>
      <c r="G1054" t="inlineStr">
        <is>
          <t>HUDIKSVALL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38670-2023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45162</v>
      </c>
      <c r="E1055" s="1" t="n">
        <v>46256</v>
      </c>
      <c r="F1055" t="inlineStr">
        <is>
          <t>GÄVLEBORGS LÄN</t>
        </is>
      </c>
      <c r="G1055" t="inlineStr">
        <is>
          <t>HUDIKSVALL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13168-2026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46256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Sveaskog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13170-2026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46093</v>
      </c>
      <c r="E1057" s="1" t="n">
        <v>46256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Sveaskog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13458-2026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46094</v>
      </c>
      <c r="E1058" s="1" t="n">
        <v>46256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7.9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46185</v>
      </c>
      <c r="E1059" s="1" t="n">
        <v>46256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13445-2026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46094</v>
      </c>
      <c r="E1060" s="1" t="n">
        <v>46256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59327-2025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45989</v>
      </c>
      <c r="E1061" s="1" t="n">
        <v>46256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5725-2024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45334</v>
      </c>
      <c r="E1062" s="1" t="n">
        <v>46256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13156-2026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46093</v>
      </c>
      <c r="E1063" s="1" t="n">
        <v>46256</v>
      </c>
      <c r="F1063" t="inlineStr">
        <is>
          <t>GÄVLEBORGS LÄN</t>
        </is>
      </c>
      <c r="G1063" t="inlineStr">
        <is>
          <t>HUDIKSVALL</t>
        </is>
      </c>
      <c r="I1063" t="n">
        <v>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53434-2023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45229</v>
      </c>
      <c r="E1064" s="1" t="n">
        <v>46256</v>
      </c>
      <c r="F1064" t="inlineStr">
        <is>
          <t>GÄVLEBORGS LÄN</t>
        </is>
      </c>
      <c r="G1064" t="inlineStr">
        <is>
          <t>HUDIKSVALL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27171-2026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46188</v>
      </c>
      <c r="E1065" s="1" t="n">
        <v>46256</v>
      </c>
      <c r="F1065" t="inlineStr">
        <is>
          <t>GÄVLEBORGS LÄN</t>
        </is>
      </c>
      <c r="G1065" t="inlineStr">
        <is>
          <t>HUDIKSVALL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27706-2026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46190</v>
      </c>
      <c r="E1066" s="1" t="n">
        <v>46256</v>
      </c>
      <c r="F1066" t="inlineStr">
        <is>
          <t>GÄVLEBORGS LÄN</t>
        </is>
      </c>
      <c r="G1066" t="inlineStr">
        <is>
          <t>HUDIKSVALL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43803-2022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44838</v>
      </c>
      <c r="E1067" s="1" t="n">
        <v>46256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68662-2021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44529</v>
      </c>
      <c r="E1068" s="1" t="n">
        <v>46256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13959-2026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46098</v>
      </c>
      <c r="E1069" s="1" t="n">
        <v>46256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7992-2024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45350</v>
      </c>
      <c r="E1070" s="1" t="n">
        <v>46256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32015-2026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46233</v>
      </c>
      <c r="E1071" s="1" t="n">
        <v>46256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4.3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13980-2026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46098</v>
      </c>
      <c r="E1072" s="1" t="n">
        <v>46256</v>
      </c>
      <c r="F1072" t="inlineStr">
        <is>
          <t>GÄVLEBORGS LÄN</t>
        </is>
      </c>
      <c r="G1072" t="inlineStr">
        <is>
          <t>HUDIKSVALL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58005-2024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45631</v>
      </c>
      <c r="E1073" s="1" t="n">
        <v>46256</v>
      </c>
      <c r="F1073" t="inlineStr">
        <is>
          <t>GÄVLEBORGS LÄN</t>
        </is>
      </c>
      <c r="G1073" t="inlineStr">
        <is>
          <t>HUDIKSVALL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13981-2026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46098</v>
      </c>
      <c r="E1074" s="1" t="n">
        <v>46256</v>
      </c>
      <c r="F1074" t="inlineStr">
        <is>
          <t>GÄVLEBORGS LÄN</t>
        </is>
      </c>
      <c r="G1074" t="inlineStr">
        <is>
          <t>HUDIKSVALL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32057-2026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46233</v>
      </c>
      <c r="E1075" s="1" t="n">
        <v>46256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32056-2026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46233</v>
      </c>
      <c r="E1076" s="1" t="n">
        <v>46256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32059-2026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46233</v>
      </c>
      <c r="E1077" s="1" t="n">
        <v>46256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53966-2025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45961</v>
      </c>
      <c r="E1078" s="1" t="n">
        <v>46256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Naturvårdsverket</t>
        </is>
      </c>
      <c r="I1078" t="n">
        <v>17.5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53967-2025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45961</v>
      </c>
      <c r="E1079" s="1" t="n">
        <v>46256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Naturvårdsverket</t>
        </is>
      </c>
      <c r="I1079" t="n">
        <v>10.9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27505-2026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46189</v>
      </c>
      <c r="E1080" s="1" t="n">
        <v>46256</v>
      </c>
      <c r="F1080" t="inlineStr">
        <is>
          <t>GÄVLEBORGS LÄN</t>
        </is>
      </c>
      <c r="G1080" t="inlineStr">
        <is>
          <t>HUDIKSVALL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32029-2026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46233</v>
      </c>
      <c r="E1081" s="1" t="n">
        <v>46256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5.6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32039-2026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46233</v>
      </c>
      <c r="E1082" s="1" t="n">
        <v>46256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14158-2026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46099</v>
      </c>
      <c r="E1083" s="1" t="n">
        <v>46256</v>
      </c>
      <c r="F1083" t="inlineStr">
        <is>
          <t>GÄVLEBORGS LÄN</t>
        </is>
      </c>
      <c r="G1083" t="inlineStr">
        <is>
          <t>HUDIKSVALL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22976-2024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45449</v>
      </c>
      <c r="E1084" s="1" t="n">
        <v>46256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5.9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14351-2026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46100</v>
      </c>
      <c r="E1085" s="1" t="n">
        <v>46256</v>
      </c>
      <c r="F1085" t="inlineStr">
        <is>
          <t>GÄVLEBORGS LÄN</t>
        </is>
      </c>
      <c r="G1085" t="inlineStr">
        <is>
          <t>HUDIKSVALL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27410-2026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46256</v>
      </c>
      <c r="F1086" t="inlineStr">
        <is>
          <t>GÄVLEBORGS LÄN</t>
        </is>
      </c>
      <c r="G1086" t="inlineStr">
        <is>
          <t>HUDIKSVALL</t>
        </is>
      </c>
      <c r="I1086" t="n">
        <v>13.9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27510-2026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46256</v>
      </c>
      <c r="F1087" t="inlineStr">
        <is>
          <t>GÄVLEBORGS LÄN</t>
        </is>
      </c>
      <c r="G1087" t="inlineStr">
        <is>
          <t>HUDIKSVALL</t>
        </is>
      </c>
      <c r="I1087" t="n">
        <v>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14460-2026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46100</v>
      </c>
      <c r="E1088" s="1" t="n">
        <v>46256</v>
      </c>
      <c r="F1088" t="inlineStr">
        <is>
          <t>GÄVLEBORGS LÄN</t>
        </is>
      </c>
      <c r="G1088" t="inlineStr">
        <is>
          <t>HUDIKSVALL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27891-2026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46191</v>
      </c>
      <c r="E1089" s="1" t="n">
        <v>46256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33968-2024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45523</v>
      </c>
      <c r="E1090" s="1" t="n">
        <v>46256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20253-2026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46139</v>
      </c>
      <c r="E1091" s="1" t="n">
        <v>46256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14685-2026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46101</v>
      </c>
      <c r="E1092" s="1" t="n">
        <v>46256</v>
      </c>
      <c r="F1092" t="inlineStr">
        <is>
          <t>GÄVLEBORGS LÄN</t>
        </is>
      </c>
      <c r="G1092" t="inlineStr">
        <is>
          <t>HUDIKSVALL</t>
        </is>
      </c>
      <c r="I1092" t="n">
        <v>7.1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14593-2026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46101</v>
      </c>
      <c r="E1093" s="1" t="n">
        <v>46256</v>
      </c>
      <c r="F1093" t="inlineStr">
        <is>
          <t>GÄVLEBORGS LÄN</t>
        </is>
      </c>
      <c r="G1093" t="inlineStr">
        <is>
          <t>HUDIKSVALL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14957-2026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46104</v>
      </c>
      <c r="E1094" s="1" t="n">
        <v>46256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9852-2026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46072</v>
      </c>
      <c r="E1095" s="1" t="n">
        <v>46256</v>
      </c>
      <c r="F1095" t="inlineStr">
        <is>
          <t>GÄVLEBORGS LÄN</t>
        </is>
      </c>
      <c r="G1095" t="inlineStr">
        <is>
          <t>HUDIKSVALL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14803-2026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46103</v>
      </c>
      <c r="E1096" s="1" t="n">
        <v>46256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8.9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27827-2026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46256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6.9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14804-2026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46103</v>
      </c>
      <c r="E1098" s="1" t="n">
        <v>46256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8.199999999999999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27880-2026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46256</v>
      </c>
      <c r="F1099" t="inlineStr">
        <is>
          <t>GÄVLEBORGS LÄN</t>
        </is>
      </c>
      <c r="G1099" t="inlineStr">
        <is>
          <t>HUDIKSVALL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61579-2024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45646</v>
      </c>
      <c r="E1100" s="1" t="n">
        <v>46256</v>
      </c>
      <c r="F1100" t="inlineStr">
        <is>
          <t>GÄVLEBORGS LÄN</t>
        </is>
      </c>
      <c r="G1100" t="inlineStr">
        <is>
          <t>HUDIKSVALL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13593-2026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46096</v>
      </c>
      <c r="E1101" s="1" t="n">
        <v>46256</v>
      </c>
      <c r="F1101" t="inlineStr">
        <is>
          <t>GÄVLEBORGS LÄN</t>
        </is>
      </c>
      <c r="G1101" t="inlineStr">
        <is>
          <t>HUDIKSVALL</t>
        </is>
      </c>
      <c r="I1101" t="n">
        <v>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14805-2026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46103</v>
      </c>
      <c r="E1102" s="1" t="n">
        <v>46256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45700-2024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45579</v>
      </c>
      <c r="E1103" s="1" t="n">
        <v>46256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27819-2026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46191</v>
      </c>
      <c r="E1104" s="1" t="n">
        <v>46256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29.5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27846-2026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46191</v>
      </c>
      <c r="E1105" s="1" t="n">
        <v>46256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67049-2021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44522</v>
      </c>
      <c r="E1106" s="1" t="n">
        <v>46256</v>
      </c>
      <c r="F1106" t="inlineStr">
        <is>
          <t>GÄVLEBORGS LÄN</t>
        </is>
      </c>
      <c r="G1106" t="inlineStr">
        <is>
          <t>HUDIKSVALL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67082-2021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44522</v>
      </c>
      <c r="E1107" s="1" t="n">
        <v>46256</v>
      </c>
      <c r="F1107" t="inlineStr">
        <is>
          <t>GÄVLEBORGS LÄN</t>
        </is>
      </c>
      <c r="G1107" t="inlineStr">
        <is>
          <t>HUDIKSVALL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24092-2023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45079</v>
      </c>
      <c r="E1108" s="1" t="n">
        <v>46256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756-2026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46029</v>
      </c>
      <c r="E1109" s="1" t="n">
        <v>46256</v>
      </c>
      <c r="F1109" t="inlineStr">
        <is>
          <t>GÄVLEBORGS LÄN</t>
        </is>
      </c>
      <c r="G1109" t="inlineStr">
        <is>
          <t>HUDIKSVALL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15390-2026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46106</v>
      </c>
      <c r="E1110" s="1" t="n">
        <v>46256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15473-2026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46106</v>
      </c>
      <c r="E1111" s="1" t="n">
        <v>46256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28333-2026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46196</v>
      </c>
      <c r="E1112" s="1" t="n">
        <v>46256</v>
      </c>
      <c r="F1112" t="inlineStr">
        <is>
          <t>GÄVLEBORGS LÄN</t>
        </is>
      </c>
      <c r="G1112" t="inlineStr">
        <is>
          <t>HUDIKSVALL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16594-2024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45408</v>
      </c>
      <c r="E1113" s="1" t="n">
        <v>46256</v>
      </c>
      <c r="F1113" t="inlineStr">
        <is>
          <t>GÄVLEBORGS LÄN</t>
        </is>
      </c>
      <c r="G1113" t="inlineStr">
        <is>
          <t>HUDIKSVALL</t>
        </is>
      </c>
      <c r="I1113" t="n">
        <v>11.8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15949-2026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46107</v>
      </c>
      <c r="E1114" s="1" t="n">
        <v>46256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10332-2023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44987</v>
      </c>
      <c r="E1115" s="1" t="n">
        <v>46256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15952-2026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46107</v>
      </c>
      <c r="E1116" s="1" t="n">
        <v>46256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61234-2023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45264</v>
      </c>
      <c r="E1117" s="1" t="n">
        <v>46256</v>
      </c>
      <c r="F1117" t="inlineStr">
        <is>
          <t>GÄVLEBORGS LÄN</t>
        </is>
      </c>
      <c r="G1117" t="inlineStr">
        <is>
          <t>HUDIKSVALL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28075-2026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46195</v>
      </c>
      <c r="E1118" s="1" t="n">
        <v>46256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Kommuner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15719-2026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46107</v>
      </c>
      <c r="E1119" s="1" t="n">
        <v>46256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36.9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28315-2026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46196</v>
      </c>
      <c r="E1120" s="1" t="n">
        <v>46256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60917-2023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45261</v>
      </c>
      <c r="E1121" s="1" t="n">
        <v>46256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60938-2023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45261</v>
      </c>
      <c r="E1122" s="1" t="n">
        <v>46256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16745-2025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45754</v>
      </c>
      <c r="E1123" s="1" t="n">
        <v>46256</v>
      </c>
      <c r="F1123" t="inlineStr">
        <is>
          <t>GÄVLEBORGS LÄN</t>
        </is>
      </c>
      <c r="G1123" t="inlineStr">
        <is>
          <t>HUDIKSVALL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62628-2023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45271</v>
      </c>
      <c r="E1124" s="1" t="n">
        <v>46256</v>
      </c>
      <c r="F1124" t="inlineStr">
        <is>
          <t>GÄVLEBORGS LÄN</t>
        </is>
      </c>
      <c r="G1124" t="inlineStr">
        <is>
          <t>HUDIKSVALL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16683-2026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46112</v>
      </c>
      <c r="E1125" s="1" t="n">
        <v>46256</v>
      </c>
      <c r="F1125" t="inlineStr">
        <is>
          <t>GÄVLEBORGS LÄN</t>
        </is>
      </c>
      <c r="G1125" t="inlineStr">
        <is>
          <t>HUDIKSVALL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32425-2026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46238</v>
      </c>
      <c r="E1126" s="1" t="n">
        <v>46256</v>
      </c>
      <c r="F1126" t="inlineStr">
        <is>
          <t>GÄVLEBORGS LÄN</t>
        </is>
      </c>
      <c r="G1126" t="inlineStr">
        <is>
          <t>HUDIKSVALL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27955-2024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45476</v>
      </c>
      <c r="E1127" s="1" t="n">
        <v>46256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16221-2026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46111</v>
      </c>
      <c r="E1128" s="1" t="n">
        <v>46256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Naturvårdsverket</t>
        </is>
      </c>
      <c r="I1128" t="n">
        <v>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32464-2026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46239</v>
      </c>
      <c r="E1129" s="1" t="n">
        <v>46256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Naturvårdsverket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32475-2026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46239</v>
      </c>
      <c r="E1130" s="1" t="n">
        <v>46256</v>
      </c>
      <c r="F1130" t="inlineStr">
        <is>
          <t>GÄVLEBORGS LÄN</t>
        </is>
      </c>
      <c r="G1130" t="inlineStr">
        <is>
          <t>HUDIKSVALL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25268-2024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45462</v>
      </c>
      <c r="E1131" s="1" t="n">
        <v>46256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44229-2024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45573</v>
      </c>
      <c r="E1132" s="1" t="n">
        <v>46256</v>
      </c>
      <c r="F1132" t="inlineStr">
        <is>
          <t>GÄVLEBORGS LÄN</t>
        </is>
      </c>
      <c r="G1132" t="inlineStr">
        <is>
          <t>HUDIKSVALL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30107-2024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45489</v>
      </c>
      <c r="E1133" s="1" t="n">
        <v>46256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16722-2026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46113</v>
      </c>
      <c r="E1134" s="1" t="n">
        <v>46256</v>
      </c>
      <c r="F1134" t="inlineStr">
        <is>
          <t>GÄVLEBORGS LÄN</t>
        </is>
      </c>
      <c r="G1134" t="inlineStr">
        <is>
          <t>HUDIKSVALL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16954-2026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46114</v>
      </c>
      <c r="E1135" s="1" t="n">
        <v>46256</v>
      </c>
      <c r="F1135" t="inlineStr">
        <is>
          <t>GÄVLEBORGS LÄN</t>
        </is>
      </c>
      <c r="G1135" t="inlineStr">
        <is>
          <t>HUDIKSVALL</t>
        </is>
      </c>
      <c r="I1135" t="n">
        <v>4.9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28071-2026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46256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Kommuner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16968-2026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46114</v>
      </c>
      <c r="E1137" s="1" t="n">
        <v>46256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16972-2026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46114</v>
      </c>
      <c r="E1138" s="1" t="n">
        <v>46256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32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16848-2026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46113</v>
      </c>
      <c r="E1139" s="1" t="n">
        <v>46256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4.8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16842-2026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46113</v>
      </c>
      <c r="E1140" s="1" t="n">
        <v>46256</v>
      </c>
      <c r="F1140" t="inlineStr">
        <is>
          <t>GÄVLEBORGS LÄN</t>
        </is>
      </c>
      <c r="G1140" t="inlineStr">
        <is>
          <t>HUDIKSVALL</t>
        </is>
      </c>
      <c r="I1140" t="n">
        <v>9.199999999999999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16738-2026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46113</v>
      </c>
      <c r="E1141" s="1" t="n">
        <v>46256</v>
      </c>
      <c r="F1141" t="inlineStr">
        <is>
          <t>GÄVLEBORGS LÄN</t>
        </is>
      </c>
      <c r="G1141" t="inlineStr">
        <is>
          <t>HUDIKSVALL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16741-2026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46256</v>
      </c>
      <c r="F1142" t="inlineStr">
        <is>
          <t>GÄVLEBORGS LÄN</t>
        </is>
      </c>
      <c r="G1142" t="inlineStr">
        <is>
          <t>HUDIKSVALL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40364-2024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45555</v>
      </c>
      <c r="E1143" s="1" t="n">
        <v>46256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11475-2024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45372</v>
      </c>
      <c r="E1144" s="1" t="n">
        <v>46256</v>
      </c>
      <c r="F1144" t="inlineStr">
        <is>
          <t>GÄVLEBORGS LÄN</t>
        </is>
      </c>
      <c r="G1144" t="inlineStr">
        <is>
          <t>HUDIKSVALL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17528-2026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46120</v>
      </c>
      <c r="E1145" s="1" t="n">
        <v>46256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28540-2026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46197</v>
      </c>
      <c r="E1146" s="1" t="n">
        <v>46256</v>
      </c>
      <c r="F1146" t="inlineStr">
        <is>
          <t>GÄVLEBORGS LÄN</t>
        </is>
      </c>
      <c r="G1146" t="inlineStr">
        <is>
          <t>HUDIKSVALL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17440-2026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46120</v>
      </c>
      <c r="E1147" s="1" t="n">
        <v>46256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Kommuner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34664-2022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44795</v>
      </c>
      <c r="E1148" s="1" t="n">
        <v>46256</v>
      </c>
      <c r="F1148" t="inlineStr">
        <is>
          <t>GÄVLEBORGS LÄN</t>
        </is>
      </c>
      <c r="G1148" t="inlineStr">
        <is>
          <t>HUDIKSVALL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28680-2026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46198</v>
      </c>
      <c r="E1149" s="1" t="n">
        <v>46256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24834-2024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45461</v>
      </c>
      <c r="E1150" s="1" t="n">
        <v>46256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32635-2026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46240</v>
      </c>
      <c r="E1151" s="1" t="n">
        <v>46256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11082-2023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44992</v>
      </c>
      <c r="E1152" s="1" t="n">
        <v>46256</v>
      </c>
      <c r="F1152" t="inlineStr">
        <is>
          <t>GÄVLEBORGS LÄN</t>
        </is>
      </c>
      <c r="G1152" t="inlineStr">
        <is>
          <t>HUDIKSVALL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24240-2025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45797</v>
      </c>
      <c r="E1153" s="1" t="n">
        <v>46256</v>
      </c>
      <c r="F1153" t="inlineStr">
        <is>
          <t>GÄVLEBORGS LÄN</t>
        </is>
      </c>
      <c r="G1153" t="inlineStr">
        <is>
          <t>HUDIKSVALL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17800-2026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46122</v>
      </c>
      <c r="E1154" s="1" t="n">
        <v>46256</v>
      </c>
      <c r="F1154" t="inlineStr">
        <is>
          <t>GÄVLEBORGS LÄN</t>
        </is>
      </c>
      <c r="G1154" t="inlineStr">
        <is>
          <t>HUDIKSVALL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45797</v>
      </c>
      <c r="E1155" s="1" t="n">
        <v>46256</v>
      </c>
      <c r="F1155" t="inlineStr">
        <is>
          <t>GÄVLEBORGS LÄN</t>
        </is>
      </c>
      <c r="G1155" t="inlineStr">
        <is>
          <t>HUDIKSVALL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36084-2024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45533</v>
      </c>
      <c r="E1156" s="1" t="n">
        <v>46256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28409-2026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46197</v>
      </c>
      <c r="E1157" s="1" t="n">
        <v>46256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17566-2026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46121</v>
      </c>
      <c r="E1158" s="1" t="n">
        <v>46256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Naturvårdsverket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34873-2024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46256</v>
      </c>
      <c r="F1159" t="inlineStr">
        <is>
          <t>GÄVLEBORGS LÄN</t>
        </is>
      </c>
      <c r="G1159" t="inlineStr">
        <is>
          <t>HUDIKSVALL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2760-2024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45314</v>
      </c>
      <c r="E1160" s="1" t="n">
        <v>46256</v>
      </c>
      <c r="F1160" t="inlineStr">
        <is>
          <t>GÄVLEBORGS LÄN</t>
        </is>
      </c>
      <c r="G1160" t="inlineStr">
        <is>
          <t>HUDIKSVALL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17662-2026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46121</v>
      </c>
      <c r="E1161" s="1" t="n">
        <v>46256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17921-2026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46256</v>
      </c>
      <c r="F1162" t="inlineStr">
        <is>
          <t>GÄVLEBORGS LÄN</t>
        </is>
      </c>
      <c r="G1162" t="inlineStr">
        <is>
          <t>HUDIKSVALL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50899-2021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44460</v>
      </c>
      <c r="E1163" s="1" t="n">
        <v>46256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35879-2024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45533</v>
      </c>
      <c r="E1164" s="1" t="n">
        <v>46256</v>
      </c>
      <c r="F1164" t="inlineStr">
        <is>
          <t>GÄVLEBORGS LÄN</t>
        </is>
      </c>
      <c r="G1164" t="inlineStr">
        <is>
          <t>HUDIKSVALL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18387-2026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46126</v>
      </c>
      <c r="E1165" s="1" t="n">
        <v>46256</v>
      </c>
      <c r="F1165" t="inlineStr">
        <is>
          <t>GÄVLEBORGS LÄN</t>
        </is>
      </c>
      <c r="G1165" t="inlineStr">
        <is>
          <t>HUDIKSVALL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18256-2026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46126</v>
      </c>
      <c r="E1166" s="1" t="n">
        <v>46256</v>
      </c>
      <c r="F1166" t="inlineStr">
        <is>
          <t>GÄVLEBORGS LÄN</t>
        </is>
      </c>
      <c r="G1166" t="inlineStr">
        <is>
          <t>HUDIKSVALL</t>
        </is>
      </c>
      <c r="I1166" t="n">
        <v>4.1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18257-2026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46126</v>
      </c>
      <c r="E1167" s="1" t="n">
        <v>46256</v>
      </c>
      <c r="F1167" t="inlineStr">
        <is>
          <t>GÄVLEBORGS LÄN</t>
        </is>
      </c>
      <c r="G1167" t="inlineStr">
        <is>
          <t>HUDIKSVALL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28798-2026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46198</v>
      </c>
      <c r="E1168" s="1" t="n">
        <v>46256</v>
      </c>
      <c r="F1168" t="inlineStr">
        <is>
          <t>GÄVLEBORGS LÄN</t>
        </is>
      </c>
      <c r="G1168" t="inlineStr">
        <is>
          <t>HUDIKSVALL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53156-2024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45611</v>
      </c>
      <c r="E1169" s="1" t="n">
        <v>46256</v>
      </c>
      <c r="F1169" t="inlineStr">
        <is>
          <t>GÄVLEBORGS LÄN</t>
        </is>
      </c>
      <c r="G1169" t="inlineStr">
        <is>
          <t>HUDIKSVALL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46125</v>
      </c>
      <c r="E1170" s="1" t="n">
        <v>46256</v>
      </c>
      <c r="F1170" t="inlineStr">
        <is>
          <t>GÄVLEBORGS LÄN</t>
        </is>
      </c>
      <c r="G1170" t="inlineStr">
        <is>
          <t>HUDIKSVALL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28539-2026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46197</v>
      </c>
      <c r="E1171" s="1" t="n">
        <v>46256</v>
      </c>
      <c r="F1171" t="inlineStr">
        <is>
          <t>GÄVLEBORGS LÄN</t>
        </is>
      </c>
      <c r="G1171" t="inlineStr">
        <is>
          <t>HUDIKSVALL</t>
        </is>
      </c>
      <c r="I1171" t="n">
        <v>4.3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18100-2026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46125</v>
      </c>
      <c r="E1172" s="1" t="n">
        <v>46256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28800-2026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46198</v>
      </c>
      <c r="E1173" s="1" t="n">
        <v>46256</v>
      </c>
      <c r="F1173" t="inlineStr">
        <is>
          <t>GÄVLEBORGS LÄN</t>
        </is>
      </c>
      <c r="G1173" t="inlineStr">
        <is>
          <t>HUDIKSVALL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18587-2026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46127</v>
      </c>
      <c r="E1174" s="1" t="n">
        <v>46256</v>
      </c>
      <c r="F1174" t="inlineStr">
        <is>
          <t>GÄVLEBORGS LÄN</t>
        </is>
      </c>
      <c r="G1174" t="inlineStr">
        <is>
          <t>HUDIKSVALL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18486-2026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46256</v>
      </c>
      <c r="F1175" t="inlineStr">
        <is>
          <t>GÄVLEBORGS LÄN</t>
        </is>
      </c>
      <c r="G1175" t="inlineStr">
        <is>
          <t>HUDIKSVALL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22892-2023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45072</v>
      </c>
      <c r="E1176" s="1" t="n">
        <v>46256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28174-2023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45099</v>
      </c>
      <c r="E1177" s="1" t="n">
        <v>46256</v>
      </c>
      <c r="F1177" t="inlineStr">
        <is>
          <t>GÄVLEBORGS LÄN</t>
        </is>
      </c>
      <c r="G1177" t="inlineStr">
        <is>
          <t>HUDIKSVALL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18434-2026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46127</v>
      </c>
      <c r="E1178" s="1" t="n">
        <v>46256</v>
      </c>
      <c r="F1178" t="inlineStr">
        <is>
          <t>GÄVLEBORGS LÄN</t>
        </is>
      </c>
      <c r="G1178" t="inlineStr">
        <is>
          <t>HUDIKSVALL</t>
        </is>
      </c>
      <c r="I1178" t="n">
        <v>5.3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29341-2026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46202</v>
      </c>
      <c r="E1179" s="1" t="n">
        <v>46256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41249-2024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45559</v>
      </c>
      <c r="E1180" s="1" t="n">
        <v>46256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16.3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18582-2026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46127</v>
      </c>
      <c r="E1181" s="1" t="n">
        <v>46256</v>
      </c>
      <c r="F1181" t="inlineStr">
        <is>
          <t>GÄVLEBORGS LÄN</t>
        </is>
      </c>
      <c r="G1181" t="inlineStr">
        <is>
          <t>HUDIKSVALL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19270-2026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46133</v>
      </c>
      <c r="E1182" s="1" t="n">
        <v>46256</v>
      </c>
      <c r="F1182" t="inlineStr">
        <is>
          <t>GÄVLEBORGS LÄN</t>
        </is>
      </c>
      <c r="G1182" t="inlineStr">
        <is>
          <t>HUDIKSVALL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19348-2026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46133</v>
      </c>
      <c r="E1183" s="1" t="n">
        <v>46256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Kommuner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33137-2026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46245</v>
      </c>
      <c r="E1184" s="1" t="n">
        <v>46256</v>
      </c>
      <c r="F1184" t="inlineStr">
        <is>
          <t>GÄVLEBORGS LÄN</t>
        </is>
      </c>
      <c r="G1184" t="inlineStr">
        <is>
          <t>HUDIKSVALL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21718-2026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46149</v>
      </c>
      <c r="E1185" s="1" t="n">
        <v>46256</v>
      </c>
      <c r="F1185" t="inlineStr">
        <is>
          <t>GÄVLEBORGS LÄN</t>
        </is>
      </c>
      <c r="G1185" t="inlineStr">
        <is>
          <t>HUDIKSVALL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24210-2023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45079</v>
      </c>
      <c r="E1186" s="1" t="n">
        <v>46256</v>
      </c>
      <c r="F1186" t="inlineStr">
        <is>
          <t>GÄVLEBORGS LÄN</t>
        </is>
      </c>
      <c r="G1186" t="inlineStr">
        <is>
          <t>HUDIKSVALL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14108-2026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46099</v>
      </c>
      <c r="E1187" s="1" t="n">
        <v>46256</v>
      </c>
      <c r="F1187" t="inlineStr">
        <is>
          <t>GÄVLEBORGS LÄN</t>
        </is>
      </c>
      <c r="G1187" t="inlineStr">
        <is>
          <t>HUDIKSVALL</t>
        </is>
      </c>
      <c r="I1187" t="n">
        <v>5.5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43665-2024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45569</v>
      </c>
      <c r="E1188" s="1" t="n">
        <v>46256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Kommuner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29344-2026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46202</v>
      </c>
      <c r="E1189" s="1" t="n">
        <v>46256</v>
      </c>
      <c r="F1189" t="inlineStr">
        <is>
          <t>GÄVLEBORGS LÄN</t>
        </is>
      </c>
      <c r="G1189" t="inlineStr">
        <is>
          <t>HUDIKSVALL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55741-2023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45239</v>
      </c>
      <c r="E1190" s="1" t="n">
        <v>46256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7.1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1409-2024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45303</v>
      </c>
      <c r="E1191" s="1" t="n">
        <v>46256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16740-2026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46112</v>
      </c>
      <c r="E1192" s="1" t="n">
        <v>46256</v>
      </c>
      <c r="F1192" t="inlineStr">
        <is>
          <t>GÄVLEBORGS LÄN</t>
        </is>
      </c>
      <c r="G1192" t="inlineStr">
        <is>
          <t>HUDIKSVALL</t>
        </is>
      </c>
      <c r="I1192" t="n">
        <v>8.4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40965-2023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45173</v>
      </c>
      <c r="E1193" s="1" t="n">
        <v>46256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22977-2024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45449</v>
      </c>
      <c r="E1194" s="1" t="n">
        <v>46256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19781-2026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46135</v>
      </c>
      <c r="E1195" s="1" t="n">
        <v>46256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19848-2026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46135</v>
      </c>
      <c r="E1196" s="1" t="n">
        <v>46256</v>
      </c>
      <c r="F1196" t="inlineStr">
        <is>
          <t>GÄVLEBORGS LÄN</t>
        </is>
      </c>
      <c r="G1196" t="inlineStr">
        <is>
          <t>HUDIKSVALL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19864-2026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46135</v>
      </c>
      <c r="E1197" s="1" t="n">
        <v>46256</v>
      </c>
      <c r="F1197" t="inlineStr">
        <is>
          <t>GÄVLEBORGS LÄN</t>
        </is>
      </c>
      <c r="G1197" t="inlineStr">
        <is>
          <t>HUDIKSVALL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9918-2025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45717</v>
      </c>
      <c r="E1198" s="1" t="n">
        <v>46256</v>
      </c>
      <c r="F1198" t="inlineStr">
        <is>
          <t>GÄVLEBORGS LÄN</t>
        </is>
      </c>
      <c r="G1198" t="inlineStr">
        <is>
          <t>HUDIKSVALL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1377-2022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44573</v>
      </c>
      <c r="E1199" s="1" t="n">
        <v>46256</v>
      </c>
      <c r="F1199" t="inlineStr">
        <is>
          <t>GÄVLEBORGS LÄN</t>
        </is>
      </c>
      <c r="G1199" t="inlineStr">
        <is>
          <t>HUDIKSVALL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19705-2026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46134</v>
      </c>
      <c r="E1200" s="1" t="n">
        <v>46256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5.5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27956-2024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45476</v>
      </c>
      <c r="E1201" s="1" t="n">
        <v>46256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19568-2026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46134</v>
      </c>
      <c r="E1202" s="1" t="n">
        <v>46256</v>
      </c>
      <c r="F1202" t="inlineStr">
        <is>
          <t>GÄVLEBORGS LÄN</t>
        </is>
      </c>
      <c r="G1202" t="inlineStr">
        <is>
          <t>HUDIKSVALL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19535-2026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46134</v>
      </c>
      <c r="E1203" s="1" t="n">
        <v>46256</v>
      </c>
      <c r="F1203" t="inlineStr">
        <is>
          <t>GÄVLEBORGS LÄN</t>
        </is>
      </c>
      <c r="G1203" t="inlineStr">
        <is>
          <t>HUDIKSVALL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31117-2024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45502</v>
      </c>
      <c r="E1204" s="1" t="n">
        <v>46256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19790-2026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46135</v>
      </c>
      <c r="E1205" s="1" t="n">
        <v>46256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31119-2024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45502</v>
      </c>
      <c r="E1206" s="1" t="n">
        <v>46256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33157-2025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45840</v>
      </c>
      <c r="E1207" s="1" t="n">
        <v>46256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5.8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4075-2025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45684</v>
      </c>
      <c r="E1208" s="1" t="n">
        <v>46256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14383-2026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46256</v>
      </c>
      <c r="F1209" t="inlineStr">
        <is>
          <t>GÄVLEBORGS LÄN</t>
        </is>
      </c>
      <c r="G1209" t="inlineStr">
        <is>
          <t>HUDIKSVALL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9586-2026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46256</v>
      </c>
      <c r="F1210" t="inlineStr">
        <is>
          <t>GÄVLEBORGS LÄN</t>
        </is>
      </c>
      <c r="G1210" t="inlineStr">
        <is>
          <t>HUDIKSVALL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9813-2026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46256</v>
      </c>
      <c r="F1211" t="inlineStr">
        <is>
          <t>GÄVLEBORGS LÄN</t>
        </is>
      </c>
      <c r="G1211" t="inlineStr">
        <is>
          <t>HUDIKSVALL</t>
        </is>
      </c>
      <c r="I1211" t="n">
        <v>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31691-2024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45507</v>
      </c>
      <c r="E1212" s="1" t="n">
        <v>46256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29554-2026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46204</v>
      </c>
      <c r="E1213" s="1" t="n">
        <v>46256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9.800000000000001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48645-2024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46256</v>
      </c>
      <c r="F1214" t="inlineStr">
        <is>
          <t>GÄVLEBORGS LÄN</t>
        </is>
      </c>
      <c r="G1214" t="inlineStr">
        <is>
          <t>HUDIKSVALL</t>
        </is>
      </c>
      <c r="I1214" t="n">
        <v>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8264-2026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46256</v>
      </c>
      <c r="F1215" t="inlineStr">
        <is>
          <t>GÄVLEBORGS LÄN</t>
        </is>
      </c>
      <c r="G1215" t="inlineStr">
        <is>
          <t>HUDIKSVALL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56805-2022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44894</v>
      </c>
      <c r="E1216" s="1" t="n">
        <v>46256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11759-2022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44634</v>
      </c>
      <c r="E1217" s="1" t="n">
        <v>46256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10108-2024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45364</v>
      </c>
      <c r="E1218" s="1" t="n">
        <v>46256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33247-2026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46246</v>
      </c>
      <c r="E1219" s="1" t="n">
        <v>46256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33313-2026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46246</v>
      </c>
      <c r="E1220" s="1" t="n">
        <v>46256</v>
      </c>
      <c r="F1220" t="inlineStr">
        <is>
          <t>GÄVLEBORGS LÄN</t>
        </is>
      </c>
      <c r="G1220" t="inlineStr">
        <is>
          <t>HUDIKSVALL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43476-2025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45911</v>
      </c>
      <c r="E1221" s="1" t="n">
        <v>46256</v>
      </c>
      <c r="F1221" t="inlineStr">
        <is>
          <t>GÄVLEBORGS LÄN</t>
        </is>
      </c>
      <c r="G1221" t="inlineStr">
        <is>
          <t>HUDIKSVALL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5861-2025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45695</v>
      </c>
      <c r="E1222" s="1" t="n">
        <v>46256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5942-2025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45695</v>
      </c>
      <c r="E1223" s="1" t="n">
        <v>46256</v>
      </c>
      <c r="F1223" t="inlineStr">
        <is>
          <t>GÄVLEBORGS LÄN</t>
        </is>
      </c>
      <c r="G1223" t="inlineStr">
        <is>
          <t>HUDIKSVALL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1255-2026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46031</v>
      </c>
      <c r="E1224" s="1" t="n">
        <v>46256</v>
      </c>
      <c r="F1224" t="inlineStr">
        <is>
          <t>GÄVLEBORGS LÄN</t>
        </is>
      </c>
      <c r="G1224" t="inlineStr">
        <is>
          <t>HUDIKSVALL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28326-2026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46196</v>
      </c>
      <c r="E1225" s="1" t="n">
        <v>46256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34.6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30701-2024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45496</v>
      </c>
      <c r="E1226" s="1" t="n">
        <v>46256</v>
      </c>
      <c r="F1226" t="inlineStr">
        <is>
          <t>GÄVLEBORGS LÄN</t>
        </is>
      </c>
      <c r="G1226" t="inlineStr">
        <is>
          <t>HUDIKSVALL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43070-2024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45567</v>
      </c>
      <c r="E1227" s="1" t="n">
        <v>46256</v>
      </c>
      <c r="F1227" t="inlineStr">
        <is>
          <t>GÄVLEBORGS LÄN</t>
        </is>
      </c>
      <c r="G1227" t="inlineStr">
        <is>
          <t>HUDIKSVALL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33270-2026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46246</v>
      </c>
      <c r="E1228" s="1" t="n">
        <v>46256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29574-2026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46204</v>
      </c>
      <c r="E1229" s="1" t="n">
        <v>46256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6.5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12551-2026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46090</v>
      </c>
      <c r="E1230" s="1" t="n">
        <v>46256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15306-2023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45019</v>
      </c>
      <c r="E1231" s="1" t="n">
        <v>46256</v>
      </c>
      <c r="F1231" t="inlineStr">
        <is>
          <t>GÄVLEBORGS LÄN</t>
        </is>
      </c>
      <c r="G1231" t="inlineStr">
        <is>
          <t>HUDIKSVALL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40332-2024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45555</v>
      </c>
      <c r="E1232" s="1" t="n">
        <v>46256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Naturvårdsverket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44168-2022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44839</v>
      </c>
      <c r="E1233" s="1" t="n">
        <v>46256</v>
      </c>
      <c r="F1233" t="inlineStr">
        <is>
          <t>GÄVLEBORGS LÄN</t>
        </is>
      </c>
      <c r="G1233" t="inlineStr">
        <is>
          <t>HUDIKSVALL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33708-2026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46251</v>
      </c>
      <c r="E1234" s="1" t="n">
        <v>46256</v>
      </c>
      <c r="F1234" t="inlineStr">
        <is>
          <t>GÄVLEBORGS LÄN</t>
        </is>
      </c>
      <c r="G1234" t="inlineStr">
        <is>
          <t>HUDIKSVALL</t>
        </is>
      </c>
      <c r="I1234" t="n">
        <v>3.5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29790-2026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46256</v>
      </c>
      <c r="F1235" t="inlineStr">
        <is>
          <t>GÄVLEBORGS LÄN</t>
        </is>
      </c>
      <c r="G1235" t="inlineStr">
        <is>
          <t>HUDIKSVALL</t>
        </is>
      </c>
      <c r="I1235" t="n">
        <v>6.2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50637-2025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45945</v>
      </c>
      <c r="E1236" s="1" t="n">
        <v>46256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54171-2023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45232</v>
      </c>
      <c r="E1237" s="1" t="n">
        <v>46256</v>
      </c>
      <c r="F1237" t="inlineStr">
        <is>
          <t>GÄVLEBORGS LÄN</t>
        </is>
      </c>
      <c r="G1237" t="inlineStr">
        <is>
          <t>HUDIKSVALL</t>
        </is>
      </c>
      <c r="I1237" t="n">
        <v>4.6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46024</v>
      </c>
      <c r="E1238" s="1" t="n">
        <v>46256</v>
      </c>
      <c r="F1238" t="inlineStr">
        <is>
          <t>GÄVLEBORGS LÄN</t>
        </is>
      </c>
      <c r="G1238" t="inlineStr">
        <is>
          <t>HUDIKSVALL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30591-2022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44762</v>
      </c>
      <c r="E1239" s="1" t="n">
        <v>46256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Sveaskog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42659-2024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45566</v>
      </c>
      <c r="E1240" s="1" t="n">
        <v>46256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29801-2026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46205</v>
      </c>
      <c r="E1241" s="1" t="n">
        <v>46256</v>
      </c>
      <c r="F1241" t="inlineStr">
        <is>
          <t>GÄVLEBORGS LÄN</t>
        </is>
      </c>
      <c r="G1241" t="inlineStr">
        <is>
          <t>HUDIKSVALL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33572-2026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46248</v>
      </c>
      <c r="E1242" s="1" t="n">
        <v>46256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Naturvårdsverket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11267-2023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44992</v>
      </c>
      <c r="E1243" s="1" t="n">
        <v>46256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45297</v>
      </c>
      <c r="E1244" s="1" t="n">
        <v>46256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44720-2024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45574</v>
      </c>
      <c r="E1245" s="1" t="n">
        <v>46256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9.1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28472-2025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45819</v>
      </c>
      <c r="E1246" s="1" t="n">
        <v>46256</v>
      </c>
      <c r="F1246" t="inlineStr">
        <is>
          <t>GÄVLEBORGS LÄN</t>
        </is>
      </c>
      <c r="G1246" t="inlineStr">
        <is>
          <t>HUDIKSVALL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44813-2024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46256</v>
      </c>
      <c r="F1247" t="inlineStr">
        <is>
          <t>GÄVLEBORGS LÄN</t>
        </is>
      </c>
      <c r="G1247" t="inlineStr">
        <is>
          <t>HUDIKSVALL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33826-2026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46251</v>
      </c>
      <c r="E1248" s="1" t="n">
        <v>46256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14653-2026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46101</v>
      </c>
      <c r="E1249" s="1" t="n">
        <v>46256</v>
      </c>
      <c r="F1249" t="inlineStr">
        <is>
          <t>GÄVLEBORGS LÄN</t>
        </is>
      </c>
      <c r="G1249" t="inlineStr">
        <is>
          <t>HUDIKSVALL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11629-2024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45373</v>
      </c>
      <c r="E1250" s="1" t="n">
        <v>46256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10843-2022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44627</v>
      </c>
      <c r="E1251" s="1" t="n">
        <v>46256</v>
      </c>
      <c r="F1251" t="inlineStr">
        <is>
          <t>GÄVLEBORGS LÄN</t>
        </is>
      </c>
      <c r="G1251" t="inlineStr">
        <is>
          <t>HUDIKSVALL</t>
        </is>
      </c>
      <c r="I1251" t="n">
        <v>15.4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13806-2024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45391</v>
      </c>
      <c r="E1252" s="1" t="n">
        <v>46256</v>
      </c>
      <c r="F1252" t="inlineStr">
        <is>
          <t>GÄVLEBORGS LÄN</t>
        </is>
      </c>
      <c r="G1252" t="inlineStr">
        <is>
          <t>HUDIKSVALL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12511-2026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46090</v>
      </c>
      <c r="E1253" s="1" t="n">
        <v>46256</v>
      </c>
      <c r="F1253" t="inlineStr">
        <is>
          <t>GÄVLEBORGS LÄN</t>
        </is>
      </c>
      <c r="G1253" t="inlineStr">
        <is>
          <t>HUDIKSVALL</t>
        </is>
      </c>
      <c r="I1253" t="n">
        <v>5.2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33545-2026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46248</v>
      </c>
      <c r="E1254" s="1" t="n">
        <v>46256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12873-2026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46092</v>
      </c>
      <c r="E1255" s="1" t="n">
        <v>46256</v>
      </c>
      <c r="F1255" t="inlineStr">
        <is>
          <t>GÄVLEBORGS LÄN</t>
        </is>
      </c>
      <c r="G1255" t="inlineStr">
        <is>
          <t>HUDIKSVALL</t>
        </is>
      </c>
      <c r="I1255" t="n">
        <v>3.4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46045</v>
      </c>
      <c r="E1256" s="1" t="n">
        <v>46256</v>
      </c>
      <c r="F1256" t="inlineStr">
        <is>
          <t>GÄVLEBORGS LÄN</t>
        </is>
      </c>
      <c r="G1256" t="inlineStr">
        <is>
          <t>HUDIKSVALL</t>
        </is>
      </c>
      <c r="I1256" t="n">
        <v>3.4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29797-2026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46205</v>
      </c>
      <c r="E1257" s="1" t="n">
        <v>46256</v>
      </c>
      <c r="F1257" t="inlineStr">
        <is>
          <t>GÄVLEBORGS LÄN</t>
        </is>
      </c>
      <c r="G1257" t="inlineStr">
        <is>
          <t>HUDIKSVALL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11817-2024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45376</v>
      </c>
      <c r="E1258" s="1" t="n">
        <v>46256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6.2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14530-2026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46100</v>
      </c>
      <c r="E1259" s="1" t="n">
        <v>46256</v>
      </c>
      <c r="F1259" t="inlineStr">
        <is>
          <t>GÄVLEBORGS LÄN</t>
        </is>
      </c>
      <c r="G1259" t="inlineStr">
        <is>
          <t>HUDIKSVALL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7973-2026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46063</v>
      </c>
      <c r="E1260" s="1" t="n">
        <v>46256</v>
      </c>
      <c r="F1260" t="inlineStr">
        <is>
          <t>GÄVLEBORGS LÄN</t>
        </is>
      </c>
      <c r="G1260" t="inlineStr">
        <is>
          <t>HUDIKSVALL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53435-2023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45229</v>
      </c>
      <c r="E1261" s="1" t="n">
        <v>46256</v>
      </c>
      <c r="F1261" t="inlineStr">
        <is>
          <t>GÄVLEBORGS LÄN</t>
        </is>
      </c>
      <c r="G1261" t="inlineStr">
        <is>
          <t>HUDIKSVALL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46028</v>
      </c>
      <c r="E1262" s="1" t="n">
        <v>46256</v>
      </c>
      <c r="F1262" t="inlineStr">
        <is>
          <t>GÄVLEBORGS LÄN</t>
        </is>
      </c>
      <c r="G1262" t="inlineStr">
        <is>
          <t>HUDIKSVALL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9321-2026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46070</v>
      </c>
      <c r="E1263" s="1" t="n">
        <v>46256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46030</v>
      </c>
      <c r="E1264" s="1" t="n">
        <v>46256</v>
      </c>
      <c r="F1264" t="inlineStr">
        <is>
          <t>GÄVLEBORGS LÄN</t>
        </is>
      </c>
      <c r="G1264" t="inlineStr">
        <is>
          <t>HUDIKSVALL</t>
        </is>
      </c>
      <c r="I1264" t="n">
        <v>7.3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45077</v>
      </c>
      <c r="E1265" s="1" t="n">
        <v>46256</v>
      </c>
      <c r="F1265" t="inlineStr">
        <is>
          <t>GÄVLEBORGS LÄN</t>
        </is>
      </c>
      <c r="G1265" t="inlineStr">
        <is>
          <t>HUDIKSVALL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63933-2025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46020</v>
      </c>
      <c r="E1266" s="1" t="n">
        <v>46256</v>
      </c>
      <c r="F1266" t="inlineStr">
        <is>
          <t>GÄVLEBORGS LÄN</t>
        </is>
      </c>
      <c r="G1266" t="inlineStr">
        <is>
          <t>HUDIKSVALL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29808-2026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46205</v>
      </c>
      <c r="E1267" s="1" t="n">
        <v>46256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4300-2024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45324</v>
      </c>
      <c r="E1268" s="1" t="n">
        <v>46256</v>
      </c>
      <c r="F1268" t="inlineStr">
        <is>
          <t>GÄVLEBORGS LÄN</t>
        </is>
      </c>
      <c r="G1268" t="inlineStr">
        <is>
          <t>HUDIKSVALL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58059-2025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45982</v>
      </c>
      <c r="E1269" s="1" t="n">
        <v>46256</v>
      </c>
      <c r="F1269" t="inlineStr">
        <is>
          <t>GÄVLEBORGS LÄN</t>
        </is>
      </c>
      <c r="G1269" t="inlineStr">
        <is>
          <t>HUDIKSVALL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30345-2026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46209</v>
      </c>
      <c r="E1270" s="1" t="n">
        <v>46256</v>
      </c>
      <c r="F1270" t="inlineStr">
        <is>
          <t>GÄVLEBORGS LÄN</t>
        </is>
      </c>
      <c r="G1270" t="inlineStr">
        <is>
          <t>HUDIKSVALL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34032-2026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46252</v>
      </c>
      <c r="E1271" s="1" t="n">
        <v>46256</v>
      </c>
      <c r="F1271" t="inlineStr">
        <is>
          <t>GÄVLEBORGS LÄN</t>
        </is>
      </c>
      <c r="G1271" t="inlineStr">
        <is>
          <t>HUDIKSVALL</t>
        </is>
      </c>
      <c r="I1271" t="n">
        <v>2.3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36342-2025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45868</v>
      </c>
      <c r="E1272" s="1" t="n">
        <v>46256</v>
      </c>
      <c r="F1272" t="inlineStr">
        <is>
          <t>GÄVLEBORGS LÄN</t>
        </is>
      </c>
      <c r="G1272" t="inlineStr">
        <is>
          <t>HUDIKSVALL</t>
        </is>
      </c>
      <c r="I1272" t="n">
        <v>4.2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33970-2026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46252</v>
      </c>
      <c r="E1273" s="1" t="n">
        <v>46256</v>
      </c>
      <c r="F1273" t="inlineStr">
        <is>
          <t>GÄVLEBORGS LÄN</t>
        </is>
      </c>
      <c r="G1273" t="inlineStr">
        <is>
          <t>HUDIKSVALL</t>
        </is>
      </c>
      <c r="I1273" t="n">
        <v>7.6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30491-2026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46210</v>
      </c>
      <c r="E1274" s="1" t="n">
        <v>46256</v>
      </c>
      <c r="F1274" t="inlineStr">
        <is>
          <t>GÄVLEBORGS LÄN</t>
        </is>
      </c>
      <c r="G1274" t="inlineStr">
        <is>
          <t>HUDIKSVALL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34034-2026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46252</v>
      </c>
      <c r="E1275" s="1" t="n">
        <v>46256</v>
      </c>
      <c r="F1275" t="inlineStr">
        <is>
          <t>GÄVLEBORGS LÄN</t>
        </is>
      </c>
      <c r="G1275" t="inlineStr">
        <is>
          <t>HUDIKSVALL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46045</v>
      </c>
      <c r="E1276" s="1" t="n">
        <v>46256</v>
      </c>
      <c r="F1276" t="inlineStr">
        <is>
          <t>GÄVLEBORGS LÄN</t>
        </is>
      </c>
      <c r="G1276" t="inlineStr">
        <is>
          <t>HUDIKSVALL</t>
        </is>
      </c>
      <c r="I1276" t="n">
        <v>5.3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46256</v>
      </c>
      <c r="F1277" t="inlineStr">
        <is>
          <t>GÄVLEBORGS LÄN</t>
        </is>
      </c>
      <c r="G1277" t="inlineStr">
        <is>
          <t>HUDIKSVALL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30349-2026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46209</v>
      </c>
      <c r="E1278" s="1" t="n">
        <v>46256</v>
      </c>
      <c r="F1278" t="inlineStr">
        <is>
          <t>GÄVLEBORGS LÄN</t>
        </is>
      </c>
      <c r="G1278" t="inlineStr">
        <is>
          <t>HUDIKSVALL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20612-2024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45436</v>
      </c>
      <c r="E1279" s="1" t="n">
        <v>46256</v>
      </c>
      <c r="F1279" t="inlineStr">
        <is>
          <t>GÄVLEBORGS LÄN</t>
        </is>
      </c>
      <c r="G1279" t="inlineStr">
        <is>
          <t>HUDIKSVALL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10148-2026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46076</v>
      </c>
      <c r="E1280" s="1" t="n">
        <v>46256</v>
      </c>
      <c r="F1280" t="inlineStr">
        <is>
          <t>GÄVLEBORGS LÄN</t>
        </is>
      </c>
      <c r="G1280" t="inlineStr">
        <is>
          <t>HUDIKSVALL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39232-2025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45889</v>
      </c>
      <c r="E1281" s="1" t="n">
        <v>46256</v>
      </c>
      <c r="F1281" t="inlineStr">
        <is>
          <t>GÄVLEBORGS LÄN</t>
        </is>
      </c>
      <c r="G1281" t="inlineStr">
        <is>
          <t>HUDIKSVALL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10373-2026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46076</v>
      </c>
      <c r="E1282" s="1" t="n">
        <v>46256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34153-2026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46253</v>
      </c>
      <c r="E1283" s="1" t="n">
        <v>46256</v>
      </c>
      <c r="F1283" t="inlineStr">
        <is>
          <t>GÄVLEBORGS LÄN</t>
        </is>
      </c>
      <c r="G1283" t="inlineStr">
        <is>
          <t>HUDIKSVALL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63045-2023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45272</v>
      </c>
      <c r="E1284" s="1" t="n">
        <v>46256</v>
      </c>
      <c r="F1284" t="inlineStr">
        <is>
          <t>GÄVLEBORGS LÄN</t>
        </is>
      </c>
      <c r="G1284" t="inlineStr">
        <is>
          <t>HUDIKSVALL</t>
        </is>
      </c>
      <c r="I1284" t="n">
        <v>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4565-2024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45327</v>
      </c>
      <c r="E1285" s="1" t="n">
        <v>46256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34141-2026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46253</v>
      </c>
      <c r="E1286" s="1" t="n">
        <v>46256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58040-2025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45982</v>
      </c>
      <c r="E1287" s="1" t="n">
        <v>46256</v>
      </c>
      <c r="F1287" t="inlineStr">
        <is>
          <t>GÄVLEBORGS LÄN</t>
        </is>
      </c>
      <c r="G1287" t="inlineStr">
        <is>
          <t>HUDIKSVALL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60283-2022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44910</v>
      </c>
      <c r="E1288" s="1" t="n">
        <v>46256</v>
      </c>
      <c r="F1288" t="inlineStr">
        <is>
          <t>GÄVLEBORGS LÄN</t>
        </is>
      </c>
      <c r="G1288" t="inlineStr">
        <is>
          <t>HUDIKSVALL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20016-2026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46136</v>
      </c>
      <c r="E1289" s="1" t="n">
        <v>46256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64632-2021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44511</v>
      </c>
      <c r="E1290" s="1" t="n">
        <v>46256</v>
      </c>
      <c r="F1290" t="inlineStr">
        <is>
          <t>GÄVLEBORGS LÄN</t>
        </is>
      </c>
      <c r="G1290" t="inlineStr">
        <is>
          <t>HUDIKSVALL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10379-2026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46076</v>
      </c>
      <c r="E1291" s="1" t="n">
        <v>46256</v>
      </c>
      <c r="F1291" t="inlineStr">
        <is>
          <t>GÄVLEBORGS LÄN</t>
        </is>
      </c>
      <c r="G1291" t="inlineStr">
        <is>
          <t>HUDIKSVALL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46828-2024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45583</v>
      </c>
      <c r="E1292" s="1" t="n">
        <v>46256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19.1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30519-2026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46210</v>
      </c>
      <c r="E1293" s="1" t="n">
        <v>46256</v>
      </c>
      <c r="F1293" t="inlineStr">
        <is>
          <t>GÄVLEBORGS LÄN</t>
        </is>
      </c>
      <c r="G1293" t="inlineStr">
        <is>
          <t>HUDIKSVALL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3942-2023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44952</v>
      </c>
      <c r="E1294" s="1" t="n">
        <v>46256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34363-2022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44792</v>
      </c>
      <c r="E1295" s="1" t="n">
        <v>46256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30083-2024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45489</v>
      </c>
      <c r="E1296" s="1" t="n">
        <v>46256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70258-2021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44536</v>
      </c>
      <c r="E1297" s="1" t="n">
        <v>46256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20204-2026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46139</v>
      </c>
      <c r="E1298" s="1" t="n">
        <v>46256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30348-2026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46209</v>
      </c>
      <c r="E1299" s="1" t="n">
        <v>46256</v>
      </c>
      <c r="F1299" t="inlineStr">
        <is>
          <t>GÄVLEBORGS LÄN</t>
        </is>
      </c>
      <c r="G1299" t="inlineStr">
        <is>
          <t>HUDIKSVALL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30351-2026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46209</v>
      </c>
      <c r="E1300" s="1" t="n">
        <v>46256</v>
      </c>
      <c r="F1300" t="inlineStr">
        <is>
          <t>GÄVLEBORGS LÄN</t>
        </is>
      </c>
      <c r="G1300" t="inlineStr">
        <is>
          <t>HUDIKSVALL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19946-2026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46136</v>
      </c>
      <c r="E1301" s="1" t="n">
        <v>46256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19947-2026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46136</v>
      </c>
      <c r="E1302" s="1" t="n">
        <v>46256</v>
      </c>
      <c r="F1302" t="inlineStr">
        <is>
          <t>GÄVLEBORGS LÄN</t>
        </is>
      </c>
      <c r="G1302" t="inlineStr">
        <is>
          <t>HUDIKSVALL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38535-2023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45162</v>
      </c>
      <c r="E1303" s="1" t="n">
        <v>46256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22165-2022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44712</v>
      </c>
      <c r="E1304" s="1" t="n">
        <v>46256</v>
      </c>
      <c r="F1304" t="inlineStr">
        <is>
          <t>GÄVLEBORGS LÄN</t>
        </is>
      </c>
      <c r="G1304" t="inlineStr">
        <is>
          <t>HUDIKSVALL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30408-2024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45491</v>
      </c>
      <c r="E1305" s="1" t="n">
        <v>46256</v>
      </c>
      <c r="F1305" t="inlineStr">
        <is>
          <t>GÄVLEBORGS LÄN</t>
        </is>
      </c>
      <c r="G1305" t="inlineStr">
        <is>
          <t>HUDIKSVALL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46255</v>
      </c>
      <c r="E1306" s="1" t="n">
        <v>46256</v>
      </c>
      <c r="F1306" t="inlineStr">
        <is>
          <t>GÄVLEBORGS LÄN</t>
        </is>
      </c>
      <c r="G1306" t="inlineStr">
        <is>
          <t>HUDIKSVALL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32685-2025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45838</v>
      </c>
      <c r="E1307" s="1" t="n">
        <v>46256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46034</v>
      </c>
      <c r="E1308" s="1" t="n">
        <v>46256</v>
      </c>
      <c r="F1308" t="inlineStr">
        <is>
          <t>GÄVLEBORGS LÄN</t>
        </is>
      </c>
      <c r="G1308" t="inlineStr">
        <is>
          <t>HUDIKSVALL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34983-2024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45527</v>
      </c>
      <c r="E1309" s="1" t="n">
        <v>46256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4312-2026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46045</v>
      </c>
      <c r="E1310" s="1" t="n">
        <v>46256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26746-2026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46184</v>
      </c>
      <c r="E1311" s="1" t="n">
        <v>46256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78.5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7295-2026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46058</v>
      </c>
      <c r="E1312" s="1" t="n">
        <v>46256</v>
      </c>
      <c r="F1312" t="inlineStr">
        <is>
          <t>GÄVLEBORGS LÄN</t>
        </is>
      </c>
      <c r="G1312" t="inlineStr">
        <is>
          <t>HUDIKSVALL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9138-2026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46069</v>
      </c>
      <c r="E1313" s="1" t="n">
        <v>46256</v>
      </c>
      <c r="F1313" t="inlineStr">
        <is>
          <t>GÄVLEBORGS LÄN</t>
        </is>
      </c>
      <c r="G1313" t="inlineStr">
        <is>
          <t>HUDIKSVALL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34526-2026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46255</v>
      </c>
      <c r="E1314" s="1" t="n">
        <v>46256</v>
      </c>
      <c r="F1314" t="inlineStr">
        <is>
          <t>GÄVLEBORGS LÄN</t>
        </is>
      </c>
      <c r="G1314" t="inlineStr">
        <is>
          <t>HUDIKSVALL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34540-2026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46255</v>
      </c>
      <c r="E1315" s="1" t="n">
        <v>46256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50325-2025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45944</v>
      </c>
      <c r="E1316" s="1" t="n">
        <v>46256</v>
      </c>
      <c r="F1316" t="inlineStr">
        <is>
          <t>GÄVLEBORGS LÄN</t>
        </is>
      </c>
      <c r="G1316" t="inlineStr">
        <is>
          <t>HUDIKSVALL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2418-2024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45310</v>
      </c>
      <c r="E1317" s="1" t="n">
        <v>46256</v>
      </c>
      <c r="F1317" t="inlineStr">
        <is>
          <t>GÄVLEBORGS LÄN</t>
        </is>
      </c>
      <c r="G1317" t="inlineStr">
        <is>
          <t>HUDIKSVALL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13853-2025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45737</v>
      </c>
      <c r="E1318" s="1" t="n">
        <v>46256</v>
      </c>
      <c r="F1318" t="inlineStr">
        <is>
          <t>GÄVLEBORGS LÄN</t>
        </is>
      </c>
      <c r="G1318" t="inlineStr">
        <is>
          <t>HUDIKSVALL</t>
        </is>
      </c>
      <c r="I1318" t="n">
        <v>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54625-2023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45234</v>
      </c>
      <c r="E1319" s="1" t="n">
        <v>46256</v>
      </c>
      <c r="F1319" t="inlineStr">
        <is>
          <t>GÄVLEBORGS LÄN</t>
        </is>
      </c>
      <c r="G1319" t="inlineStr">
        <is>
          <t>HUDIKSVALL</t>
        </is>
      </c>
      <c r="I1319" t="n">
        <v>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11132-2026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46079</v>
      </c>
      <c r="E1320" s="1" t="n">
        <v>46256</v>
      </c>
      <c r="F1320" t="inlineStr">
        <is>
          <t>GÄVLEBORGS LÄN</t>
        </is>
      </c>
      <c r="G1320" t="inlineStr">
        <is>
          <t>HUDIKSVALL</t>
        </is>
      </c>
      <c r="I1320" t="n">
        <v>3.6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52014-2023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45223</v>
      </c>
      <c r="E1321" s="1" t="n">
        <v>46256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7593-2023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44972</v>
      </c>
      <c r="E1322" s="1" t="n">
        <v>46256</v>
      </c>
      <c r="F1322" t="inlineStr">
        <is>
          <t>GÄVLEBORGS LÄN</t>
        </is>
      </c>
      <c r="G1322" t="inlineStr">
        <is>
          <t>HUDIKSVALL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9546-2025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45715</v>
      </c>
      <c r="E1323" s="1" t="n">
        <v>46256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29.4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46593-2024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45582</v>
      </c>
      <c r="E1324" s="1" t="n">
        <v>46256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5.3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46598-2024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45582</v>
      </c>
      <c r="E1325" s="1" t="n">
        <v>46256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57949-2023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45244</v>
      </c>
      <c r="E1326" s="1" t="n">
        <v>46256</v>
      </c>
      <c r="F1326" t="inlineStr">
        <is>
          <t>GÄVLEBORGS LÄN</t>
        </is>
      </c>
      <c r="G1326" t="inlineStr">
        <is>
          <t>HUDIKSVALL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60500-2022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44911</v>
      </c>
      <c r="E1327" s="1" t="n">
        <v>46256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8124-2026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46063</v>
      </c>
      <c r="E1328" s="1" t="n">
        <v>46256</v>
      </c>
      <c r="F1328" t="inlineStr">
        <is>
          <t>GÄVLEBORGS LÄN</t>
        </is>
      </c>
      <c r="G1328" t="inlineStr">
        <is>
          <t>HUDIKSVALL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35302-2024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45530</v>
      </c>
      <c r="E1329" s="1" t="n">
        <v>46256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45179-2024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45575</v>
      </c>
      <c r="E1330" s="1" t="n">
        <v>46256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59875-2023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45257</v>
      </c>
      <c r="E1331" s="1" t="n">
        <v>46256</v>
      </c>
      <c r="F1331" t="inlineStr">
        <is>
          <t>GÄVLEBORGS LÄN</t>
        </is>
      </c>
      <c r="G1331" t="inlineStr">
        <is>
          <t>HUDIKSVALL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10426-2025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45720</v>
      </c>
      <c r="E1332" s="1" t="n">
        <v>46256</v>
      </c>
      <c r="F1332" t="inlineStr">
        <is>
          <t>GÄVLEBORGS LÄN</t>
        </is>
      </c>
      <c r="G1332" t="inlineStr">
        <is>
          <t>HUDIKSVALL</t>
        </is>
      </c>
      <c r="I1332" t="n">
        <v>4.5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10190-2023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44986</v>
      </c>
      <c r="E1333" s="1" t="n">
        <v>46256</v>
      </c>
      <c r="F1333" t="inlineStr">
        <is>
          <t>GÄVLEBORGS LÄN</t>
        </is>
      </c>
      <c r="G1333" t="inlineStr">
        <is>
          <t>HUDIKSVALL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63798-2021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44509</v>
      </c>
      <c r="E1334" s="1" t="n">
        <v>46256</v>
      </c>
      <c r="F1334" t="inlineStr">
        <is>
          <t>GÄVLEBORGS LÄN</t>
        </is>
      </c>
      <c r="G1334" t="inlineStr">
        <is>
          <t>HUDIKSVALL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9894-2026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46073</v>
      </c>
      <c r="E1335" s="1" t="n">
        <v>46256</v>
      </c>
      <c r="F1335" t="inlineStr">
        <is>
          <t>GÄVLEBORGS LÄN</t>
        </is>
      </c>
      <c r="G1335" t="inlineStr">
        <is>
          <t>HUDIKSVALL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63862-2025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46020</v>
      </c>
      <c r="E1336" s="1" t="n">
        <v>46256</v>
      </c>
      <c r="F1336" t="inlineStr">
        <is>
          <t>GÄVLEBORGS LÄN</t>
        </is>
      </c>
      <c r="G1336" t="inlineStr">
        <is>
          <t>HUDIKSVALL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8041-2026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46063</v>
      </c>
      <c r="E1337" s="1" t="n">
        <v>46256</v>
      </c>
      <c r="F1337" t="inlineStr">
        <is>
          <t>GÄVLEBORGS LÄN</t>
        </is>
      </c>
      <c r="G1337" t="inlineStr">
        <is>
          <t>HUDIKSVALL</t>
        </is>
      </c>
      <c r="I1337" t="n">
        <v>5.2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9462-2025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45715</v>
      </c>
      <c r="E1338" s="1" t="n">
        <v>46256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24.3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20743-2026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46141</v>
      </c>
      <c r="E1339" s="1" t="n">
        <v>46256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17206-2025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45756</v>
      </c>
      <c r="E1340" s="1" t="n">
        <v>46256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15.7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41735-2023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45176</v>
      </c>
      <c r="E1341" s="1" t="n">
        <v>46256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41745-2023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45176</v>
      </c>
      <c r="E1342" s="1" t="n">
        <v>46256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60942-2024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45645</v>
      </c>
      <c r="E1343" s="1" t="n">
        <v>46256</v>
      </c>
      <c r="F1343" t="inlineStr">
        <is>
          <t>GÄVLEBORGS LÄN</t>
        </is>
      </c>
      <c r="G1343" t="inlineStr">
        <is>
          <t>HUDIKSVALL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57967-2022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44900</v>
      </c>
      <c r="E1344" s="1" t="n">
        <v>46256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34757-2023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45141</v>
      </c>
      <c r="E1345" s="1" t="n">
        <v>46256</v>
      </c>
      <c r="F1345" t="inlineStr">
        <is>
          <t>GÄVLEBORGS LÄN</t>
        </is>
      </c>
      <c r="G1345" t="inlineStr">
        <is>
          <t>HUDIKSVALL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11776-2026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46084</v>
      </c>
      <c r="E1346" s="1" t="n">
        <v>46256</v>
      </c>
      <c r="F1346" t="inlineStr">
        <is>
          <t>GÄVLEBORGS LÄN</t>
        </is>
      </c>
      <c r="G1346" t="inlineStr">
        <is>
          <t>HUDIKSVALL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28853-2024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45478</v>
      </c>
      <c r="E1347" s="1" t="n">
        <v>46256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27302-2023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45096</v>
      </c>
      <c r="E1348" s="1" t="n">
        <v>46256</v>
      </c>
      <c r="F1348" t="inlineStr">
        <is>
          <t>GÄVLEBORGS LÄN</t>
        </is>
      </c>
      <c r="G1348" t="inlineStr">
        <is>
          <t>HUDIKSVALL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52656-2024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45610</v>
      </c>
      <c r="E1349" s="1" t="n">
        <v>46256</v>
      </c>
      <c r="F1349" t="inlineStr">
        <is>
          <t>GÄVLEBORGS LÄN</t>
        </is>
      </c>
      <c r="G1349" t="inlineStr">
        <is>
          <t>HUDIKSVALL</t>
        </is>
      </c>
      <c r="I1349" t="n">
        <v>15.6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14700-2024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45397</v>
      </c>
      <c r="E1350" s="1" t="n">
        <v>46256</v>
      </c>
      <c r="F1350" t="inlineStr">
        <is>
          <t>GÄVLEBORGS LÄN</t>
        </is>
      </c>
      <c r="G1350" t="inlineStr">
        <is>
          <t>HUDIKSVALL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7749-2026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46062</v>
      </c>
      <c r="E1351" s="1" t="n">
        <v>46256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7538-2025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45705</v>
      </c>
      <c r="E1352" s="1" t="n">
        <v>46256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12429-2026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46090</v>
      </c>
      <c r="E1353" s="1" t="n">
        <v>46256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11478-2026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46083</v>
      </c>
      <c r="E1354" s="1" t="n">
        <v>46256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53977-2025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45961</v>
      </c>
      <c r="E1355" s="1" t="n">
        <v>46256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9.5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46034</v>
      </c>
      <c r="E1356" s="1" t="n">
        <v>46256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12580-2026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46090</v>
      </c>
      <c r="E1357" s="1" t="n">
        <v>46256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9582-2026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46071</v>
      </c>
      <c r="E1358" s="1" t="n">
        <v>46256</v>
      </c>
      <c r="F1358" t="inlineStr">
        <is>
          <t>GÄVLEBORGS LÄN</t>
        </is>
      </c>
      <c r="G1358" t="inlineStr">
        <is>
          <t>HUDIKSVALL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18997-2025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45764</v>
      </c>
      <c r="E1359" s="1" t="n">
        <v>46256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48448-2025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45935</v>
      </c>
      <c r="E1360" s="1" t="n">
        <v>46256</v>
      </c>
      <c r="F1360" t="inlineStr">
        <is>
          <t>GÄVLEBORGS LÄN</t>
        </is>
      </c>
      <c r="G1360" t="inlineStr">
        <is>
          <t>HUDIKSVALL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8778-2026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46066</v>
      </c>
      <c r="E1361" s="1" t="n">
        <v>46256</v>
      </c>
      <c r="F1361" t="inlineStr">
        <is>
          <t>GÄVLEBORGS LÄN</t>
        </is>
      </c>
      <c r="G1361" t="inlineStr">
        <is>
          <t>HUDIKSVALL</t>
        </is>
      </c>
      <c r="I1361" t="n">
        <v>2.3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20458-2026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46140</v>
      </c>
      <c r="E1362" s="1" t="n">
        <v>46256</v>
      </c>
      <c r="F1362" t="inlineStr">
        <is>
          <t>GÄVLEBORGS LÄN</t>
        </is>
      </c>
      <c r="G1362" t="inlineStr">
        <is>
          <t>HUDIKSVALL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47149-2024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45586</v>
      </c>
      <c r="E1363" s="1" t="n">
        <v>46256</v>
      </c>
      <c r="F1363" t="inlineStr">
        <is>
          <t>GÄVLEBORGS LÄN</t>
        </is>
      </c>
      <c r="G1363" t="inlineStr">
        <is>
          <t>HUDIKSVALL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12392-2026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46090</v>
      </c>
      <c r="E1364" s="1" t="n">
        <v>46256</v>
      </c>
      <c r="F1364" t="inlineStr">
        <is>
          <t>GÄVLEBORGS LÄN</t>
        </is>
      </c>
      <c r="G1364" t="inlineStr">
        <is>
          <t>HUDIKSVALL</t>
        </is>
      </c>
      <c r="I1364" t="n">
        <v>7.1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461-2024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45297</v>
      </c>
      <c r="E1365" s="1" t="n">
        <v>46256</v>
      </c>
      <c r="F1365" t="inlineStr">
        <is>
          <t>GÄVLEBORGS LÄN</t>
        </is>
      </c>
      <c r="G1365" t="inlineStr">
        <is>
          <t>HUDIKSVALL</t>
        </is>
      </c>
      <c r="I1365" t="n">
        <v>43.2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20816-2026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46141</v>
      </c>
      <c r="E1366" s="1" t="n">
        <v>46256</v>
      </c>
      <c r="F1366" t="inlineStr">
        <is>
          <t>GÄVLEBORGS LÄN</t>
        </is>
      </c>
      <c r="G1366" t="inlineStr">
        <is>
          <t>HUDIKSVALL</t>
        </is>
      </c>
      <c r="I1366" t="n">
        <v>2.8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7054-2026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46057</v>
      </c>
      <c r="E1367" s="1" t="n">
        <v>46256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10159-2025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45719</v>
      </c>
      <c r="E1368" s="1" t="n">
        <v>46256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Kommuner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11735-2026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46256</v>
      </c>
      <c r="F1369" t="inlineStr">
        <is>
          <t>GÄVLEBORGS LÄN</t>
        </is>
      </c>
      <c r="G1369" t="inlineStr">
        <is>
          <t>HUDIKSVALL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20638-2026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46141</v>
      </c>
      <c r="E1370" s="1" t="n">
        <v>46256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4279-2026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46045</v>
      </c>
      <c r="E1371" s="1" t="n">
        <v>46256</v>
      </c>
      <c r="F1371" t="inlineStr">
        <is>
          <t>GÄVLEBORGS LÄN</t>
        </is>
      </c>
      <c r="G1371" t="inlineStr">
        <is>
          <t>HUDIKSVALL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30697-2024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45496</v>
      </c>
      <c r="E1372" s="1" t="n">
        <v>46256</v>
      </c>
      <c r="F1372" t="inlineStr">
        <is>
          <t>GÄVLEBORGS LÄN</t>
        </is>
      </c>
      <c r="G1372" t="inlineStr">
        <is>
          <t>HUDIKSVALL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46024</v>
      </c>
      <c r="E1373" s="1" t="n">
        <v>46256</v>
      </c>
      <c r="F1373" t="inlineStr">
        <is>
          <t>GÄVLEBORGS LÄN</t>
        </is>
      </c>
      <c r="G1373" t="inlineStr">
        <is>
          <t>HUDIKSVALL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46044</v>
      </c>
      <c r="E1374" s="1" t="n">
        <v>46256</v>
      </c>
      <c r="F1374" t="inlineStr">
        <is>
          <t>GÄVLEBORGS LÄN</t>
        </is>
      </c>
      <c r="G1374" t="inlineStr">
        <is>
          <t>HUDIKSVALL</t>
        </is>
      </c>
      <c r="I1374" t="n">
        <v>4.6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10157-2026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46076</v>
      </c>
      <c r="E1375" s="1" t="n">
        <v>46256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20411-2026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46140</v>
      </c>
      <c r="E1376" s="1" t="n">
        <v>46256</v>
      </c>
      <c r="F1376" t="inlineStr">
        <is>
          <t>GÄVLEBORGS LÄN</t>
        </is>
      </c>
      <c r="G1376" t="inlineStr">
        <is>
          <t>HUDIKSVALL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22945-2023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45072</v>
      </c>
      <c r="E1377" s="1" t="n">
        <v>46256</v>
      </c>
      <c r="F1377" t="inlineStr">
        <is>
          <t>GÄVLEBORGS LÄN</t>
        </is>
      </c>
      <c r="G1377" t="inlineStr">
        <is>
          <t>HUDIKSVALL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20791-2026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46141</v>
      </c>
      <c r="E1378" s="1" t="n">
        <v>46256</v>
      </c>
      <c r="F1378" t="inlineStr">
        <is>
          <t>GÄVLEBORGS LÄN</t>
        </is>
      </c>
      <c r="G1378" t="inlineStr">
        <is>
          <t>HUDIKSVALL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54126-2021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44470</v>
      </c>
      <c r="E1379" s="1" t="n">
        <v>46256</v>
      </c>
      <c r="F1379" t="inlineStr">
        <is>
          <t>GÄVLEBORGS LÄN</t>
        </is>
      </c>
      <c r="G1379" t="inlineStr">
        <is>
          <t>HUDIKSVALL</t>
        </is>
      </c>
      <c r="I1379" t="n">
        <v>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20825-2026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46141</v>
      </c>
      <c r="E1380" s="1" t="n">
        <v>46256</v>
      </c>
      <c r="F1380" t="inlineStr">
        <is>
          <t>GÄVLEBORGS LÄN</t>
        </is>
      </c>
      <c r="G1380" t="inlineStr">
        <is>
          <t>HUDIKSVALL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57871-2023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45247</v>
      </c>
      <c r="E1381" s="1" t="n">
        <v>46256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43496-2025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45911</v>
      </c>
      <c r="E1382" s="1" t="n">
        <v>46256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Naturvårdsverket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9905-2024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45363</v>
      </c>
      <c r="E1383" s="1" t="n">
        <v>46256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16.5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7298-2026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46058</v>
      </c>
      <c r="E1384" s="1" t="n">
        <v>46256</v>
      </c>
      <c r="F1384" t="inlineStr">
        <is>
          <t>GÄVLEBORGS LÄN</t>
        </is>
      </c>
      <c r="G1384" t="inlineStr">
        <is>
          <t>HUDIKSVALL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20728-2026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46141</v>
      </c>
      <c r="E1385" s="1" t="n">
        <v>46256</v>
      </c>
      <c r="F1385" t="inlineStr">
        <is>
          <t>GÄVLEBORGS LÄN</t>
        </is>
      </c>
      <c r="G1385" t="inlineStr">
        <is>
          <t>HUDIKSVALL</t>
        </is>
      </c>
      <c r="I1385" t="n">
        <v>6.1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12312-2026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46087</v>
      </c>
      <c r="E1386" s="1" t="n">
        <v>46256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Kyrkan</t>
        </is>
      </c>
      <c r="I1386" t="n">
        <v>4.6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20805-2026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46141</v>
      </c>
      <c r="E1387" s="1" t="n">
        <v>46256</v>
      </c>
      <c r="F1387" t="inlineStr">
        <is>
          <t>GÄVLEBORGS LÄN</t>
        </is>
      </c>
      <c r="G1387" t="inlineStr">
        <is>
          <t>HUDIKSVALL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20921-2026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46142</v>
      </c>
      <c r="E1388" s="1" t="n">
        <v>46256</v>
      </c>
      <c r="F1388" t="inlineStr">
        <is>
          <t>GÄVLEBORGS LÄN</t>
        </is>
      </c>
      <c r="G1388" t="inlineStr">
        <is>
          <t>HUDIKSVALL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20964-2026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46256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20920-2026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46142</v>
      </c>
      <c r="E1390" s="1" t="n">
        <v>46256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12545-2024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45379</v>
      </c>
      <c r="E1391" s="1" t="n">
        <v>46256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72899-2021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44547</v>
      </c>
      <c r="E1392" s="1" t="n">
        <v>46256</v>
      </c>
      <c r="F1392" t="inlineStr">
        <is>
          <t>GÄVLEBORGS LÄN</t>
        </is>
      </c>
      <c r="G1392" t="inlineStr">
        <is>
          <t>HUDIKSVALL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21094-2026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46146</v>
      </c>
      <c r="E1393" s="1" t="n">
        <v>46256</v>
      </c>
      <c r="F1393" t="inlineStr">
        <is>
          <t>GÄVLEBORGS LÄN</t>
        </is>
      </c>
      <c r="G1393" t="inlineStr">
        <is>
          <t>HUDIKSVALL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21097-2026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46256</v>
      </c>
      <c r="F1394" t="inlineStr">
        <is>
          <t>GÄVLEBORGS LÄN</t>
        </is>
      </c>
      <c r="G1394" t="inlineStr">
        <is>
          <t>HUDIKSVALL</t>
        </is>
      </c>
      <c r="I1394" t="n">
        <v>6.6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21105-2026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46146</v>
      </c>
      <c r="E1395" s="1" t="n">
        <v>46256</v>
      </c>
      <c r="F1395" t="inlineStr">
        <is>
          <t>GÄVLEBORGS LÄN</t>
        </is>
      </c>
      <c r="G1395" t="inlineStr">
        <is>
          <t>HUDIKSVALL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50242-2024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45600</v>
      </c>
      <c r="E1396" s="1" t="n">
        <v>46256</v>
      </c>
      <c r="F1396" t="inlineStr">
        <is>
          <t>GÄVLEBORGS LÄN</t>
        </is>
      </c>
      <c r="G1396" t="inlineStr">
        <is>
          <t>HUDIKSVALL</t>
        </is>
      </c>
      <c r="I1396" t="n">
        <v>3.9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6895-2026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46057</v>
      </c>
      <c r="E1397" s="1" t="n">
        <v>46256</v>
      </c>
      <c r="F1397" t="inlineStr">
        <is>
          <t>GÄVLEBORGS LÄN</t>
        </is>
      </c>
      <c r="G1397" t="inlineStr">
        <is>
          <t>HUDIKSVALL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17586-2026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46121</v>
      </c>
      <c r="E1398" s="1" t="n">
        <v>46256</v>
      </c>
      <c r="F1398" t="inlineStr">
        <is>
          <t>GÄVLEBORGS LÄN</t>
        </is>
      </c>
      <c r="G1398" t="inlineStr">
        <is>
          <t>HUDIKSVALL</t>
        </is>
      </c>
      <c r="I1398" t="n">
        <v>5.6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4881-2026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46256</v>
      </c>
      <c r="F1399" t="inlineStr">
        <is>
          <t>GÄVLEBORGS LÄN</t>
        </is>
      </c>
      <c r="G1399" t="inlineStr">
        <is>
          <t>HUDIKSVALL</t>
        </is>
      </c>
      <c r="I1399" t="n">
        <v>8.1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21243-2026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46256</v>
      </c>
      <c r="F1400" t="inlineStr">
        <is>
          <t>GÄVLEBORGS LÄN</t>
        </is>
      </c>
      <c r="G1400" t="inlineStr">
        <is>
          <t>HUDIKSVALL</t>
        </is>
      </c>
      <c r="I1400" t="n">
        <v>2.6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35679-2023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45147</v>
      </c>
      <c r="E1401" s="1" t="n">
        <v>46256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6.5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46090</v>
      </c>
      <c r="E1402" s="1" t="n">
        <v>46256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19156-2023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45048</v>
      </c>
      <c r="E1403" s="1" t="n">
        <v>46256</v>
      </c>
      <c r="F1403" t="inlineStr">
        <is>
          <t>GÄVLEBORGS LÄN</t>
        </is>
      </c>
      <c r="G1403" t="inlineStr">
        <is>
          <t>HUDIKSVALL</t>
        </is>
      </c>
      <c r="I1403" t="n">
        <v>3.7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21159-2026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46256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Kyrkan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35303-2023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45146</v>
      </c>
      <c r="E1405" s="1" t="n">
        <v>46256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21249-2026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46256</v>
      </c>
      <c r="F1406" t="inlineStr">
        <is>
          <t>GÄVLEBORGS LÄN</t>
        </is>
      </c>
      <c r="G1406" t="inlineStr">
        <is>
          <t>HUDIKSVALL</t>
        </is>
      </c>
      <c r="I1406" t="n">
        <v>13.8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21318-2026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46147</v>
      </c>
      <c r="E1407" s="1" t="n">
        <v>46256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Kyrkan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21323-2026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46147</v>
      </c>
      <c r="E1408" s="1" t="n">
        <v>46256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Kyrkan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21353-2026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46147</v>
      </c>
      <c r="E1409" s="1" t="n">
        <v>46256</v>
      </c>
      <c r="F1409" t="inlineStr">
        <is>
          <t>GÄVLEBORGS LÄN</t>
        </is>
      </c>
      <c r="G1409" t="inlineStr">
        <is>
          <t>HUDIKSVALL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4758-2026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46048</v>
      </c>
      <c r="E1410" s="1" t="n">
        <v>46256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21089-2026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46146</v>
      </c>
      <c r="E1411" s="1" t="n">
        <v>46256</v>
      </c>
      <c r="F1411" t="inlineStr">
        <is>
          <t>GÄVLEBORGS LÄN</t>
        </is>
      </c>
      <c r="G1411" t="inlineStr">
        <is>
          <t>HUDIKSVALL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17082-2026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46114</v>
      </c>
      <c r="E1412" s="1" t="n">
        <v>46256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4428-2025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45686</v>
      </c>
      <c r="E1413" s="1" t="n">
        <v>46256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41747-2023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45176</v>
      </c>
      <c r="E1414" s="1" t="n">
        <v>46256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35201-2024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45530</v>
      </c>
      <c r="E1415" s="1" t="n">
        <v>46256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7.3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21431-2026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46148</v>
      </c>
      <c r="E1416" s="1" t="n">
        <v>46256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Kyrkan</t>
        </is>
      </c>
      <c r="I1416" t="n">
        <v>8.800000000000001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21473-2026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46256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Kyrkan</t>
        </is>
      </c>
      <c r="I1417" t="n">
        <v>6.9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21557-2026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46148</v>
      </c>
      <c r="E1418" s="1" t="n">
        <v>46256</v>
      </c>
      <c r="F1418" t="inlineStr">
        <is>
          <t>GÄVLEBORGS LÄN</t>
        </is>
      </c>
      <c r="G1418" t="inlineStr">
        <is>
          <t>HUDIKSVALL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40136-2023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45169</v>
      </c>
      <c r="E1419" s="1" t="n">
        <v>46256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6.3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24238-2025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45797</v>
      </c>
      <c r="E1420" s="1" t="n">
        <v>46256</v>
      </c>
      <c r="F1420" t="inlineStr">
        <is>
          <t>GÄVLEBORGS LÄN</t>
        </is>
      </c>
      <c r="G1420" t="inlineStr">
        <is>
          <t>HUDIKSVALL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44736-2024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45574</v>
      </c>
      <c r="E1421" s="1" t="n">
        <v>46256</v>
      </c>
      <c r="F1421" t="inlineStr">
        <is>
          <t>GÄVLEBORGS LÄN</t>
        </is>
      </c>
      <c r="G1421" t="inlineStr">
        <is>
          <t>HUDIKSVALL</t>
        </is>
      </c>
      <c r="I1421" t="n">
        <v>43.7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21574-2026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46148</v>
      </c>
      <c r="E1422" s="1" t="n">
        <v>46256</v>
      </c>
      <c r="F1422" t="inlineStr">
        <is>
          <t>GÄVLEBORGS LÄN</t>
        </is>
      </c>
      <c r="G1422" t="inlineStr">
        <is>
          <t>HUDIKSVALL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46256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25349-2022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44732</v>
      </c>
      <c r="E1424" s="1" t="n">
        <v>46256</v>
      </c>
      <c r="F1424" t="inlineStr">
        <is>
          <t>GÄVLEBORGS LÄN</t>
        </is>
      </c>
      <c r="G1424" t="inlineStr">
        <is>
          <t>HUDIKSVALL</t>
        </is>
      </c>
      <c r="I1424" t="n">
        <v>5.4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21508-2026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46148</v>
      </c>
      <c r="E1425" s="1" t="n">
        <v>46256</v>
      </c>
      <c r="F1425" t="inlineStr">
        <is>
          <t>GÄVLEBORGS LÄN</t>
        </is>
      </c>
      <c r="G1425" t="inlineStr">
        <is>
          <t>HUDIKSVALL</t>
        </is>
      </c>
      <c r="I1425" t="n">
        <v>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18706-2024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45426</v>
      </c>
      <c r="E1426" s="1" t="n">
        <v>46256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9.199999999999999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61536-2022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44916</v>
      </c>
      <c r="E1427" s="1" t="n">
        <v>46256</v>
      </c>
      <c r="F1427" t="inlineStr">
        <is>
          <t>GÄVLEBORGS LÄN</t>
        </is>
      </c>
      <c r="G1427" t="inlineStr">
        <is>
          <t>HUDIKSVALL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19887-2025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45771</v>
      </c>
      <c r="E1428" s="1" t="n">
        <v>46256</v>
      </c>
      <c r="F1428" t="inlineStr">
        <is>
          <t>GÄVLEBORGS LÄN</t>
        </is>
      </c>
      <c r="G1428" t="inlineStr">
        <is>
          <t>HUDIKSVALL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21546-2026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46148</v>
      </c>
      <c r="E1429" s="1" t="n">
        <v>46256</v>
      </c>
      <c r="F1429" t="inlineStr">
        <is>
          <t>GÄVLEBORGS LÄN</t>
        </is>
      </c>
      <c r="G1429" t="inlineStr">
        <is>
          <t>HUDIKSVALL</t>
        </is>
      </c>
      <c r="I1429" t="n">
        <v>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67088-2021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44522</v>
      </c>
      <c r="E1430" s="1" t="n">
        <v>46256</v>
      </c>
      <c r="F1430" t="inlineStr">
        <is>
          <t>GÄVLEBORGS LÄN</t>
        </is>
      </c>
      <c r="G1430" t="inlineStr">
        <is>
          <t>HUDIKSVALL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21568-2026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46256</v>
      </c>
      <c r="F1431" t="inlineStr">
        <is>
          <t>GÄVLEBORGS LÄN</t>
        </is>
      </c>
      <c r="G1431" t="inlineStr">
        <is>
          <t>HUDIKSVALL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46041</v>
      </c>
      <c r="E1432" s="1" t="n">
        <v>46256</v>
      </c>
      <c r="F1432" t="inlineStr">
        <is>
          <t>GÄVLEBORGS LÄN</t>
        </is>
      </c>
      <c r="G1432" t="inlineStr">
        <is>
          <t>HUDIKSVALL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21789-2026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46150</v>
      </c>
      <c r="E1433" s="1" t="n">
        <v>46256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17919-2026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46122</v>
      </c>
      <c r="E1434" s="1" t="n">
        <v>46256</v>
      </c>
      <c r="F1434" t="inlineStr">
        <is>
          <t>GÄVLEBORGS LÄN</t>
        </is>
      </c>
      <c r="G1434" t="inlineStr">
        <is>
          <t>HUDIKSVALL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37485-2025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45877</v>
      </c>
      <c r="E1435" s="1" t="n">
        <v>46256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1733-2026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46034</v>
      </c>
      <c r="E1436" s="1" t="n">
        <v>46256</v>
      </c>
      <c r="F1436" t="inlineStr">
        <is>
          <t>GÄVLEBORGS LÄN</t>
        </is>
      </c>
      <c r="G1436" t="inlineStr">
        <is>
          <t>HUDIKSVALL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21805-2024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45442</v>
      </c>
      <c r="E1437" s="1" t="n">
        <v>46256</v>
      </c>
      <c r="F1437" t="inlineStr">
        <is>
          <t>GÄVLEBORGS LÄN</t>
        </is>
      </c>
      <c r="G1437" t="inlineStr">
        <is>
          <t>HUDIKSVALL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19894-2025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45771</v>
      </c>
      <c r="E1438" s="1" t="n">
        <v>46256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6312-2026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46256</v>
      </c>
      <c r="F1439" t="inlineStr">
        <is>
          <t>GÄVLEBORGS LÄN</t>
        </is>
      </c>
      <c r="G1439" t="inlineStr">
        <is>
          <t>HUDIKSVALL</t>
        </is>
      </c>
      <c r="I1439" t="n">
        <v>4.1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9834-2026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46072</v>
      </c>
      <c r="E1440" s="1" t="n">
        <v>46256</v>
      </c>
      <c r="F1440" t="inlineStr">
        <is>
          <t>GÄVLEBORGS LÄN</t>
        </is>
      </c>
      <c r="G1440" t="inlineStr">
        <is>
          <t>HUDIKSVALL</t>
        </is>
      </c>
      <c r="I1440" t="n">
        <v>2.4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21792-2026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46150</v>
      </c>
      <c r="E1441" s="1" t="n">
        <v>46256</v>
      </c>
      <c r="F1441" t="inlineStr">
        <is>
          <t>GÄVLEBORGS LÄN</t>
        </is>
      </c>
      <c r="G1441" t="inlineStr">
        <is>
          <t>HUDIKSVALL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13670-2024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45390</v>
      </c>
      <c r="E1442" s="1" t="n">
        <v>46256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3.3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35964-2024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45533</v>
      </c>
      <c r="E1443" s="1" t="n">
        <v>46256</v>
      </c>
      <c r="F1443" t="inlineStr">
        <is>
          <t>GÄVLEBORGS LÄN</t>
        </is>
      </c>
      <c r="G1443" t="inlineStr">
        <is>
          <t>HUDIKSVALL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35985-2024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45533</v>
      </c>
      <c r="E1444" s="1" t="n">
        <v>46256</v>
      </c>
      <c r="F1444" t="inlineStr">
        <is>
          <t>GÄVLEBORGS LÄN</t>
        </is>
      </c>
      <c r="G1444" t="inlineStr">
        <is>
          <t>HUDIKSVALL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30116-2024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45489</v>
      </c>
      <c r="E1445" s="1" t="n">
        <v>46256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4471-2026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46045</v>
      </c>
      <c r="E1446" s="1" t="n">
        <v>46256</v>
      </c>
      <c r="F1446" t="inlineStr">
        <is>
          <t>GÄVLEBORGS LÄN</t>
        </is>
      </c>
      <c r="G1446" t="inlineStr">
        <is>
          <t>HUDIKSVALL</t>
        </is>
      </c>
      <c r="I1446" t="n">
        <v>16.1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59571-2022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44907</v>
      </c>
      <c r="E1447" s="1" t="n">
        <v>46256</v>
      </c>
      <c r="F1447" t="inlineStr">
        <is>
          <t>GÄVLEBORGS LÄN</t>
        </is>
      </c>
      <c r="G1447" t="inlineStr">
        <is>
          <t>HUDIKSVALL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22455-2026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46256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4.4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13246-2026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46093</v>
      </c>
      <c r="E1449" s="1" t="n">
        <v>46256</v>
      </c>
      <c r="F1449" t="inlineStr">
        <is>
          <t>GÄVLEBORGS LÄN</t>
        </is>
      </c>
      <c r="G1449" t="inlineStr">
        <is>
          <t>HUDIKSVALL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12474-2026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46090</v>
      </c>
      <c r="E1450" s="1" t="n">
        <v>46256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Naturvårdsverket</t>
        </is>
      </c>
      <c r="I1450" t="n">
        <v>6.3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13608-2026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46097</v>
      </c>
      <c r="E1451" s="1" t="n">
        <v>46256</v>
      </c>
      <c r="F1451" t="inlineStr">
        <is>
          <t>GÄVLEBORGS LÄN</t>
        </is>
      </c>
      <c r="G1451" t="inlineStr">
        <is>
          <t>HUDIKSVALL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2663-2025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45676</v>
      </c>
      <c r="E1452" s="1" t="n">
        <v>46256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56256-2025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45974</v>
      </c>
      <c r="E1453" s="1" t="n">
        <v>46256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8.6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59522-2022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44907</v>
      </c>
      <c r="E1454" s="1" t="n">
        <v>46256</v>
      </c>
      <c r="F1454" t="inlineStr">
        <is>
          <t>GÄVLEBORGS LÄN</t>
        </is>
      </c>
      <c r="G1454" t="inlineStr">
        <is>
          <t>HUDIKSVALL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22553-2026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46155</v>
      </c>
      <c r="E1455" s="1" t="n">
        <v>46256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67.5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22330-2026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46154</v>
      </c>
      <c r="E1456" s="1" t="n">
        <v>46256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22332-2026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46256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7.3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22427-2026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46256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22466-2026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46256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19509-2025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45770</v>
      </c>
      <c r="E1460" s="1" t="n">
        <v>46256</v>
      </c>
      <c r="F1460" t="inlineStr">
        <is>
          <t>GÄVLEBORGS LÄN</t>
        </is>
      </c>
      <c r="G1460" t="inlineStr">
        <is>
          <t>HUDIKSVALL</t>
        </is>
      </c>
      <c r="I1460" t="n">
        <v>13.7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11639-2026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46084</v>
      </c>
      <c r="E1461" s="1" t="n">
        <v>46256</v>
      </c>
      <c r="F1461" t="inlineStr">
        <is>
          <t>GÄVLEBORGS LÄN</t>
        </is>
      </c>
      <c r="G1461" t="inlineStr">
        <is>
          <t>HUDIKSVALL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46256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47472-2023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45202</v>
      </c>
      <c r="E1463" s="1" t="n">
        <v>46256</v>
      </c>
      <c r="F1463" t="inlineStr">
        <is>
          <t>GÄVLEBORGS LÄN</t>
        </is>
      </c>
      <c r="G1463" t="inlineStr">
        <is>
          <t>HUDIKSVALL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20932-2025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45777</v>
      </c>
      <c r="E1464" s="1" t="n">
        <v>46256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22783-2026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46157</v>
      </c>
      <c r="E1465" s="1" t="n">
        <v>46256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22673-2026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46256</v>
      </c>
      <c r="F1466" t="inlineStr">
        <is>
          <t>GÄVLEBORGS LÄN</t>
        </is>
      </c>
      <c r="G1466" t="inlineStr">
        <is>
          <t>HUDIKSVALL</t>
        </is>
      </c>
      <c r="I1466" t="n">
        <v>4.3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46256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23067-2026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46161</v>
      </c>
      <c r="E1468" s="1" t="n">
        <v>46256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23070-2026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46161</v>
      </c>
      <c r="E1469" s="1" t="n">
        <v>46256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17.4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22828-2026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46160</v>
      </c>
      <c r="E1470" s="1" t="n">
        <v>46256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Kyrkan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14647-2026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46101</v>
      </c>
      <c r="E1471" s="1" t="n">
        <v>46256</v>
      </c>
      <c r="F1471" t="inlineStr">
        <is>
          <t>GÄVLEBORGS LÄN</t>
        </is>
      </c>
      <c r="G1471" t="inlineStr">
        <is>
          <t>HUDIKSVALL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21524-2025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45782</v>
      </c>
      <c r="E1472" s="1" t="n">
        <v>46256</v>
      </c>
      <c r="F1472" t="inlineStr">
        <is>
          <t>GÄVLEBORGS LÄN</t>
        </is>
      </c>
      <c r="G1472" t="inlineStr">
        <is>
          <t>HUDIKSVALL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19473-2026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46133</v>
      </c>
      <c r="E1473" s="1" t="n">
        <v>46256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22936-2026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46160</v>
      </c>
      <c r="E1474" s="1" t="n">
        <v>46256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Naturvårdsverket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22996-2026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46160</v>
      </c>
      <c r="E1475" s="1" t="n">
        <v>46256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22893-2026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46160</v>
      </c>
      <c r="E1476" s="1" t="n">
        <v>46256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Kyrkan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63952-2023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45278</v>
      </c>
      <c r="E1477" s="1" t="n">
        <v>46256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7.2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27545-2024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45474</v>
      </c>
      <c r="E1478" s="1" t="n">
        <v>46256</v>
      </c>
      <c r="F1478" t="inlineStr">
        <is>
          <t>GÄVLEBORGS LÄN</t>
        </is>
      </c>
      <c r="G1478" t="inlineStr">
        <is>
          <t>HUDIKSVALL</t>
        </is>
      </c>
      <c r="I1478" t="n">
        <v>9.300000000000001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22015-2025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45784</v>
      </c>
      <c r="E1479" s="1" t="n">
        <v>46256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15775-2025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45748</v>
      </c>
      <c r="E1480" s="1" t="n">
        <v>46256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Kommuner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22148-2025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46256</v>
      </c>
      <c r="F1481" t="inlineStr">
        <is>
          <t>GÄVLEBORGS LÄN</t>
        </is>
      </c>
      <c r="G1481" t="inlineStr">
        <is>
          <t>HUDIKSVALL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23339-2026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46256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23463-2026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46256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Kyrkan</t>
        </is>
      </c>
      <c r="I1483" t="n">
        <v>4.2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18829-2024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45426</v>
      </c>
      <c r="E1484" s="1" t="n">
        <v>46256</v>
      </c>
      <c r="F1484" t="inlineStr">
        <is>
          <t>GÄVLEBORGS LÄN</t>
        </is>
      </c>
      <c r="G1484" t="inlineStr">
        <is>
          <t>HUDIKSVALL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23224-2026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46162</v>
      </c>
      <c r="E1485" s="1" t="n">
        <v>46256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Kyrkan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23246-2026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46256</v>
      </c>
      <c r="F1486" t="inlineStr">
        <is>
          <t>GÄVLEBORGS LÄN</t>
        </is>
      </c>
      <c r="G1486" t="inlineStr">
        <is>
          <t>HUDIKSVALL</t>
        </is>
      </c>
      <c r="I1486" t="n">
        <v>16.2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22454-2025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45786</v>
      </c>
      <c r="E1487" s="1" t="n">
        <v>46256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45789</v>
      </c>
      <c r="E1488" s="1" t="n">
        <v>46256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6.2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22579-2025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45789</v>
      </c>
      <c r="E1489" s="1" t="n">
        <v>46256</v>
      </c>
      <c r="F1489" t="inlineStr">
        <is>
          <t>GÄVLEBORGS LÄN</t>
        </is>
      </c>
      <c r="G1489" t="inlineStr">
        <is>
          <t>HUDIKSVALL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22600-2025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45789</v>
      </c>
      <c r="E1490" s="1" t="n">
        <v>46256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4.9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22611-2025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45789</v>
      </c>
      <c r="E1491" s="1" t="n">
        <v>46256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20858-2026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46142</v>
      </c>
      <c r="E1492" s="1" t="n">
        <v>46256</v>
      </c>
      <c r="F1492" t="inlineStr">
        <is>
          <t>GÄVLEBORGS LÄN</t>
        </is>
      </c>
      <c r="G1492" t="inlineStr">
        <is>
          <t>HUDIKSVALL</t>
        </is>
      </c>
      <c r="I1492" t="n">
        <v>5.8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21821-2025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45783</v>
      </c>
      <c r="E1493" s="1" t="n">
        <v>46256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44.8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20208-2025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45772</v>
      </c>
      <c r="E1494" s="1" t="n">
        <v>46256</v>
      </c>
      <c r="F1494" t="inlineStr">
        <is>
          <t>GÄVLEBORGS LÄN</t>
        </is>
      </c>
      <c r="G1494" t="inlineStr">
        <is>
          <t>HUDIKSVALL</t>
        </is>
      </c>
      <c r="I1494" t="n">
        <v>10.1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14659-2026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46101</v>
      </c>
      <c r="E1495" s="1" t="n">
        <v>46256</v>
      </c>
      <c r="F1495" t="inlineStr">
        <is>
          <t>GÄVLEBORGS LÄN</t>
        </is>
      </c>
      <c r="G1495" t="inlineStr">
        <is>
          <t>HUDIKSVALL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22832-2025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46256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82.3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50161-2024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45600</v>
      </c>
      <c r="E1497" s="1" t="n">
        <v>46256</v>
      </c>
      <c r="F1497" t="inlineStr">
        <is>
          <t>GÄVLEBORGS LÄN</t>
        </is>
      </c>
      <c r="G1497" t="inlineStr">
        <is>
          <t>HUDIKSVALL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47145-2023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45201</v>
      </c>
      <c r="E1498" s="1" t="n">
        <v>46256</v>
      </c>
      <c r="F1498" t="inlineStr">
        <is>
          <t>GÄVLEBORGS LÄN</t>
        </is>
      </c>
      <c r="G1498" t="inlineStr">
        <is>
          <t>HUDIKSVALL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4164-2024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45323</v>
      </c>
      <c r="E1499" s="1" t="n">
        <v>46256</v>
      </c>
      <c r="F1499" t="inlineStr">
        <is>
          <t>GÄVLEBORGS LÄN</t>
        </is>
      </c>
      <c r="G1499" t="inlineStr">
        <is>
          <t>HUDIKSVALL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1105-2025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45666</v>
      </c>
      <c r="E1500" s="1" t="n">
        <v>46256</v>
      </c>
      <c r="F1500" t="inlineStr">
        <is>
          <t>GÄVLEBORGS LÄN</t>
        </is>
      </c>
      <c r="G1500" t="inlineStr">
        <is>
          <t>HUDIKSVALL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64579-2023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45281</v>
      </c>
      <c r="E1501" s="1" t="n">
        <v>46256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53624-2024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45614</v>
      </c>
      <c r="E1502" s="1" t="n">
        <v>46256</v>
      </c>
      <c r="F1502" t="inlineStr">
        <is>
          <t>GÄVLEBORGS LÄN</t>
        </is>
      </c>
      <c r="G1502" t="inlineStr">
        <is>
          <t>HUDIKSVALL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21927-2024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45443</v>
      </c>
      <c r="E1503" s="1" t="n">
        <v>46256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47700-2024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45588</v>
      </c>
      <c r="E1504" s="1" t="n">
        <v>46256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46667-2024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45583</v>
      </c>
      <c r="E1505" s="1" t="n">
        <v>46256</v>
      </c>
      <c r="F1505" t="inlineStr">
        <is>
          <t>GÄVLEBORGS LÄN</t>
        </is>
      </c>
      <c r="G1505" t="inlineStr">
        <is>
          <t>HUDIKSVALL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13267-2025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45735</v>
      </c>
      <c r="E1506" s="1" t="n">
        <v>46256</v>
      </c>
      <c r="F1506" t="inlineStr">
        <is>
          <t>GÄVLEBORGS LÄN</t>
        </is>
      </c>
      <c r="G1506" t="inlineStr">
        <is>
          <t>HUDIKSVALL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23701-2025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45793</v>
      </c>
      <c r="E1507" s="1" t="n">
        <v>46256</v>
      </c>
      <c r="F1507" t="inlineStr">
        <is>
          <t>GÄVLEBORGS LÄN</t>
        </is>
      </c>
      <c r="G1507" t="inlineStr">
        <is>
          <t>HUDIKSVALL</t>
        </is>
      </c>
      <c r="I1507" t="n">
        <v>4.7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24241-2025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45797</v>
      </c>
      <c r="E1508" s="1" t="n">
        <v>46256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24320-2025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45797</v>
      </c>
      <c r="E1509" s="1" t="n">
        <v>46256</v>
      </c>
      <c r="F1509" t="inlineStr">
        <is>
          <t>GÄVLEBORGS LÄN</t>
        </is>
      </c>
      <c r="G1509" t="inlineStr">
        <is>
          <t>HUDIKSVALL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5345-2025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45688</v>
      </c>
      <c r="E1510" s="1" t="n">
        <v>46256</v>
      </c>
      <c r="F1510" t="inlineStr">
        <is>
          <t>GÄVLEBORGS LÄN</t>
        </is>
      </c>
      <c r="G1510" t="inlineStr">
        <is>
          <t>HUDIKSVALL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10427-2025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45720</v>
      </c>
      <c r="E1511" s="1" t="n">
        <v>46256</v>
      </c>
      <c r="F1511" t="inlineStr">
        <is>
          <t>GÄVLEBORGS LÄN</t>
        </is>
      </c>
      <c r="G1511" t="inlineStr">
        <is>
          <t>HUDIKSVALL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47284-2024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45587</v>
      </c>
      <c r="E1512" s="1" t="n">
        <v>46256</v>
      </c>
      <c r="F1512" t="inlineStr">
        <is>
          <t>GÄVLEBORGS LÄN</t>
        </is>
      </c>
      <c r="G1512" t="inlineStr">
        <is>
          <t>HUDIKSVALL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56820-2023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45244</v>
      </c>
      <c r="E1513" s="1" t="n">
        <v>46256</v>
      </c>
      <c r="F1513" t="inlineStr">
        <is>
          <t>GÄVLEBORGS LÄN</t>
        </is>
      </c>
      <c r="G1513" t="inlineStr">
        <is>
          <t>HUDIKSVALL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161-2025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46256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39.3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1025-2024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45387</v>
      </c>
      <c r="E1515" s="1" t="n">
        <v>46256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117.6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4009-2023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46256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4008-2023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45237</v>
      </c>
      <c r="E1517" s="1" t="n">
        <v>46256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10198-2021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44543</v>
      </c>
      <c r="E1518" s="1" t="n">
        <v>46256</v>
      </c>
      <c r="F1518" t="inlineStr">
        <is>
          <t>GÄVLEBORGS LÄN</t>
        </is>
      </c>
      <c r="G1518" t="inlineStr">
        <is>
          <t>HUDIKSVALL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5089-2024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45639</v>
      </c>
      <c r="E1519" s="1" t="n">
        <v>46256</v>
      </c>
      <c r="F1519" t="inlineStr">
        <is>
          <t>GÄVLEBORGS LÄN</t>
        </is>
      </c>
      <c r="G1519" t="inlineStr">
        <is>
          <t>HUDIKSVALL</t>
        </is>
      </c>
      <c r="I1519" t="n">
        <v>17.2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125-2025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46256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29.4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126-2025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46256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4021-2023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46256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29.1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  <c r="Z1522">
        <f>HYPERLINK("https://klasma.github.io/Logging_2184/knärot/S 4021-2023 karta knärot.png", "S 4021-2023")</f>
        <v/>
      </c>
      <c r="AA1522">
        <f>HYPERLINK("https://klasma.github.io/Logging_2184/klagomål/S 4021-2023 FSC-klagomål.docx", "S 4021-2023")</f>
        <v/>
      </c>
      <c r="AB1522">
        <f>HYPERLINK("https://klasma.github.io/Logging_2184/klagomålsmail/S 4021-2023 FSC-klagomål mail.docx", "S 4021-2023")</f>
        <v/>
      </c>
      <c r="AC1522">
        <f>HYPERLINK("https://klasma.github.io/Logging_2184/tillsyn/S 4021-2023 tillsynsbegäran.docx", "S 4021-2023")</f>
        <v/>
      </c>
      <c r="AD1522">
        <f>HYPERLINK("https://klasma.github.io/Logging_2184/tillsynsmail/S 4021-2023 tillsynsbegäran mail.docx", "S 4021-2023")</f>
        <v/>
      </c>
    </row>
    <row r="1523" ht="15" customHeight="1">
      <c r="A1523" t="inlineStr">
        <is>
          <t>S 130-2025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18.8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4013-2023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46256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7.9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1023-2024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45387</v>
      </c>
      <c r="E1525" s="1" t="n">
        <v>46256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153.3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115-2025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46256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47.1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124-2025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46256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74.09999999999999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137-2025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46256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216.9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118-2025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46256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103.8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4017-2023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46256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99.90000000000001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46256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24.9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4011-2023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46256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97.90000000000001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123-2025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46256</v>
      </c>
      <c r="F1533" t="inlineStr">
        <is>
          <t>GÄVLEBORGS LÄN</t>
        </is>
      </c>
      <c r="G1533" t="inlineStr">
        <is>
          <t>HUDIKSVALL</t>
        </is>
      </c>
      <c r="I1533" t="n">
        <v>39.6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46256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373-2023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44959</v>
      </c>
      <c r="E1535" s="1" t="n">
        <v>46256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256.4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4016-2023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46256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172.2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46256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97.3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110-2025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46256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206.1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1310-2025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45770</v>
      </c>
      <c r="E1539" s="1" t="n">
        <v>46256</v>
      </c>
      <c r="F1539" t="inlineStr">
        <is>
          <t>GÄVLEBORGS LÄN</t>
        </is>
      </c>
      <c r="G1539" t="inlineStr">
        <is>
          <t>HUDIKSVALL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1899-2025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45825</v>
      </c>
      <c r="E1540" s="1" t="n">
        <v>46256</v>
      </c>
      <c r="F1540" t="inlineStr">
        <is>
          <t>GÄVLEBORGS LÄN</t>
        </is>
      </c>
      <c r="G1540" t="inlineStr">
        <is>
          <t>HUDIKSVALL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3428-2025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45995</v>
      </c>
      <c r="E1541" s="1" t="n">
        <v>46256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55.4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695-2026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46091</v>
      </c>
      <c r="E1542" s="1" t="n">
        <v>46256</v>
      </c>
      <c r="F1542" t="inlineStr">
        <is>
          <t>GÄVLEBORGS LÄN</t>
        </is>
      </c>
      <c r="G1542" t="inlineStr">
        <is>
          <t>HUDIKSVALL</t>
        </is>
      </c>
      <c r="I1542" t="n">
        <v>12.2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1968-2026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46256</v>
      </c>
      <c r="F1543" t="inlineStr">
        <is>
          <t>GÄVLEBORGS LÄN</t>
        </is>
      </c>
      <c r="G1543" t="inlineStr">
        <is>
          <t>HUDIKSVALL</t>
        </is>
      </c>
      <c r="I1543" t="n">
        <v>0.2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1969-2026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46256</v>
      </c>
      <c r="F1544" t="inlineStr">
        <is>
          <t>GÄVLEBORGS LÄN</t>
        </is>
      </c>
      <c r="G1544" t="inlineStr">
        <is>
          <t>HUDIKSVALL</t>
        </is>
      </c>
      <c r="I1544" t="n">
        <v>0.1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>
      <c r="A1545" t="inlineStr">
        <is>
          <t>S 1971-2026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46210</v>
      </c>
      <c r="E1545" s="1" t="n">
        <v>46256</v>
      </c>
      <c r="F1545" t="inlineStr">
        <is>
          <t>GÄVLEBORGS LÄN</t>
        </is>
      </c>
      <c r="G1545" t="inlineStr">
        <is>
          <t>HUDIKSVALL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2026-08-22T01:49:18Z</dcterms:created>
  <dcterms:modified xmlns:dcterms="http://purl.org/dc/terms/" xmlns:xsi="http://www.w3.org/2001/XMLSchema-instance" xsi:type="dcterms:W3CDTF">2026-08-22T01:49:20Z</dcterms:modified>
</cp:coreProperties>
</file>