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37576-2025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45880</v>
      </c>
      <c r="E2" s="1" t="n">
        <v>46320</v>
      </c>
      <c r="F2" t="inlineStr">
        <is>
          <t>GÄVLEBORGS LÄN</t>
        </is>
      </c>
      <c r="G2" t="inlineStr">
        <is>
          <t>HUDIKSVALL</t>
        </is>
      </c>
      <c r="I2" t="n">
        <v>8</v>
      </c>
      <c r="J2" t="n">
        <v>3</v>
      </c>
      <c r="K2" t="n">
        <v>5</v>
      </c>
      <c r="L2" t="n">
        <v>9</v>
      </c>
      <c r="M2" t="n">
        <v>4</v>
      </c>
      <c r="N2" t="n">
        <v>0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33</v>
      </c>
      <c r="U2" t="n">
        <v>32</v>
      </c>
      <c r="V2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2">
        <f>HYPERLINK("https://klasma.github.io/Logging_2184/artfynd/A 37576-2025 artfynd.xlsx", "A 37576-2025")</f>
        <v/>
      </c>
      <c r="X2">
        <f>HYPERLINK("https://klasma.github.io/Logging_2184/kartor/A 37576-2025 karta.png", "A 37576-2025")</f>
        <v/>
      </c>
      <c r="Y2">
        <f>HYPERLINK("https://klasma.github.io/Logging_2184/kartor_geotiff/A 37576-2025 georefererad karta.tif", "A 37576-2025")</f>
        <v/>
      </c>
      <c r="Z2">
        <f>HYPERLINK("https://klasma.github.io/Logging_2184/knärot/A 37576-2025 karta knärot.png", "A 37576-2025")</f>
        <v/>
      </c>
      <c r="AA2">
        <f>HYPERLINK("https://klasma.github.io/Logging_2184/klagomål/A 37576-2025 FSC-klagomål.docx", "A 37576-2025")</f>
        <v/>
      </c>
      <c r="AB2">
        <f>HYPERLINK("https://klasma.github.io/Logging_2184/klagomålsmail/A 37576-2025 FSC-klagomål mail.docx", "A 37576-2025")</f>
        <v/>
      </c>
      <c r="AC2">
        <f>HYPERLINK("https://klasma.github.io/Logging_2184/tillsyn/A 37576-2025 tillsynsbegäran.docx", "A 37576-2025")</f>
        <v/>
      </c>
      <c r="AD2">
        <f>HYPERLINK("https://klasma.github.io/Logging_2184/tillsynsmail/A 37576-2025 tillsynsbegäran mail.docx", "A 37576-2025")</f>
        <v/>
      </c>
      <c r="AE2">
        <f>HYPERLINK("https://klasma.github.io/Logging_2184/fåglar/A 37576-2025 prioriterade fågelarter.docx", "A 37576-2025")</f>
        <v/>
      </c>
    </row>
    <row r="3" ht="15" customHeight="1">
      <c r="A3" t="inlineStr">
        <is>
          <t>A 13021-2022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44643</v>
      </c>
      <c r="E3" s="1" t="n">
        <v>46320</v>
      </c>
      <c r="F3" t="inlineStr">
        <is>
          <t>GÄVLEBORGS LÄN</t>
        </is>
      </c>
      <c r="G3" t="inlineStr">
        <is>
          <t>HUDIKSVALL</t>
        </is>
      </c>
      <c r="I3" t="n">
        <v>8.1</v>
      </c>
      <c r="J3" t="n">
        <v>5</v>
      </c>
      <c r="K3" t="n">
        <v>6</v>
      </c>
      <c r="L3" t="n">
        <v>11</v>
      </c>
      <c r="M3" t="n">
        <v>2</v>
      </c>
      <c r="N3" t="n">
        <v>2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50</v>
      </c>
      <c r="U3" t="n">
        <v>33</v>
      </c>
      <c r="V3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3">
        <f>HYPERLINK("https://klasma.github.io/Logging_2184/artfynd/A 13021-2022 artfynd.xlsx", "A 13021-2022")</f>
        <v/>
      </c>
      <c r="X3">
        <f>HYPERLINK("https://klasma.github.io/Logging_2184/kartor/A 13021-2022 karta.png", "A 13021-2022")</f>
        <v/>
      </c>
      <c r="Y3">
        <f>HYPERLINK("https://klasma.github.io/Logging_2184/kartor_geotiff/A 13021-2022 georefererad karta.tif", "A 13021-2022")</f>
        <v/>
      </c>
      <c r="AA3">
        <f>HYPERLINK("https://klasma.github.io/Logging_2184/klagomål/A 13021-2022 FSC-klagomål.docx", "A 13021-2022")</f>
        <v/>
      </c>
      <c r="AB3">
        <f>HYPERLINK("https://klasma.github.io/Logging_2184/klagomålsmail/A 13021-2022 FSC-klagomål mail.docx", "A 13021-2022")</f>
        <v/>
      </c>
      <c r="AC3">
        <f>HYPERLINK("https://klasma.github.io/Logging_2184/tillsyn/A 13021-2022 tillsynsbegäran.docx", "A 13021-2022")</f>
        <v/>
      </c>
      <c r="AD3">
        <f>HYPERLINK("https://klasma.github.io/Logging_2184/tillsynsmail/A 13021-2022 tillsynsbegäran mail.docx", "A 13021-2022")</f>
        <v/>
      </c>
      <c r="AE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46320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46320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46320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46320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46320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46320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46320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46320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22</v>
      </c>
      <c r="U12" t="n">
        <v>5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46320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46320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46320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46320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46320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46320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46320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46320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46320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46320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46320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46320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46320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46320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46320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49799-2023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45212</v>
      </c>
      <c r="E29" s="1" t="n">
        <v>46320</v>
      </c>
      <c r="F29" t="inlineStr">
        <is>
          <t>GÄVLEBORGS LÄN</t>
        </is>
      </c>
      <c r="G29" t="inlineStr">
        <is>
          <t>HUDIKSVALL</t>
        </is>
      </c>
      <c r="I29" t="n">
        <v>4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7</v>
      </c>
      <c r="U29" t="n">
        <v>0</v>
      </c>
      <c r="V29" s="2" t="inlineStr">
        <is>
          <t>Rosenticka
Ullticka
Violettgrå tagellav
Vitgrynig nållav
Vedticka</t>
        </is>
      </c>
      <c r="W29">
        <f>HYPERLINK("https://klasma.github.io/Logging_2184/artfynd/A 49799-2023 artfynd.xlsx", "A 49799-2023")</f>
        <v/>
      </c>
      <c r="X29">
        <f>HYPERLINK("https://klasma.github.io/Logging_2184/kartor/A 49799-2023 karta.png", "A 49799-2023")</f>
        <v/>
      </c>
      <c r="Y29">
        <f>HYPERLINK("https://klasma.github.io/Logging_2184/kartor_geotiff/A 49799-2023 georefererad karta.tif", "A 49799-2023")</f>
        <v/>
      </c>
      <c r="AA29">
        <f>HYPERLINK("https://klasma.github.io/Logging_2184/klagomål/A 49799-2023 FSC-klagomål.docx", "A 49799-2023")</f>
        <v/>
      </c>
      <c r="AB29">
        <f>HYPERLINK("https://klasma.github.io/Logging_2184/klagomålsmail/A 49799-2023 FSC-klagomål mail.docx", "A 49799-2023")</f>
        <v/>
      </c>
      <c r="AC29">
        <f>HYPERLINK("https://klasma.github.io/Logging_2184/tillsyn/A 49799-2023 tillsynsbegäran.docx", "A 49799-2023")</f>
        <v/>
      </c>
      <c r="AD29">
        <f>HYPERLINK("https://klasma.github.io/Logging_2184/tillsynsmail/A 49799-2023 tillsynsbegäran mail.docx", "A 49799-2023")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46320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46320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46320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0</v>
      </c>
      <c r="V32" s="2" t="inlineStr">
        <is>
          <t>Garnlav
Talltita
Tibast
Revlummer</t>
        </is>
      </c>
      <c r="W32">
        <f>HYPERLINK("https://klasma.github.io/Logging_2184/artfynd/A 6239-2026 artfynd.xlsx", "A 6239-2026")</f>
        <v/>
      </c>
      <c r="X32">
        <f>HYPERLINK("https://klasma.github.io/Logging_2184/kartor/A 6239-2026 karta.png", "A 6239-2026")</f>
        <v/>
      </c>
      <c r="Y32">
        <f>HYPERLINK("https://klasma.github.io/Logging_2184/kartor_geotiff/A 6239-2026 georefererad karta.tif", "A 6239-2026")</f>
        <v/>
      </c>
      <c r="AA32">
        <f>HYPERLINK("https://klasma.github.io/Logging_2184/klagomål/A 6239-2026 FSC-klagomål.docx", "A 6239-2026")</f>
        <v/>
      </c>
      <c r="AB32">
        <f>HYPERLINK("https://klasma.github.io/Logging_2184/klagomålsmail/A 6239-2026 FSC-klagomål mail.docx", "A 6239-2026")</f>
        <v/>
      </c>
      <c r="AC32">
        <f>HYPERLINK("https://klasma.github.io/Logging_2184/tillsyn/A 6239-2026 tillsynsbegäran.docx", "A 6239-2026")</f>
        <v/>
      </c>
      <c r="AD32">
        <f>HYPERLINK("https://klasma.github.io/Logging_2184/tillsynsmail/A 6239-2026 tillsynsbegäran mail.docx", "A 6239-2026")</f>
        <v/>
      </c>
      <c r="AE32">
        <f>HYPERLINK("https://klasma.github.io/Logging_2184/fåglar/A 6239-2026 prioriterade fågelarter.docx", "A 6239-2026")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46320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46320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32157-2025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46320</v>
      </c>
      <c r="F35" t="inlineStr">
        <is>
          <t>GÄVLEBORGS LÄN</t>
        </is>
      </c>
      <c r="G35" t="inlineStr">
        <is>
          <t>HUDIKSVALL</t>
        </is>
      </c>
      <c r="I35" t="n">
        <v>4.5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7</v>
      </c>
      <c r="U35" t="n">
        <v>0</v>
      </c>
      <c r="V35" s="2" t="inlineStr">
        <is>
          <t>Knärot
Ullticka
Fläcknycklar
Nattviol</t>
        </is>
      </c>
      <c r="W35">
        <f>HYPERLINK("https://klasma.github.io/Logging_2184/artfynd/A 32157-2025 artfynd.xlsx", "A 32157-2025")</f>
        <v/>
      </c>
      <c r="X35">
        <f>HYPERLINK("https://klasma.github.io/Logging_2184/kartor/A 32157-2025 karta.png", "A 32157-2025")</f>
        <v/>
      </c>
      <c r="Y35">
        <f>HYPERLINK("https://klasma.github.io/Logging_2184/kartor_geotiff/A 32157-2025 georefererad karta.tif", "A 32157-2025")</f>
        <v/>
      </c>
      <c r="Z35">
        <f>HYPERLINK("https://klasma.github.io/Logging_2184/knärot/A 32157-2025 karta knärot.png", "A 32157-2025")</f>
        <v/>
      </c>
      <c r="AA35">
        <f>HYPERLINK("https://klasma.github.io/Logging_2184/klagomål/A 32157-2025 FSC-klagomål.docx", "A 32157-2025")</f>
        <v/>
      </c>
      <c r="AB35">
        <f>HYPERLINK("https://klasma.github.io/Logging_2184/klagomålsmail/A 32157-2025 FSC-klagomål mail.docx", "A 32157-2025")</f>
        <v/>
      </c>
      <c r="AC35">
        <f>HYPERLINK("https://klasma.github.io/Logging_2184/tillsyn/A 32157-2025 tillsynsbegäran.docx", "A 32157-2025")</f>
        <v/>
      </c>
      <c r="AD35">
        <f>HYPERLINK("https://klasma.github.io/Logging_2184/tillsynsmail/A 32157-2025 tillsynsbegäran mail.docx", "A 32157-2025")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46320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46320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46320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46320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36196-2023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46320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11.8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Rosenticka
Ullticka
Stor aspticka</t>
        </is>
      </c>
      <c r="W40">
        <f>HYPERLINK("https://klasma.github.io/Logging_2184/artfynd/A 36196-2023 artfynd.xlsx", "A 36196-2023")</f>
        <v/>
      </c>
      <c r="X40">
        <f>HYPERLINK("https://klasma.github.io/Logging_2184/kartor/A 36196-2023 karta.png", "A 36196-2023")</f>
        <v/>
      </c>
      <c r="Y40">
        <f>HYPERLINK("https://klasma.github.io/Logging_2184/kartor_geotiff/A 36196-2023 georefererad karta.tif", "A 36196-2023")</f>
        <v/>
      </c>
      <c r="Z40">
        <f>HYPERLINK("https://klasma.github.io/Logging_2184/knärot/A 36196-2023 karta knärot.png", "A 36196-2023")</f>
        <v/>
      </c>
      <c r="AA40">
        <f>HYPERLINK("https://klasma.github.io/Logging_2184/klagomål/A 36196-2023 FSC-klagomål.docx", "A 36196-2023")</f>
        <v/>
      </c>
      <c r="AB40">
        <f>HYPERLINK("https://klasma.github.io/Logging_2184/klagomålsmail/A 36196-2023 FSC-klagomål mail.docx", "A 36196-2023")</f>
        <v/>
      </c>
      <c r="AC40">
        <f>HYPERLINK("https://klasma.github.io/Logging_2184/tillsyn/A 36196-2023 tillsynsbegäran.docx", "A 36196-2023")</f>
        <v/>
      </c>
      <c r="AD40">
        <f>HYPERLINK("https://klasma.github.io/Logging_2184/tillsynsmail/A 36196-2023 tillsynsbegäran mail.docx", "A 36196-2023")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46320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46320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46320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46320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46320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46320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28066-2026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46320</v>
      </c>
      <c r="F47" t="inlineStr">
        <is>
          <t>GÄVLEBORGS LÄN</t>
        </is>
      </c>
      <c r="G47" t="inlineStr">
        <is>
          <t>HUDIKSVALL</t>
        </is>
      </c>
      <c r="H47" t="inlineStr">
        <is>
          <t>Kommuner</t>
        </is>
      </c>
      <c r="I47" t="n">
        <v>4.4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1</v>
      </c>
      <c r="V47" s="2" t="inlineStr">
        <is>
          <t>Gulsparv
Mindre hackspett
Grönsiska</t>
        </is>
      </c>
      <c r="W47">
        <f>HYPERLINK("https://klasma.github.io/Logging_2184/artfynd/A 28066-2026 artfynd.xlsx", "A 28066-2026")</f>
        <v/>
      </c>
      <c r="X47">
        <f>HYPERLINK("https://klasma.github.io/Logging_2184/kartor/A 28066-2026 karta.png", "A 28066-2026")</f>
        <v/>
      </c>
      <c r="Y47">
        <f>HYPERLINK("https://klasma.github.io/Logging_2184/kartor_geotiff/A 28066-2026 georefererad karta.tif", "A 28066-2026")</f>
        <v/>
      </c>
      <c r="AA47">
        <f>HYPERLINK("https://klasma.github.io/Logging_2184/klagomål/A 28066-2026 FSC-klagomål.docx", "A 28066-2026")</f>
        <v/>
      </c>
      <c r="AB47">
        <f>HYPERLINK("https://klasma.github.io/Logging_2184/klagomålsmail/A 28066-2026 FSC-klagomål mail.docx", "A 28066-2026")</f>
        <v/>
      </c>
      <c r="AC47">
        <f>HYPERLINK("https://klasma.github.io/Logging_2184/tillsyn/A 28066-2026 tillsynsbegäran.docx", "A 28066-2026")</f>
        <v/>
      </c>
      <c r="AD47">
        <f>HYPERLINK("https://klasma.github.io/Logging_2184/tillsynsmail/A 28066-2026 tillsynsbegäran mail.docx", "A 28066-2026")</f>
        <v/>
      </c>
      <c r="AE47">
        <f>HYPERLINK("https://klasma.github.io/Logging_2184/fåglar/A 28066-2026 prioriterade fågelarter.docx", "A 28066-2026")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46320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46320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33783-2023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45133</v>
      </c>
      <c r="E50" s="1" t="n">
        <v>46320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2.6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Garnlav
Lunglav
Stuplav</t>
        </is>
      </c>
      <c r="W50">
        <f>HYPERLINK("https://klasma.github.io/Logging_2184/artfynd/A 33783-2023 artfynd.xlsx", "A 33783-2023")</f>
        <v/>
      </c>
      <c r="X50">
        <f>HYPERLINK("https://klasma.github.io/Logging_2184/kartor/A 33783-2023 karta.png", "A 33783-2023")</f>
        <v/>
      </c>
      <c r="Y50">
        <f>HYPERLINK("https://klasma.github.io/Logging_2184/kartor_geotiff/A 33783-2023 georefererad karta.tif", "A 33783-2023")</f>
        <v/>
      </c>
      <c r="AA50">
        <f>HYPERLINK("https://klasma.github.io/Logging_2184/klagomål/A 33783-2023 FSC-klagomål.docx", "A 33783-2023")</f>
        <v/>
      </c>
      <c r="AB50">
        <f>HYPERLINK("https://klasma.github.io/Logging_2184/klagomålsmail/A 33783-2023 FSC-klagomål mail.docx", "A 33783-2023")</f>
        <v/>
      </c>
      <c r="AC50">
        <f>HYPERLINK("https://klasma.github.io/Logging_2184/tillsyn/A 33783-2023 tillsynsbegäran.docx", "A 33783-2023")</f>
        <v/>
      </c>
      <c r="AD50">
        <f>HYPERLINK("https://klasma.github.io/Logging_2184/tillsynsmail/A 33783-2023 tillsynsbegäran mail.docx", "A 33783-2023")</f>
        <v/>
      </c>
    </row>
    <row r="51" ht="15" customHeight="1">
      <c r="A51" t="inlineStr">
        <is>
          <t>A 12843-2024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45384</v>
      </c>
      <c r="E51" s="1" t="n">
        <v>46320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23.4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Spindelblomster
Fläcknycklar
Revlummer</t>
        </is>
      </c>
      <c r="W51">
        <f>HYPERLINK("https://klasma.github.io/Logging_2184/artfynd/A 12843-2024 artfynd.xlsx", "A 12843-2024")</f>
        <v/>
      </c>
      <c r="X51">
        <f>HYPERLINK("https://klasma.github.io/Logging_2184/kartor/A 12843-2024 karta.png", "A 12843-2024")</f>
        <v/>
      </c>
      <c r="Y51">
        <f>HYPERLINK("https://klasma.github.io/Logging_2184/kartor_geotiff/A 12843-2024 georefererad karta.tif", "A 12843-2024")</f>
        <v/>
      </c>
      <c r="AA51">
        <f>HYPERLINK("https://klasma.github.io/Logging_2184/klagomål/A 12843-2024 FSC-klagomål.docx", "A 12843-2024")</f>
        <v/>
      </c>
      <c r="AB51">
        <f>HYPERLINK("https://klasma.github.io/Logging_2184/klagomålsmail/A 12843-2024 FSC-klagomål mail.docx", "A 12843-2024")</f>
        <v/>
      </c>
      <c r="AC51">
        <f>HYPERLINK("https://klasma.github.io/Logging_2184/tillsyn/A 12843-2024 tillsynsbegäran.docx", "A 12843-2024")</f>
        <v/>
      </c>
      <c r="AD51">
        <f>HYPERLINK("https://klasma.github.io/Logging_2184/tillsynsmail/A 12843-2024 tillsynsbegäran mail.docx", "A 12843-2024")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46320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42355-2025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45904</v>
      </c>
      <c r="E53" s="1" t="n">
        <v>46320</v>
      </c>
      <c r="F53" t="inlineStr">
        <is>
          <t>GÄVLEBORGS LÄN</t>
        </is>
      </c>
      <c r="G53" t="inlineStr">
        <is>
          <t>HUDIKSVALL</t>
        </is>
      </c>
      <c r="I53" t="n">
        <v>1.3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Blå taggsvamp</t>
        </is>
      </c>
      <c r="W53">
        <f>HYPERLINK("https://klasma.github.io/Logging_2184/artfynd/A 42355-2025 artfynd.xlsx", "A 42355-2025")</f>
        <v/>
      </c>
      <c r="X53">
        <f>HYPERLINK("https://klasma.github.io/Logging_2184/kartor/A 42355-2025 karta.png", "A 42355-2025")</f>
        <v/>
      </c>
      <c r="Y53">
        <f>HYPERLINK("https://klasma.github.io/Logging_2184/kartor_geotiff/A 42355-2025 georefererad karta.tif", "A 42355-2025")</f>
        <v/>
      </c>
      <c r="Z53">
        <f>HYPERLINK("https://klasma.github.io/Logging_2184/knärot/A 42355-2025 karta knärot.png", "A 42355-2025")</f>
        <v/>
      </c>
      <c r="AA53">
        <f>HYPERLINK("https://klasma.github.io/Logging_2184/klagomål/A 42355-2025 FSC-klagomål.docx", "A 42355-2025")</f>
        <v/>
      </c>
      <c r="AB53">
        <f>HYPERLINK("https://klasma.github.io/Logging_2184/klagomålsmail/A 42355-2025 FSC-klagomål mail.docx", "A 42355-2025")</f>
        <v/>
      </c>
      <c r="AC53">
        <f>HYPERLINK("https://klasma.github.io/Logging_2184/tillsyn/A 42355-2025 tillsynsbegäran.docx", "A 42355-2025")</f>
        <v/>
      </c>
      <c r="AD53">
        <f>HYPERLINK("https://klasma.github.io/Logging_2184/tillsynsmail/A 42355-2025 tillsynsbegäran mail.docx", "A 42355-2025")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46320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25478-2026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46320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9.1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Kambräken
Västlig hakmossa</t>
        </is>
      </c>
      <c r="W55">
        <f>HYPERLINK("https://klasma.github.io/Logging_2184/artfynd/A 25478-2026 artfynd.xlsx", "A 25478-2026")</f>
        <v/>
      </c>
      <c r="X55">
        <f>HYPERLINK("https://klasma.github.io/Logging_2184/kartor/A 25478-2026 karta.png", "A 25478-2026")</f>
        <v/>
      </c>
      <c r="Y55">
        <f>HYPERLINK("https://klasma.github.io/Logging_2184/kartor_geotiff/A 25478-2026 georefererad karta.tif", "A 25478-2026")</f>
        <v/>
      </c>
      <c r="AA55">
        <f>HYPERLINK("https://klasma.github.io/Logging_2184/klagomål/A 25478-2026 FSC-klagomål.docx", "A 25478-2026")</f>
        <v/>
      </c>
      <c r="AB55">
        <f>HYPERLINK("https://klasma.github.io/Logging_2184/klagomålsmail/A 25478-2026 FSC-klagomål mail.docx", "A 25478-2026")</f>
        <v/>
      </c>
      <c r="AC55">
        <f>HYPERLINK("https://klasma.github.io/Logging_2184/tillsyn/A 25478-2026 tillsynsbegäran.docx", "A 25478-2026")</f>
        <v/>
      </c>
      <c r="AD55">
        <f>HYPERLINK("https://klasma.github.io/Logging_2184/tillsynsmail/A 25478-2026 tillsynsbegäran mail.docx", "A 25478-2026")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46320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9598-2026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46320</v>
      </c>
      <c r="F57" t="inlineStr">
        <is>
          <t>GÄVLEBORGS LÄN</t>
        </is>
      </c>
      <c r="G57" t="inlineStr">
        <is>
          <t>HUDIKSVALL</t>
        </is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Strutbräken
Tibast</t>
        </is>
      </c>
      <c r="W57">
        <f>HYPERLINK("https://klasma.github.io/Logging_2184/artfynd/A 9598-2026 artfynd.xlsx", "A 9598-2026")</f>
        <v/>
      </c>
      <c r="X57">
        <f>HYPERLINK("https://klasma.github.io/Logging_2184/kartor/A 9598-2026 karta.png", "A 9598-2026")</f>
        <v/>
      </c>
      <c r="Y57">
        <f>HYPERLINK("https://klasma.github.io/Logging_2184/kartor_geotiff/A 9598-2026 georefererad karta.tif", "A 9598-2026")</f>
        <v/>
      </c>
      <c r="AA57">
        <f>HYPERLINK("https://klasma.github.io/Logging_2184/klagomål/A 9598-2026 FSC-klagomål.docx", "A 9598-2026")</f>
        <v/>
      </c>
      <c r="AB57">
        <f>HYPERLINK("https://klasma.github.io/Logging_2184/klagomålsmail/A 9598-2026 FSC-klagomål mail.docx", "A 9598-2026")</f>
        <v/>
      </c>
      <c r="AC57">
        <f>HYPERLINK("https://klasma.github.io/Logging_2184/tillsyn/A 9598-2026 tillsynsbegäran.docx", "A 9598-2026")</f>
        <v/>
      </c>
      <c r="AD57">
        <f>HYPERLINK("https://klasma.github.io/Logging_2184/tillsynsmail/A 9598-2026 tillsynsbegäran mail.docx", "A 9598-2026")</f>
        <v/>
      </c>
    </row>
    <row r="58" ht="15" customHeight="1">
      <c r="A58" t="inlineStr">
        <is>
          <t>A 12545-2024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45379</v>
      </c>
      <c r="E58" s="1" t="n">
        <v>46320</v>
      </c>
      <c r="F58" t="inlineStr">
        <is>
          <t>GÄVLEBORGS LÄN</t>
        </is>
      </c>
      <c r="G58" t="inlineStr">
        <is>
          <t>HUDIKSVALL</t>
        </is>
      </c>
      <c r="I58" t="n">
        <v>2.6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4</v>
      </c>
      <c r="V58" s="2" t="inlineStr">
        <is>
          <t>Fläcknycklar
Nattviol</t>
        </is>
      </c>
      <c r="W58">
        <f>HYPERLINK("https://klasma.github.io/Logging_2184/artfynd/A 12545-2024 artfynd.xlsx", "A 12545-2024")</f>
        <v/>
      </c>
      <c r="X58">
        <f>HYPERLINK("https://klasma.github.io/Logging_2184/kartor/A 12545-2024 karta.png", "A 12545-2024")</f>
        <v/>
      </c>
      <c r="Y58">
        <f>HYPERLINK("https://klasma.github.io/Logging_2184/kartor_geotiff/A 12545-2024 georefererad karta.tif", "A 12545-2024")</f>
        <v/>
      </c>
      <c r="AA58">
        <f>HYPERLINK("https://klasma.github.io/Logging_2184/klagomål/A 12545-2024 FSC-klagomål.docx", "A 12545-2024")</f>
        <v/>
      </c>
      <c r="AB58">
        <f>HYPERLINK("https://klasma.github.io/Logging_2184/klagomålsmail/A 12545-2024 FSC-klagomål mail.docx", "A 12545-2024")</f>
        <v/>
      </c>
      <c r="AC58">
        <f>HYPERLINK("https://klasma.github.io/Logging_2184/tillsyn/A 12545-2024 tillsynsbegäran.docx", "A 12545-2024")</f>
        <v/>
      </c>
      <c r="AD58">
        <f>HYPERLINK("https://klasma.github.io/Logging_2184/tillsynsmail/A 12545-2024 tillsynsbegäran mail.docx", "A 12545-2024")</f>
        <v/>
      </c>
    </row>
    <row r="59" ht="15" customHeight="1">
      <c r="A59" t="inlineStr">
        <is>
          <t>A 30484-2026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46320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8.699999999999999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Ullticka
Vedticka</t>
        </is>
      </c>
      <c r="W59">
        <f>HYPERLINK("https://klasma.github.io/Logging_2184/artfynd/A 30484-2026 artfynd.xlsx", "A 30484-2026")</f>
        <v/>
      </c>
      <c r="X59">
        <f>HYPERLINK("https://klasma.github.io/Logging_2184/kartor/A 30484-2026 karta.png", "A 30484-2026")</f>
        <v/>
      </c>
      <c r="Y59">
        <f>HYPERLINK("https://klasma.github.io/Logging_2184/kartor_geotiff/A 30484-2026 georefererad karta.tif", "A 30484-2026")</f>
        <v/>
      </c>
      <c r="Z59">
        <f>HYPERLINK("https://klasma.github.io/Logging_2184/knärot/A 30484-2026 karta knärot.png", "A 30484-2026")</f>
        <v/>
      </c>
      <c r="AA59">
        <f>HYPERLINK("https://klasma.github.io/Logging_2184/klagomål/A 30484-2026 FSC-klagomål.docx", "A 30484-2026")</f>
        <v/>
      </c>
      <c r="AB59">
        <f>HYPERLINK("https://klasma.github.io/Logging_2184/klagomålsmail/A 30484-2026 FSC-klagomål mail.docx", "A 30484-2026")</f>
        <v/>
      </c>
      <c r="AC59">
        <f>HYPERLINK("https://klasma.github.io/Logging_2184/tillsyn/A 30484-2026 tillsynsbegäran.docx", "A 30484-2026")</f>
        <v/>
      </c>
      <c r="AD59">
        <f>HYPERLINK("https://klasma.github.io/Logging_2184/tillsynsmail/A 30484-2026 tillsynsbegäran mail.docx", "A 30484-2026")</f>
        <v/>
      </c>
    </row>
    <row r="60" ht="15" customHeight="1">
      <c r="A60" t="inlineStr">
        <is>
          <t>A 32046-2026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46233</v>
      </c>
      <c r="E60" s="1" t="n">
        <v>46320</v>
      </c>
      <c r="F60" t="inlineStr">
        <is>
          <t>GÄVLEBORGS LÄN</t>
        </is>
      </c>
      <c r="G60" t="inlineStr">
        <is>
          <t>HUDIKSVALL</t>
        </is>
      </c>
      <c r="I60" t="n">
        <v>1.7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Dropptaggsvamp
Ullticka</t>
        </is>
      </c>
      <c r="W60">
        <f>HYPERLINK("https://klasma.github.io/Logging_2184/artfynd/A 32046-2026 artfynd.xlsx", "A 32046-2026")</f>
        <v/>
      </c>
      <c r="X60">
        <f>HYPERLINK("https://klasma.github.io/Logging_2184/kartor/A 32046-2026 karta.png", "A 32046-2026")</f>
        <v/>
      </c>
      <c r="Y60">
        <f>HYPERLINK("https://klasma.github.io/Logging_2184/kartor_geotiff/A 32046-2026 georefererad karta.tif", "A 32046-2026")</f>
        <v/>
      </c>
      <c r="AA60">
        <f>HYPERLINK("https://klasma.github.io/Logging_2184/klagomål/A 32046-2026 FSC-klagomål.docx", "A 32046-2026")</f>
        <v/>
      </c>
      <c r="AB60">
        <f>HYPERLINK("https://klasma.github.io/Logging_2184/klagomålsmail/A 32046-2026 FSC-klagomål mail.docx", "A 32046-2026")</f>
        <v/>
      </c>
      <c r="AC60">
        <f>HYPERLINK("https://klasma.github.io/Logging_2184/tillsyn/A 32046-2026 tillsynsbegäran.docx", "A 32046-2026")</f>
        <v/>
      </c>
      <c r="AD60">
        <f>HYPERLINK("https://klasma.github.io/Logging_2184/tillsynsmail/A 32046-2026 tillsynsbegäran mail.docx", "A 32046-2026")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46320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Plattlummer
Mattlummer</t>
        </is>
      </c>
      <c r="W61">
        <f>HYPERLINK("https://klasma.github.io/Logging_2184/artfynd/A 45380-2024 artfynd.xlsx", "A 45380-2024")</f>
        <v/>
      </c>
      <c r="X61">
        <f>HYPERLINK("https://klasma.github.io/Logging_2184/kartor/A 45380-2024 karta.png", "A 45380-2024")</f>
        <v/>
      </c>
      <c r="Y61">
        <f>HYPERLINK("https://klasma.github.io/Logging_2184/kartor_geotiff/A 45380-2024 georefererad karta.tif", "A 45380-2024")</f>
        <v/>
      </c>
      <c r="AA61">
        <f>HYPERLINK("https://klasma.github.io/Logging_2184/klagomål/A 45380-2024 FSC-klagomål.docx", "A 45380-2024")</f>
        <v/>
      </c>
      <c r="AB61">
        <f>HYPERLINK("https://klasma.github.io/Logging_2184/klagomålsmail/A 45380-2024 FSC-klagomål mail.docx", "A 45380-2024")</f>
        <v/>
      </c>
      <c r="AC61">
        <f>HYPERLINK("https://klasma.github.io/Logging_2184/tillsyn/A 45380-2024 tillsynsbegäran.docx", "A 45380-2024")</f>
        <v/>
      </c>
      <c r="AD61">
        <f>HYPERLINK("https://klasma.github.io/Logging_2184/tillsynsmail/A 45380-2024 tillsynsbegäran mail.docx", "A 45380-2024")</f>
        <v/>
      </c>
    </row>
    <row r="62" ht="15" customHeight="1">
      <c r="A62" t="inlineStr">
        <is>
          <t>A 38232-2026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46320</v>
      </c>
      <c r="F62" t="inlineStr">
        <is>
          <t>GÄVLEBORGS LÄN</t>
        </is>
      </c>
      <c r="G62" t="inlineStr">
        <is>
          <t>HUDIKSVALL</t>
        </is>
      </c>
      <c r="I62" t="n">
        <v>0.6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Stor aspticka</t>
        </is>
      </c>
      <c r="W62">
        <f>HYPERLINK("https://klasma.github.io/Logging_2184/artfynd/A 38232-2026 artfynd.xlsx", "A 38232-2026")</f>
        <v/>
      </c>
      <c r="X62">
        <f>HYPERLINK("https://klasma.github.io/Logging_2184/kartor/A 38232-2026 karta.png", "A 38232-2026")</f>
        <v/>
      </c>
      <c r="Y62">
        <f>HYPERLINK("https://klasma.github.io/Logging_2184/kartor_geotiff/A 38232-2026 georefererad karta.tif", "A 38232-2026")</f>
        <v/>
      </c>
      <c r="AA62">
        <f>HYPERLINK("https://klasma.github.io/Logging_2184/klagomål/A 38232-2026 FSC-klagomål.docx", "A 38232-2026")</f>
        <v/>
      </c>
      <c r="AB62">
        <f>HYPERLINK("https://klasma.github.io/Logging_2184/klagomålsmail/A 38232-2026 FSC-klagomål mail.docx", "A 38232-2026")</f>
        <v/>
      </c>
      <c r="AC62">
        <f>HYPERLINK("https://klasma.github.io/Logging_2184/tillsyn/A 38232-2026 tillsynsbegäran.docx", "A 38232-2026")</f>
        <v/>
      </c>
      <c r="AD62">
        <f>HYPERLINK("https://klasma.github.io/Logging_2184/tillsynsmail/A 38232-2026 tillsynsbegäran mail.docx", "A 38232-2026")</f>
        <v/>
      </c>
    </row>
    <row r="63" ht="15" customHeight="1">
      <c r="A63" t="inlineStr">
        <is>
          <t>A 50822-2023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46320</v>
      </c>
      <c r="F63" t="inlineStr">
        <is>
          <t>GÄVLEBORGS LÄN</t>
        </is>
      </c>
      <c r="G63" t="inlineStr">
        <is>
          <t>HUDIKSVALL</t>
        </is>
      </c>
      <c r="I63" t="n">
        <v>1.2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Järpe
Grönsiska</t>
        </is>
      </c>
      <c r="W63">
        <f>HYPERLINK("https://klasma.github.io/Logging_2184/artfynd/A 50822-2023 artfynd.xlsx", "A 50822-2023")</f>
        <v/>
      </c>
      <c r="X63">
        <f>HYPERLINK("https://klasma.github.io/Logging_2184/kartor/A 50822-2023 karta.png", "A 50822-2023")</f>
        <v/>
      </c>
      <c r="Y63">
        <f>HYPERLINK("https://klasma.github.io/Logging_2184/kartor_geotiff/A 50822-2023 georefererad karta.tif", "A 50822-2023")</f>
        <v/>
      </c>
      <c r="AA63">
        <f>HYPERLINK("https://klasma.github.io/Logging_2184/klagomål/A 50822-2023 FSC-klagomål.docx", "A 50822-2023")</f>
        <v/>
      </c>
      <c r="AB63">
        <f>HYPERLINK("https://klasma.github.io/Logging_2184/klagomålsmail/A 50822-2023 FSC-klagomål mail.docx", "A 50822-2023")</f>
        <v/>
      </c>
      <c r="AC63">
        <f>HYPERLINK("https://klasma.github.io/Logging_2184/tillsyn/A 50822-2023 tillsynsbegäran.docx", "A 50822-2023")</f>
        <v/>
      </c>
      <c r="AD63">
        <f>HYPERLINK("https://klasma.github.io/Logging_2184/tillsynsmail/A 50822-2023 tillsynsbegäran mail.docx", "A 50822-2023")</f>
        <v/>
      </c>
      <c r="AE63">
        <f>HYPERLINK("https://klasma.github.io/Logging_2184/fåglar/A 50822-2023 prioriterade fågelarter.docx", "A 50822-2023")</f>
        <v/>
      </c>
    </row>
    <row r="64" ht="15" customHeight="1">
      <c r="A64" t="inlineStr">
        <is>
          <t>A 6241-2026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46055</v>
      </c>
      <c r="E64" s="1" t="n">
        <v>46320</v>
      </c>
      <c r="F64" t="inlineStr">
        <is>
          <t>GÄVLEBORGS LÄN</t>
        </is>
      </c>
      <c r="G64" t="inlineStr">
        <is>
          <t>HUDIKSVALL</t>
        </is>
      </c>
      <c r="I64" t="n">
        <v>3.3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Platt spretmossa</t>
        </is>
      </c>
      <c r="W64">
        <f>HYPERLINK("https://klasma.github.io/Logging_2184/artfynd/A 6241-2026 artfynd.xlsx", "A 6241-2026")</f>
        <v/>
      </c>
      <c r="X64">
        <f>HYPERLINK("https://klasma.github.io/Logging_2184/kartor/A 6241-2026 karta.png", "A 6241-2026")</f>
        <v/>
      </c>
      <c r="Y64">
        <f>HYPERLINK("https://klasma.github.io/Logging_2184/kartor_geotiff/A 6241-2026 georefererad karta.tif", "A 6241-2026")</f>
        <v/>
      </c>
      <c r="Z64">
        <f>HYPERLINK("https://klasma.github.io/Logging_2184/knärot/A 6241-2026 karta knärot.png", "A 6241-2026")</f>
        <v/>
      </c>
      <c r="AA64">
        <f>HYPERLINK("https://klasma.github.io/Logging_2184/klagomål/A 6241-2026 FSC-klagomål.docx", "A 6241-2026")</f>
        <v/>
      </c>
      <c r="AB64">
        <f>HYPERLINK("https://klasma.github.io/Logging_2184/klagomålsmail/A 6241-2026 FSC-klagomål mail.docx", "A 6241-2026")</f>
        <v/>
      </c>
      <c r="AC64">
        <f>HYPERLINK("https://klasma.github.io/Logging_2184/tillsyn/A 6241-2026 tillsynsbegäran.docx", "A 6241-2026")</f>
        <v/>
      </c>
      <c r="AD64">
        <f>HYPERLINK("https://klasma.github.io/Logging_2184/tillsynsmail/A 6241-2026 tillsynsbegäran mail.docx", "A 6241-2026")</f>
        <v/>
      </c>
    </row>
    <row r="65" ht="15" customHeight="1">
      <c r="A65" t="inlineStr">
        <is>
          <t>A 10368-2026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46320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14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Spillkråka
Revlummer</t>
        </is>
      </c>
      <c r="W65">
        <f>HYPERLINK("https://klasma.github.io/Logging_2184/artfynd/A 10368-2026 artfynd.xlsx", "A 10368-2026")</f>
        <v/>
      </c>
      <c r="X65">
        <f>HYPERLINK("https://klasma.github.io/Logging_2184/kartor/A 10368-2026 karta.png", "A 10368-2026")</f>
        <v/>
      </c>
      <c r="Y65">
        <f>HYPERLINK("https://klasma.github.io/Logging_2184/kartor_geotiff/A 10368-2026 georefererad karta.tif", "A 10368-2026")</f>
        <v/>
      </c>
      <c r="AA65">
        <f>HYPERLINK("https://klasma.github.io/Logging_2184/klagomål/A 10368-2026 FSC-klagomål.docx", "A 10368-2026")</f>
        <v/>
      </c>
      <c r="AB65">
        <f>HYPERLINK("https://klasma.github.io/Logging_2184/klagomålsmail/A 10368-2026 FSC-klagomål mail.docx", "A 10368-2026")</f>
        <v/>
      </c>
      <c r="AC65">
        <f>HYPERLINK("https://klasma.github.io/Logging_2184/tillsyn/A 10368-2026 tillsynsbegäran.docx", "A 10368-2026")</f>
        <v/>
      </c>
      <c r="AD65">
        <f>HYPERLINK("https://klasma.github.io/Logging_2184/tillsynsmail/A 10368-2026 tillsynsbegäran mail.docx", "A 10368-2026")</f>
        <v/>
      </c>
      <c r="AE65">
        <f>HYPERLINK("https://klasma.github.io/Logging_2184/fåglar/A 10368-2026 prioriterade fågelarter.docx", "A 10368-2026")</f>
        <v/>
      </c>
    </row>
    <row r="66" ht="15" customHeight="1">
      <c r="A66" t="inlineStr">
        <is>
          <t>A 14353-2026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46320</v>
      </c>
      <c r="F66" t="inlineStr">
        <is>
          <t>GÄVLEBORGS LÄN</t>
        </is>
      </c>
      <c r="G66" t="inlineStr">
        <is>
          <t>HUDIKSVALL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Blanksvart spiklav
Vedticka</t>
        </is>
      </c>
      <c r="W66">
        <f>HYPERLINK("https://klasma.github.io/Logging_2184/artfynd/A 14353-2026 artfynd.xlsx", "A 14353-2026")</f>
        <v/>
      </c>
      <c r="X66">
        <f>HYPERLINK("https://klasma.github.io/Logging_2184/kartor/A 14353-2026 karta.png", "A 14353-2026")</f>
        <v/>
      </c>
      <c r="Y66">
        <f>HYPERLINK("https://klasma.github.io/Logging_2184/kartor_geotiff/A 14353-2026 georefererad karta.tif", "A 14353-2026")</f>
        <v/>
      </c>
      <c r="AA66">
        <f>HYPERLINK("https://klasma.github.io/Logging_2184/klagomål/A 14353-2026 FSC-klagomål.docx", "A 14353-2026")</f>
        <v/>
      </c>
      <c r="AB66">
        <f>HYPERLINK("https://klasma.github.io/Logging_2184/klagomålsmail/A 14353-2026 FSC-klagomål mail.docx", "A 14353-2026")</f>
        <v/>
      </c>
      <c r="AC66">
        <f>HYPERLINK("https://klasma.github.io/Logging_2184/tillsyn/A 14353-2026 tillsynsbegäran.docx", "A 14353-2026")</f>
        <v/>
      </c>
      <c r="AD66">
        <f>HYPERLINK("https://klasma.github.io/Logging_2184/tillsynsmail/A 14353-2026 tillsynsbegäran mail.docx", "A 14353-2026")</f>
        <v/>
      </c>
    </row>
    <row r="67" ht="15" customHeight="1">
      <c r="A67" t="inlineStr">
        <is>
          <t>A 17222-2026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46320</v>
      </c>
      <c r="F67" t="inlineStr">
        <is>
          <t>GÄVLEBORGS LÄN</t>
        </is>
      </c>
      <c r="G67" t="inlineStr">
        <is>
          <t>HUDIKSVALL</t>
        </is>
      </c>
      <c r="I67" t="n">
        <v>33.9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Blåsippa
Revlummer</t>
        </is>
      </c>
      <c r="W67">
        <f>HYPERLINK("https://klasma.github.io/Logging_2184/artfynd/A 17222-2026 artfynd.xlsx", "A 17222-2026")</f>
        <v/>
      </c>
      <c r="X67">
        <f>HYPERLINK("https://klasma.github.io/Logging_2184/kartor/A 17222-2026 karta.png", "A 17222-2026")</f>
        <v/>
      </c>
      <c r="Y67">
        <f>HYPERLINK("https://klasma.github.io/Logging_2184/kartor_geotiff/A 17222-2026 georefererad karta.tif", "A 17222-2026")</f>
        <v/>
      </c>
      <c r="AA67">
        <f>HYPERLINK("https://klasma.github.io/Logging_2184/klagomål/A 17222-2026 FSC-klagomål.docx", "A 17222-2026")</f>
        <v/>
      </c>
      <c r="AB67">
        <f>HYPERLINK("https://klasma.github.io/Logging_2184/klagomålsmail/A 17222-2026 FSC-klagomål mail.docx", "A 17222-2026")</f>
        <v/>
      </c>
      <c r="AC67">
        <f>HYPERLINK("https://klasma.github.io/Logging_2184/tillsyn/A 17222-2026 tillsynsbegäran.docx", "A 17222-2026")</f>
        <v/>
      </c>
      <c r="AD67">
        <f>HYPERLINK("https://klasma.github.io/Logging_2184/tillsynsmail/A 17222-2026 tillsynsbegäran mail.docx", "A 17222-2026")</f>
        <v/>
      </c>
    </row>
    <row r="68" ht="15" customHeight="1">
      <c r="A68" t="inlineStr">
        <is>
          <t>A 13332-2026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46320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Bågpraktmossa
Vanlig rörsvepemossa</t>
        </is>
      </c>
      <c r="W68">
        <f>HYPERLINK("https://klasma.github.io/Logging_2184/artfynd/A 13332-2026 artfynd.xlsx", "A 13332-2026")</f>
        <v/>
      </c>
      <c r="X68">
        <f>HYPERLINK("https://klasma.github.io/Logging_2184/kartor/A 13332-2026 karta.png", "A 13332-2026")</f>
        <v/>
      </c>
      <c r="Y68">
        <f>HYPERLINK("https://klasma.github.io/Logging_2184/kartor_geotiff/A 13332-2026 georefererad karta.tif", "A 13332-2026")</f>
        <v/>
      </c>
      <c r="AA68">
        <f>HYPERLINK("https://klasma.github.io/Logging_2184/klagomål/A 13332-2026 FSC-klagomål.docx", "A 13332-2026")</f>
        <v/>
      </c>
      <c r="AB68">
        <f>HYPERLINK("https://klasma.github.io/Logging_2184/klagomålsmail/A 13332-2026 FSC-klagomål mail.docx", "A 13332-2026")</f>
        <v/>
      </c>
      <c r="AC68">
        <f>HYPERLINK("https://klasma.github.io/Logging_2184/tillsyn/A 13332-2026 tillsynsbegäran.docx", "A 13332-2026")</f>
        <v/>
      </c>
      <c r="AD68">
        <f>HYPERLINK("https://klasma.github.io/Logging_2184/tillsynsmail/A 13332-2026 tillsynsbegäran mail.docx", "A 13332-2026")</f>
        <v/>
      </c>
    </row>
    <row r="69" ht="15" customHeight="1">
      <c r="A69" t="inlineStr">
        <is>
          <t>A 20884-2026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46142</v>
      </c>
      <c r="E69" s="1" t="n">
        <v>46320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0</v>
      </c>
      <c r="V69" s="2" t="inlineStr">
        <is>
          <t>Knärot
Ullticka</t>
        </is>
      </c>
      <c r="W69">
        <f>HYPERLINK("https://klasma.github.io/Logging_2184/artfynd/A 20884-2026 artfynd.xlsx", "A 20884-2026")</f>
        <v/>
      </c>
      <c r="X69">
        <f>HYPERLINK("https://klasma.github.io/Logging_2184/kartor/A 20884-2026 karta.png", "A 20884-2026")</f>
        <v/>
      </c>
      <c r="Y69">
        <f>HYPERLINK("https://klasma.github.io/Logging_2184/kartor_geotiff/A 20884-2026 georefererad karta.tif", "A 20884-2026")</f>
        <v/>
      </c>
      <c r="Z69">
        <f>HYPERLINK("https://klasma.github.io/Logging_2184/knärot/A 20884-2026 karta knärot.png", "A 20884-2026")</f>
        <v/>
      </c>
      <c r="AA69">
        <f>HYPERLINK("https://klasma.github.io/Logging_2184/klagomål/A 20884-2026 FSC-klagomål.docx", "A 20884-2026")</f>
        <v/>
      </c>
      <c r="AB69">
        <f>HYPERLINK("https://klasma.github.io/Logging_2184/klagomålsmail/A 20884-2026 FSC-klagomål mail.docx", "A 20884-2026")</f>
        <v/>
      </c>
      <c r="AC69">
        <f>HYPERLINK("https://klasma.github.io/Logging_2184/tillsyn/A 20884-2026 tillsynsbegäran.docx", "A 20884-2026")</f>
        <v/>
      </c>
      <c r="AD69">
        <f>HYPERLINK("https://klasma.github.io/Logging_2184/tillsynsmail/A 20884-2026 tillsynsbegäran mail.docx", "A 20884-2026")</f>
        <v/>
      </c>
    </row>
    <row r="70" ht="15" customHeight="1">
      <c r="A70" t="inlineStr">
        <is>
          <t>A 60594-2024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46320</v>
      </c>
      <c r="F70" t="inlineStr">
        <is>
          <t>GÄVLEBORGS LÄN</t>
        </is>
      </c>
      <c r="G70" t="inlineStr">
        <is>
          <t>HUDIKSVALL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4</v>
      </c>
      <c r="U70" t="n">
        <v>4</v>
      </c>
      <c r="V70" s="2" t="inlineStr">
        <is>
          <t>Flodpärlmussla
Vanlig padda</t>
        </is>
      </c>
      <c r="W70">
        <f>HYPERLINK("https://klasma.github.io/Logging_2184/artfynd/A 60594-2024 artfynd.xlsx", "A 60594-2024")</f>
        <v/>
      </c>
      <c r="X70">
        <f>HYPERLINK("https://klasma.github.io/Logging_2184/kartor/A 60594-2024 karta.png", "A 60594-2024")</f>
        <v/>
      </c>
      <c r="Y70">
        <f>HYPERLINK("https://klasma.github.io/Logging_2184/kartor_geotiff/A 60594-2024 georefererad karta.tif", "A 60594-2024")</f>
        <v/>
      </c>
      <c r="AA70">
        <f>HYPERLINK("https://klasma.github.io/Logging_2184/klagomål/A 60594-2024 FSC-klagomål.docx", "A 60594-2024")</f>
        <v/>
      </c>
      <c r="AB70">
        <f>HYPERLINK("https://klasma.github.io/Logging_2184/klagomålsmail/A 60594-2024 FSC-klagomål mail.docx", "A 60594-2024")</f>
        <v/>
      </c>
      <c r="AC70">
        <f>HYPERLINK("https://klasma.github.io/Logging_2184/tillsyn/A 60594-2024 tillsynsbegäran.docx", "A 60594-2024")</f>
        <v/>
      </c>
      <c r="AD70">
        <f>HYPERLINK("https://klasma.github.io/Logging_2184/tillsynsmail/A 60594-2024 tillsynsbegäran mail.docx", "A 60594-2024")</f>
        <v/>
      </c>
    </row>
    <row r="71" ht="15" customHeight="1">
      <c r="A71" t="inlineStr">
        <is>
          <t>A 22261-2024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46320</v>
      </c>
      <c r="F71" t="inlineStr">
        <is>
          <t>GÄVLEBORGS LÄN</t>
        </is>
      </c>
      <c r="G71" t="inlineStr">
        <is>
          <t>HUDIKSVALL</t>
        </is>
      </c>
      <c r="I71" t="n">
        <v>7.6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Knärot
Dropptaggsvamp</t>
        </is>
      </c>
      <c r="W71">
        <f>HYPERLINK("https://klasma.github.io/Logging_2184/artfynd/A 22261-2024 artfynd.xlsx", "A 22261-2024")</f>
        <v/>
      </c>
      <c r="X71">
        <f>HYPERLINK("https://klasma.github.io/Logging_2184/kartor/A 22261-2024 karta.png", "A 22261-2024")</f>
        <v/>
      </c>
      <c r="Y71">
        <f>HYPERLINK("https://klasma.github.io/Logging_2184/kartor_geotiff/A 22261-2024 georefererad karta.tif", "A 22261-2024")</f>
        <v/>
      </c>
      <c r="Z71">
        <f>HYPERLINK("https://klasma.github.io/Logging_2184/knärot/A 22261-2024 karta knärot.png", "A 22261-2024")</f>
        <v/>
      </c>
      <c r="AA71">
        <f>HYPERLINK("https://klasma.github.io/Logging_2184/klagomål/A 22261-2024 FSC-klagomål.docx", "A 22261-2024")</f>
        <v/>
      </c>
      <c r="AB71">
        <f>HYPERLINK("https://klasma.github.io/Logging_2184/klagomålsmail/A 22261-2024 FSC-klagomål mail.docx", "A 22261-2024")</f>
        <v/>
      </c>
      <c r="AC71">
        <f>HYPERLINK("https://klasma.github.io/Logging_2184/tillsyn/A 22261-2024 tillsynsbegäran.docx", "A 22261-2024")</f>
        <v/>
      </c>
      <c r="AD71">
        <f>HYPERLINK("https://klasma.github.io/Logging_2184/tillsynsmail/A 22261-2024 tillsynsbegäran mail.docx", "A 22261-2024")</f>
        <v/>
      </c>
    </row>
    <row r="72" ht="15" customHeight="1">
      <c r="A72" t="inlineStr">
        <is>
          <t>S 4018-2023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45237</v>
      </c>
      <c r="E72" s="1" t="n">
        <v>46320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74.59999999999999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Korallrot
Gullviva</t>
        </is>
      </c>
      <c r="W72">
        <f>HYPERLINK("https://klasma.github.io/Logging_2184/artfynd/S 4018-2023 artfynd.xlsx", "S 4018-2023")</f>
        <v/>
      </c>
      <c r="X72">
        <f>HYPERLINK("https://klasma.github.io/Logging_2184/kartor/S 4018-2023 karta.png", "S 4018-2023")</f>
        <v/>
      </c>
      <c r="Y72">
        <f>HYPERLINK("https://klasma.github.io/Logging_2184/kartor_geotiff/S 4018-2023 georefererad karta.tif", "S 4018-2023")</f>
        <v/>
      </c>
      <c r="AA72">
        <f>HYPERLINK("https://klasma.github.io/Logging_2184/klagomål/S 4018-2023 FSC-klagomål.docx", "S 4018-2023")</f>
        <v/>
      </c>
      <c r="AB72">
        <f>HYPERLINK("https://klasma.github.io/Logging_2184/klagomålsmail/S 4018-2023 FSC-klagomål mail.docx", "S 4018-2023")</f>
        <v/>
      </c>
      <c r="AC72">
        <f>HYPERLINK("https://klasma.github.io/Logging_2184/tillsyn/S 4018-2023 tillsynsbegäran.docx", "S 4018-2023")</f>
        <v/>
      </c>
      <c r="AD72">
        <f>HYPERLINK("https://klasma.github.io/Logging_2184/tillsynsmail/S 4018-2023 tillsynsbegäran mail.docx", "S 4018-2023")</f>
        <v/>
      </c>
    </row>
    <row r="73" ht="15" customHeight="1">
      <c r="A73" t="inlineStr">
        <is>
          <t>S 113-2025</t>
        </is>
      </c>
      <c r="B73" t="inlineStr">
        <is>
          <t>samrådsanmälan</t>
        </is>
      </c>
      <c r="C73" t="inlineStr">
        <is>
          <t>Skogsgödsling</t>
        </is>
      </c>
      <c r="D73" s="1" t="n">
        <v>45670</v>
      </c>
      <c r="E73" s="1" t="n">
        <v>46320</v>
      </c>
      <c r="F73" t="inlineStr">
        <is>
          <t>GÄVLEBORGS LÄN</t>
        </is>
      </c>
      <c r="G73" t="inlineStr">
        <is>
          <t>HUDIKSVALL</t>
        </is>
      </c>
      <c r="I73" t="n">
        <v>39.1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Orange taggsvamp</t>
        </is>
      </c>
      <c r="W73">
        <f>HYPERLINK("https://klasma.github.io/Logging_2184/artfynd/S 113-2025 artfynd.xlsx", "S 113-2025")</f>
        <v/>
      </c>
      <c r="X73">
        <f>HYPERLINK("https://klasma.github.io/Logging_2184/kartor/S 113-2025 karta.png", "S 113-2025")</f>
        <v/>
      </c>
      <c r="Y73">
        <f>HYPERLINK("https://klasma.github.io/Logging_2184/kartor_geotiff/S 113-2025 georefererad karta.tif", "S 113-2025")</f>
        <v/>
      </c>
      <c r="AA73">
        <f>HYPERLINK("https://klasma.github.io/Logging_2184/klagomål/S 113-2025 FSC-klagomål.docx", "S 113-2025")</f>
        <v/>
      </c>
      <c r="AB73">
        <f>HYPERLINK("https://klasma.github.io/Logging_2184/klagomålsmail/S 113-2025 FSC-klagomål mail.docx", "S 113-2025")</f>
        <v/>
      </c>
      <c r="AC73">
        <f>HYPERLINK("https://klasma.github.io/Logging_2184/tillsyn/S 113-2025 tillsynsbegäran.docx", "S 113-2025")</f>
        <v/>
      </c>
      <c r="AD73">
        <f>HYPERLINK("https://klasma.github.io/Logging_2184/tillsynsmail/S 113-2025 tillsynsbegäran mail.docx", "S 113-2025")</f>
        <v/>
      </c>
    </row>
    <row r="74" ht="15" customHeight="1">
      <c r="A74" t="inlineStr">
        <is>
          <t>A 72077-2021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46320</v>
      </c>
      <c r="F74" t="inlineStr">
        <is>
          <t>GÄVLEBORGS LÄN</t>
        </is>
      </c>
      <c r="G74" t="inlineStr">
        <is>
          <t>HUDIKSVALL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HYPERLINK("https://klasma.github.io/Logging_2184/artfynd/A 72077-2021 artfynd.xlsx", "A 72077-2021")</f>
        <v/>
      </c>
      <c r="X74">
        <f>HYPERLINK("https://klasma.github.io/Logging_2184/kartor/A 72077-2021 karta.png", "A 72077-2021")</f>
        <v/>
      </c>
      <c r="Y74">
        <f>HYPERLINK("https://klasma.github.io/Logging_2184/kartor_geotiff/A 72077-2021 georefererad karta.tif", "A 72077-2021")</f>
        <v/>
      </c>
      <c r="AA74">
        <f>HYPERLINK("https://klasma.github.io/Logging_2184/klagomål/A 72077-2021 FSC-klagomål.docx", "A 72077-2021")</f>
        <v/>
      </c>
      <c r="AB74">
        <f>HYPERLINK("https://klasma.github.io/Logging_2184/klagomålsmail/A 72077-2021 FSC-klagomål mail.docx", "A 72077-2021")</f>
        <v/>
      </c>
      <c r="AC74">
        <f>HYPERLINK("https://klasma.github.io/Logging_2184/tillsyn/A 72077-2021 tillsynsbegäran.docx", "A 72077-2021")</f>
        <v/>
      </c>
      <c r="AD74">
        <f>HYPERLINK("https://klasma.github.io/Logging_2184/tillsynsmail/A 72077-2021 tillsynsbegäran mail.docx", "A 72077-2021")</f>
        <v/>
      </c>
      <c r="AE74">
        <f>HYPERLINK("https://klasma.github.io/Logging_2184/fåglar/A 72077-2021 prioriterade fågelarter.docx", "A 72077-2021")</f>
        <v/>
      </c>
    </row>
    <row r="75" ht="15" customHeight="1">
      <c r="A75" t="inlineStr">
        <is>
          <t>A 34345-2022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46320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Stuplav</t>
        </is>
      </c>
      <c r="W75">
        <f>HYPERLINK("https://klasma.github.io/Logging_2184/artfynd/A 34345-2022 artfynd.xlsx", "A 34345-2022")</f>
        <v/>
      </c>
      <c r="X75">
        <f>HYPERLINK("https://klasma.github.io/Logging_2184/kartor/A 34345-2022 karta.png", "A 34345-2022")</f>
        <v/>
      </c>
      <c r="Y75">
        <f>HYPERLINK("https://klasma.github.io/Logging_2184/kartor_geotiff/A 34345-2022 georefererad karta.tif", "A 34345-2022")</f>
        <v/>
      </c>
      <c r="AA75">
        <f>HYPERLINK("https://klasma.github.io/Logging_2184/klagomål/A 34345-2022 FSC-klagomål.docx", "A 34345-2022")</f>
        <v/>
      </c>
      <c r="AB75">
        <f>HYPERLINK("https://klasma.github.io/Logging_2184/klagomålsmail/A 34345-2022 FSC-klagomål mail.docx", "A 34345-2022")</f>
        <v/>
      </c>
      <c r="AC75">
        <f>HYPERLINK("https://klasma.github.io/Logging_2184/tillsyn/A 34345-2022 tillsynsbegäran.docx", "A 34345-2022")</f>
        <v/>
      </c>
      <c r="AD75">
        <f>HYPERLINK("https://klasma.github.io/Logging_2184/tillsynsmail/A 34345-2022 tillsynsbegäran mail.docx", "A 34345-2022")</f>
        <v/>
      </c>
    </row>
    <row r="76" ht="15" customHeight="1">
      <c r="A76" t="inlineStr">
        <is>
          <t>A 68162-2021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44526</v>
      </c>
      <c r="E76" s="1" t="n">
        <v>46320</v>
      </c>
      <c r="F76" t="inlineStr">
        <is>
          <t>GÄVLEBORGS LÄN</t>
        </is>
      </c>
      <c r="G76" t="inlineStr">
        <is>
          <t>HUDIKSVALL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Större vattensalamander</t>
        </is>
      </c>
      <c r="W76">
        <f>HYPERLINK("https://klasma.github.io/Logging_2184/artfynd/A 68162-2021 artfynd.xlsx", "A 68162-2021")</f>
        <v/>
      </c>
      <c r="X76">
        <f>HYPERLINK("https://klasma.github.io/Logging_2184/kartor/A 68162-2021 karta.png", "A 68162-2021")</f>
        <v/>
      </c>
      <c r="Y76">
        <f>HYPERLINK("https://klasma.github.io/Logging_2184/kartor_geotiff/A 68162-2021 georefererad karta.tif", "A 68162-2021")</f>
        <v/>
      </c>
      <c r="AA76">
        <f>HYPERLINK("https://klasma.github.io/Logging_2184/klagomål/A 68162-2021 FSC-klagomål.docx", "A 68162-2021")</f>
        <v/>
      </c>
      <c r="AB76">
        <f>HYPERLINK("https://klasma.github.io/Logging_2184/klagomålsmail/A 68162-2021 FSC-klagomål mail.docx", "A 68162-2021")</f>
        <v/>
      </c>
      <c r="AC76">
        <f>HYPERLINK("https://klasma.github.io/Logging_2184/tillsyn/A 68162-2021 tillsynsbegäran.docx", "A 68162-2021")</f>
        <v/>
      </c>
      <c r="AD76">
        <f>HYPERLINK("https://klasma.github.io/Logging_2184/tillsynsmail/A 68162-2021 tillsynsbegäran mail.docx", "A 68162-2021")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46320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2739-2025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46320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HYPERLINK("https://klasma.github.io/Logging_2184/artfynd/A 2739-2025 artfynd.xlsx", "A 2739-2025")</f>
        <v/>
      </c>
      <c r="X78">
        <f>HYPERLINK("https://klasma.github.io/Logging_2184/kartor/A 2739-2025 karta.png", "A 2739-2025")</f>
        <v/>
      </c>
      <c r="Y78">
        <f>HYPERLINK("https://klasma.github.io/Logging_2184/kartor_geotiff/A 2739-2025 georefererad karta.tif", "A 2739-2025")</f>
        <v/>
      </c>
      <c r="AA78">
        <f>HYPERLINK("https://klasma.github.io/Logging_2184/klagomål/A 2739-2025 FSC-klagomål.docx", "A 2739-2025")</f>
        <v/>
      </c>
      <c r="AB78">
        <f>HYPERLINK("https://klasma.github.io/Logging_2184/klagomålsmail/A 2739-2025 FSC-klagomål mail.docx", "A 2739-2025")</f>
        <v/>
      </c>
      <c r="AC78">
        <f>HYPERLINK("https://klasma.github.io/Logging_2184/tillsyn/A 2739-2025 tillsynsbegäran.docx", "A 2739-2025")</f>
        <v/>
      </c>
      <c r="AD78">
        <f>HYPERLINK("https://klasma.github.io/Logging_2184/tillsynsmail/A 2739-2025 tillsynsbegäran mail.docx", "A 2739-2025")</f>
        <v/>
      </c>
      <c r="AE78">
        <f>HYPERLINK("https://klasma.github.io/Logging_2184/fåglar/A 2739-2025 prioriterade fågelarter.docx", "A 2739-2025")</f>
        <v/>
      </c>
    </row>
    <row r="79" ht="15" customHeight="1">
      <c r="A79" t="inlineStr">
        <is>
          <t>A 5711-2024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46320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14.5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5711-2024 artfynd.xlsx", "A 5711-2024")</f>
        <v/>
      </c>
      <c r="X79">
        <f>HYPERLINK("https://klasma.github.io/Logging_2184/kartor/A 5711-2024 karta.png", "A 5711-2024")</f>
        <v/>
      </c>
      <c r="Y79">
        <f>HYPERLINK("https://klasma.github.io/Logging_2184/kartor_geotiff/A 5711-2024 georefererad karta.tif", "A 5711-2024")</f>
        <v/>
      </c>
      <c r="AA79">
        <f>HYPERLINK("https://klasma.github.io/Logging_2184/klagomål/A 5711-2024 FSC-klagomål.docx", "A 5711-2024")</f>
        <v/>
      </c>
      <c r="AB79">
        <f>HYPERLINK("https://klasma.github.io/Logging_2184/klagomålsmail/A 5711-2024 FSC-klagomål mail.docx", "A 5711-2024")</f>
        <v/>
      </c>
      <c r="AC79">
        <f>HYPERLINK("https://klasma.github.io/Logging_2184/tillsyn/A 5711-2024 tillsynsbegäran.docx", "A 5711-2024")</f>
        <v/>
      </c>
      <c r="AD79">
        <f>HYPERLINK("https://klasma.github.io/Logging_2184/tillsynsmail/A 5711-2024 tillsynsbegäran mail.docx", "A 5711-2024")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46320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25040-2026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46320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3.1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Skogssvingel</t>
        </is>
      </c>
      <c r="W81">
        <f>HYPERLINK("https://klasma.github.io/Logging_2184/artfynd/A 25040-2026 artfynd.xlsx", "A 25040-2026")</f>
        <v/>
      </c>
      <c r="X81">
        <f>HYPERLINK("https://klasma.github.io/Logging_2184/kartor/A 25040-2026 karta.png", "A 25040-2026")</f>
        <v/>
      </c>
      <c r="Y81">
        <f>HYPERLINK("https://klasma.github.io/Logging_2184/kartor_geotiff/A 25040-2026 georefererad karta.tif", "A 25040-2026")</f>
        <v/>
      </c>
      <c r="AA81">
        <f>HYPERLINK("https://klasma.github.io/Logging_2184/klagomål/A 25040-2026 FSC-klagomål.docx", "A 25040-2026")</f>
        <v/>
      </c>
      <c r="AB81">
        <f>HYPERLINK("https://klasma.github.io/Logging_2184/klagomålsmail/A 25040-2026 FSC-klagomål mail.docx", "A 25040-2026")</f>
        <v/>
      </c>
      <c r="AC81">
        <f>HYPERLINK("https://klasma.github.io/Logging_2184/tillsyn/A 25040-2026 tillsynsbegäran.docx", "A 25040-2026")</f>
        <v/>
      </c>
      <c r="AD81">
        <f>HYPERLINK("https://klasma.github.io/Logging_2184/tillsynsmail/A 25040-2026 tillsynsbegäran mail.docx", "A 25040-2026")</f>
        <v/>
      </c>
    </row>
    <row r="82" ht="15" customHeight="1">
      <c r="A82" t="inlineStr">
        <is>
          <t>A 6985-2025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46320</v>
      </c>
      <c r="F82" t="inlineStr">
        <is>
          <t>GÄVLEBORGS LÄN</t>
        </is>
      </c>
      <c r="G82" t="inlineStr">
        <is>
          <t>HUDIKSVALL</t>
        </is>
      </c>
      <c r="I82" t="n">
        <v>6.7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HYPERLINK("https://klasma.github.io/Logging_2184/artfynd/A 6985-2025 artfynd.xlsx", "A 6985-2025")</f>
        <v/>
      </c>
      <c r="X82">
        <f>HYPERLINK("https://klasma.github.io/Logging_2184/kartor/A 6985-2025 karta.png", "A 6985-2025")</f>
        <v/>
      </c>
      <c r="Y82">
        <f>HYPERLINK("https://klasma.github.io/Logging_2184/kartor_geotiff/A 6985-2025 georefererad karta.tif", "A 6985-2025")</f>
        <v/>
      </c>
      <c r="AA82">
        <f>HYPERLINK("https://klasma.github.io/Logging_2184/klagomål/A 6985-2025 FSC-klagomål.docx", "A 6985-2025")</f>
        <v/>
      </c>
      <c r="AB82">
        <f>HYPERLINK("https://klasma.github.io/Logging_2184/klagomålsmail/A 6985-2025 FSC-klagomål mail.docx", "A 6985-2025")</f>
        <v/>
      </c>
      <c r="AC82">
        <f>HYPERLINK("https://klasma.github.io/Logging_2184/tillsyn/A 6985-2025 tillsynsbegäran.docx", "A 6985-2025")</f>
        <v/>
      </c>
      <c r="AD82">
        <f>HYPERLINK("https://klasma.github.io/Logging_2184/tillsynsmail/A 6985-2025 tillsynsbegäran mail.docx", "A 6985-2025")</f>
        <v/>
      </c>
      <c r="AE82">
        <f>HYPERLINK("https://klasma.github.io/Logging_2184/fåglar/A 6985-2025 prioriterade fågelarter.docx", "A 6985-2025")</f>
        <v/>
      </c>
    </row>
    <row r="83" ht="15" customHeight="1">
      <c r="A83" t="inlineStr">
        <is>
          <t>A 25145-2024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45462</v>
      </c>
      <c r="E83" s="1" t="n">
        <v>46320</v>
      </c>
      <c r="F83" t="inlineStr">
        <is>
          <t>GÄVLEBORGS LÄN</t>
        </is>
      </c>
      <c r="G83" t="inlineStr">
        <is>
          <t>HUDIKSVALL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Skogsödla</t>
        </is>
      </c>
      <c r="W83">
        <f>HYPERLINK("https://klasma.github.io/Logging_2184/artfynd/A 25145-2024 artfynd.xlsx", "A 25145-2024")</f>
        <v/>
      </c>
      <c r="X83">
        <f>HYPERLINK("https://klasma.github.io/Logging_2184/kartor/A 25145-2024 karta.png", "A 25145-2024")</f>
        <v/>
      </c>
      <c r="Y83">
        <f>HYPERLINK("https://klasma.github.io/Logging_2184/kartor_geotiff/A 25145-2024 georefererad karta.tif", "A 25145-2024")</f>
        <v/>
      </c>
      <c r="AA83">
        <f>HYPERLINK("https://klasma.github.io/Logging_2184/klagomål/A 25145-2024 FSC-klagomål.docx", "A 25145-2024")</f>
        <v/>
      </c>
      <c r="AB83">
        <f>HYPERLINK("https://klasma.github.io/Logging_2184/klagomålsmail/A 25145-2024 FSC-klagomål mail.docx", "A 25145-2024")</f>
        <v/>
      </c>
      <c r="AC83">
        <f>HYPERLINK("https://klasma.github.io/Logging_2184/tillsyn/A 25145-2024 tillsynsbegäran.docx", "A 25145-2024")</f>
        <v/>
      </c>
      <c r="AD83">
        <f>HYPERLINK("https://klasma.github.io/Logging_2184/tillsynsmail/A 25145-2024 tillsynsbegäran mail.docx", "A 25145-2024")</f>
        <v/>
      </c>
    </row>
    <row r="84" ht="15" customHeight="1">
      <c r="A84" t="inlineStr">
        <is>
          <t>A 29134-2026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46202</v>
      </c>
      <c r="E84" s="1" t="n">
        <v>46320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19.2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HYPERLINK("https://klasma.github.io/Logging_2184/artfynd/A 29134-2026 artfynd.xlsx", "A 29134-2026")</f>
        <v/>
      </c>
      <c r="X84">
        <f>HYPERLINK("https://klasma.github.io/Logging_2184/kartor/A 29134-2026 karta.png", "A 29134-2026")</f>
        <v/>
      </c>
      <c r="Y84">
        <f>HYPERLINK("https://klasma.github.io/Logging_2184/kartor_geotiff/A 29134-2026 georefererad karta.tif", "A 29134-2026")</f>
        <v/>
      </c>
      <c r="AA84">
        <f>HYPERLINK("https://klasma.github.io/Logging_2184/klagomål/A 29134-2026 FSC-klagomål.docx", "A 29134-2026")</f>
        <v/>
      </c>
      <c r="AB84">
        <f>HYPERLINK("https://klasma.github.io/Logging_2184/klagomålsmail/A 29134-2026 FSC-klagomål mail.docx", "A 29134-2026")</f>
        <v/>
      </c>
      <c r="AC84">
        <f>HYPERLINK("https://klasma.github.io/Logging_2184/tillsyn/A 29134-2026 tillsynsbegäran.docx", "A 29134-2026")</f>
        <v/>
      </c>
      <c r="AD84">
        <f>HYPERLINK("https://klasma.github.io/Logging_2184/tillsynsmail/A 29134-2026 tillsynsbegäran mail.docx", "A 29134-2026")</f>
        <v/>
      </c>
    </row>
    <row r="85" ht="15" customHeight="1">
      <c r="A85" t="inlineStr">
        <is>
          <t>A 41494-2024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46320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HYPERLINK("https://klasma.github.io/Logging_2184/artfynd/A 41494-2024 artfynd.xlsx", "A 41494-2024")</f>
        <v/>
      </c>
      <c r="X85">
        <f>HYPERLINK("https://klasma.github.io/Logging_2184/kartor/A 41494-2024 karta.png", "A 41494-2024")</f>
        <v/>
      </c>
      <c r="Y85">
        <f>HYPERLINK("https://klasma.github.io/Logging_2184/kartor_geotiff/A 41494-2024 georefererad karta.tif", "A 41494-2024")</f>
        <v/>
      </c>
      <c r="AA85">
        <f>HYPERLINK("https://klasma.github.io/Logging_2184/klagomål/A 41494-2024 FSC-klagomål.docx", "A 41494-2024")</f>
        <v/>
      </c>
      <c r="AB85">
        <f>HYPERLINK("https://klasma.github.io/Logging_2184/klagomålsmail/A 41494-2024 FSC-klagomål mail.docx", "A 41494-2024")</f>
        <v/>
      </c>
      <c r="AC85">
        <f>HYPERLINK("https://klasma.github.io/Logging_2184/tillsyn/A 41494-2024 tillsynsbegäran.docx", "A 41494-2024")</f>
        <v/>
      </c>
      <c r="AD85">
        <f>HYPERLINK("https://klasma.github.io/Logging_2184/tillsynsmail/A 41494-2024 tillsynsbegäran mail.docx", "A 41494-2024")</f>
        <v/>
      </c>
    </row>
    <row r="86" ht="15" customHeight="1">
      <c r="A86" t="inlineStr">
        <is>
          <t>A 19427-2025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46320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HYPERLINK("https://klasma.github.io/Logging_2184/artfynd/A 19427-2025 artfynd.xlsx", "A 19427-2025")</f>
        <v/>
      </c>
      <c r="X86">
        <f>HYPERLINK("https://klasma.github.io/Logging_2184/kartor/A 19427-2025 karta.png", "A 19427-2025")</f>
        <v/>
      </c>
      <c r="Y86">
        <f>HYPERLINK("https://klasma.github.io/Logging_2184/kartor_geotiff/A 19427-2025 georefererad karta.tif", "A 19427-2025")</f>
        <v/>
      </c>
      <c r="AA86">
        <f>HYPERLINK("https://klasma.github.io/Logging_2184/klagomål/A 19427-2025 FSC-klagomål.docx", "A 19427-2025")</f>
        <v/>
      </c>
      <c r="AB86">
        <f>HYPERLINK("https://klasma.github.io/Logging_2184/klagomålsmail/A 19427-2025 FSC-klagomål mail.docx", "A 19427-2025")</f>
        <v/>
      </c>
      <c r="AC86">
        <f>HYPERLINK("https://klasma.github.io/Logging_2184/tillsyn/A 19427-2025 tillsynsbegäran.docx", "A 19427-2025")</f>
        <v/>
      </c>
      <c r="AD86">
        <f>HYPERLINK("https://klasma.github.io/Logging_2184/tillsynsmail/A 19427-2025 tillsynsbegäran mail.docx", "A 19427-2025")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46320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53015-2024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45611</v>
      </c>
      <c r="E88" s="1" t="n">
        <v>46320</v>
      </c>
      <c r="F88" t="inlineStr">
        <is>
          <t>GÄVLEBORGS LÄN</t>
        </is>
      </c>
      <c r="G88" t="inlineStr">
        <is>
          <t>HUDIKSVALL</t>
        </is>
      </c>
      <c r="I88" t="n">
        <v>21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Stuplav</t>
        </is>
      </c>
      <c r="W88">
        <f>HYPERLINK("https://klasma.github.io/Logging_2184/artfynd/A 53015-2024 artfynd.xlsx", "A 53015-2024")</f>
        <v/>
      </c>
      <c r="X88">
        <f>HYPERLINK("https://klasma.github.io/Logging_2184/kartor/A 53015-2024 karta.png", "A 53015-2024")</f>
        <v/>
      </c>
      <c r="Y88">
        <f>HYPERLINK("https://klasma.github.io/Logging_2184/kartor_geotiff/A 53015-2024 georefererad karta.tif", "A 53015-2024")</f>
        <v/>
      </c>
      <c r="AA88">
        <f>HYPERLINK("https://klasma.github.io/Logging_2184/klagomål/A 53015-2024 FSC-klagomål.docx", "A 53015-2024")</f>
        <v/>
      </c>
      <c r="AB88">
        <f>HYPERLINK("https://klasma.github.io/Logging_2184/klagomålsmail/A 53015-2024 FSC-klagomål mail.docx", "A 53015-2024")</f>
        <v/>
      </c>
      <c r="AC88">
        <f>HYPERLINK("https://klasma.github.io/Logging_2184/tillsyn/A 53015-2024 tillsynsbegäran.docx", "A 53015-2024")</f>
        <v/>
      </c>
      <c r="AD88">
        <f>HYPERLINK("https://klasma.github.io/Logging_2184/tillsynsmail/A 53015-2024 tillsynsbegäran mail.docx", "A 53015-2024")</f>
        <v/>
      </c>
    </row>
    <row r="89" ht="15" customHeight="1">
      <c r="A89" t="inlineStr">
        <is>
          <t>A 55445-2024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46320</v>
      </c>
      <c r="F89" t="inlineStr">
        <is>
          <t>GÄVLEBORGS LÄN</t>
        </is>
      </c>
      <c r="G89" t="inlineStr">
        <is>
          <t>HUDIKSVALL</t>
        </is>
      </c>
      <c r="I89" t="n">
        <v>7.2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Spädstarr</t>
        </is>
      </c>
      <c r="W89">
        <f>HYPERLINK("https://klasma.github.io/Logging_2184/artfynd/A 55445-2024 artfynd.xlsx", "A 55445-2024")</f>
        <v/>
      </c>
      <c r="X89">
        <f>HYPERLINK("https://klasma.github.io/Logging_2184/kartor/A 55445-2024 karta.png", "A 55445-2024")</f>
        <v/>
      </c>
      <c r="Y89">
        <f>HYPERLINK("https://klasma.github.io/Logging_2184/kartor_geotiff/A 55445-2024 georefererad karta.tif", "A 55445-2024")</f>
        <v/>
      </c>
      <c r="AA89">
        <f>HYPERLINK("https://klasma.github.io/Logging_2184/klagomål/A 55445-2024 FSC-klagomål.docx", "A 55445-2024")</f>
        <v/>
      </c>
      <c r="AB89">
        <f>HYPERLINK("https://klasma.github.io/Logging_2184/klagomålsmail/A 55445-2024 FSC-klagomål mail.docx", "A 55445-2024")</f>
        <v/>
      </c>
      <c r="AC89">
        <f>HYPERLINK("https://klasma.github.io/Logging_2184/tillsyn/A 55445-2024 tillsynsbegäran.docx", "A 55445-2024")</f>
        <v/>
      </c>
      <c r="AD89">
        <f>HYPERLINK("https://klasma.github.io/Logging_2184/tillsynsmail/A 55445-2024 tillsynsbegäran mail.docx", "A 55445-2024")</f>
        <v/>
      </c>
    </row>
    <row r="90" ht="15" customHeight="1">
      <c r="A90" t="inlineStr">
        <is>
          <t>A 22131-2025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46320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HYPERLINK("https://klasma.github.io/Logging_2184/artfynd/A 22131-2025 artfynd.xlsx", "A 22131-2025")</f>
        <v/>
      </c>
      <c r="X90">
        <f>HYPERLINK("https://klasma.github.io/Logging_2184/kartor/A 22131-2025 karta.png", "A 22131-2025")</f>
        <v/>
      </c>
      <c r="Y90">
        <f>HYPERLINK("https://klasma.github.io/Logging_2184/kartor_geotiff/A 22131-2025 georefererad karta.tif", "A 22131-2025")</f>
        <v/>
      </c>
      <c r="Z90">
        <f>HYPERLINK("https://klasma.github.io/Logging_2184/knärot/A 22131-2025 karta knärot.png", "A 22131-2025")</f>
        <v/>
      </c>
      <c r="AA90">
        <f>HYPERLINK("https://klasma.github.io/Logging_2184/klagomål/A 22131-2025 FSC-klagomål.docx", "A 22131-2025")</f>
        <v/>
      </c>
      <c r="AB90">
        <f>HYPERLINK("https://klasma.github.io/Logging_2184/klagomålsmail/A 22131-2025 FSC-klagomål mail.docx", "A 22131-2025")</f>
        <v/>
      </c>
      <c r="AC90">
        <f>HYPERLINK("https://klasma.github.io/Logging_2184/tillsyn/A 22131-2025 tillsynsbegäran.docx", "A 22131-2025")</f>
        <v/>
      </c>
      <c r="AD90">
        <f>HYPERLINK("https://klasma.github.io/Logging_2184/tillsynsmail/A 22131-2025 tillsynsbegäran mail.docx", "A 22131-2025")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46320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HYPERLINK("https://klasma.github.io/Logging_2184/artfynd/A 36391-2025 artfynd.xlsx", "A 36391-2025")</f>
        <v/>
      </c>
      <c r="X91">
        <f>HYPERLINK("https://klasma.github.io/Logging_2184/kartor/A 36391-2025 karta.png", "A 36391-2025")</f>
        <v/>
      </c>
      <c r="Y91">
        <f>HYPERLINK("https://klasma.github.io/Logging_2184/kartor_geotiff/A 36391-2025 georefererad karta.tif", "A 36391-2025")</f>
        <v/>
      </c>
      <c r="AA91">
        <f>HYPERLINK("https://klasma.github.io/Logging_2184/klagomål/A 36391-2025 FSC-klagomål.docx", "A 36391-2025")</f>
        <v/>
      </c>
      <c r="AB91">
        <f>HYPERLINK("https://klasma.github.io/Logging_2184/klagomålsmail/A 36391-2025 FSC-klagomål mail.docx", "A 36391-2025")</f>
        <v/>
      </c>
      <c r="AC91">
        <f>HYPERLINK("https://klasma.github.io/Logging_2184/tillsyn/A 36391-2025 tillsynsbegäran.docx", "A 36391-2025")</f>
        <v/>
      </c>
      <c r="AD91">
        <f>HYPERLINK("https://klasma.github.io/Logging_2184/tillsynsmail/A 36391-2025 tillsynsbegäran mail.docx", "A 36391-2025")</f>
        <v/>
      </c>
    </row>
    <row r="92" ht="15" customHeight="1">
      <c r="A92" t="inlineStr">
        <is>
          <t>A 22859-2025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45790</v>
      </c>
      <c r="E92" s="1" t="n">
        <v>46320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14.7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HYPERLINK("https://klasma.github.io/Logging_2184/artfynd/A 22859-2025 artfynd.xlsx", "A 22859-2025")</f>
        <v/>
      </c>
      <c r="X92">
        <f>HYPERLINK("https://klasma.github.io/Logging_2184/kartor/A 22859-2025 karta.png", "A 22859-2025")</f>
        <v/>
      </c>
      <c r="Y92">
        <f>HYPERLINK("https://klasma.github.io/Logging_2184/kartor_geotiff/A 22859-2025 georefererad karta.tif", "A 22859-2025")</f>
        <v/>
      </c>
      <c r="Z92">
        <f>HYPERLINK("https://klasma.github.io/Logging_2184/knärot/A 22859-2025 karta knärot.png", "A 22859-2025")</f>
        <v/>
      </c>
      <c r="AA92">
        <f>HYPERLINK("https://klasma.github.io/Logging_2184/klagomål/A 22859-2025 FSC-klagomål.docx", "A 22859-2025")</f>
        <v/>
      </c>
      <c r="AB92">
        <f>HYPERLINK("https://klasma.github.io/Logging_2184/klagomålsmail/A 22859-2025 FSC-klagomål mail.docx", "A 22859-2025")</f>
        <v/>
      </c>
      <c r="AC92">
        <f>HYPERLINK("https://klasma.github.io/Logging_2184/tillsyn/A 22859-2025 tillsynsbegäran.docx", "A 22859-2025")</f>
        <v/>
      </c>
      <c r="AD92">
        <f>HYPERLINK("https://klasma.github.io/Logging_2184/tillsynsmail/A 22859-2025 tillsynsbegäran mail.docx", "A 22859-2025")</f>
        <v/>
      </c>
    </row>
    <row r="93" ht="15" customHeight="1">
      <c r="A93" t="inlineStr">
        <is>
          <t>A 23732-2025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45793</v>
      </c>
      <c r="E93" s="1" t="n">
        <v>46320</v>
      </c>
      <c r="F93" t="inlineStr">
        <is>
          <t>GÄVLEBORGS LÄN</t>
        </is>
      </c>
      <c r="G93" t="inlineStr">
        <is>
          <t>HUDIKSVALL</t>
        </is>
      </c>
      <c r="H93" t="inlineStr">
        <is>
          <t>Sveaskog</t>
        </is>
      </c>
      <c r="I93" t="n">
        <v>11.9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HYPERLINK("https://klasma.github.io/Logging_2184/artfynd/A 23732-2025 artfynd.xlsx", "A 23732-2025")</f>
        <v/>
      </c>
      <c r="X93">
        <f>HYPERLINK("https://klasma.github.io/Logging_2184/kartor/A 23732-2025 karta.png", "A 23732-2025")</f>
        <v/>
      </c>
      <c r="Y93">
        <f>HYPERLINK("https://klasma.github.io/Logging_2184/kartor_geotiff/A 23732-2025 georefererad karta.tif", "A 23732-2025")</f>
        <v/>
      </c>
      <c r="AA93">
        <f>HYPERLINK("https://klasma.github.io/Logging_2184/klagomål/A 23732-2025 FSC-klagomål.docx", "A 23732-2025")</f>
        <v/>
      </c>
      <c r="AB93">
        <f>HYPERLINK("https://klasma.github.io/Logging_2184/klagomålsmail/A 23732-2025 FSC-klagomål mail.docx", "A 23732-2025")</f>
        <v/>
      </c>
      <c r="AC93">
        <f>HYPERLINK("https://klasma.github.io/Logging_2184/tillsyn/A 23732-2025 tillsynsbegäran.docx", "A 23732-2025")</f>
        <v/>
      </c>
      <c r="AD93">
        <f>HYPERLINK("https://klasma.github.io/Logging_2184/tillsynsmail/A 23732-2025 tillsynsbegäran mail.docx", "A 23732-2025")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46320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4473-2026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46320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Tibast</t>
        </is>
      </c>
      <c r="W95">
        <f>HYPERLINK("https://klasma.github.io/Logging_2184/artfynd/A 4473-2026 artfynd.xlsx", "A 4473-2026")</f>
        <v/>
      </c>
      <c r="X95">
        <f>HYPERLINK("https://klasma.github.io/Logging_2184/kartor/A 4473-2026 karta.png", "A 4473-2026")</f>
        <v/>
      </c>
      <c r="Y95">
        <f>HYPERLINK("https://klasma.github.io/Logging_2184/kartor_geotiff/A 4473-2026 georefererad karta.tif", "A 4473-2026")</f>
        <v/>
      </c>
      <c r="AA95">
        <f>HYPERLINK("https://klasma.github.io/Logging_2184/klagomål/A 4473-2026 FSC-klagomål.docx", "A 4473-2026")</f>
        <v/>
      </c>
      <c r="AB95">
        <f>HYPERLINK("https://klasma.github.io/Logging_2184/klagomålsmail/A 4473-2026 FSC-klagomål mail.docx", "A 4473-2026")</f>
        <v/>
      </c>
      <c r="AC95">
        <f>HYPERLINK("https://klasma.github.io/Logging_2184/tillsyn/A 4473-2026 tillsynsbegäran.docx", "A 4473-2026")</f>
        <v/>
      </c>
      <c r="AD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46320</v>
      </c>
      <c r="F96" t="inlineStr">
        <is>
          <t>GÄVLEBORGS LÄN</t>
        </is>
      </c>
      <c r="G96" t="inlineStr">
        <is>
          <t>HUDIKSVALL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HYPERLINK("https://klasma.github.io/Logging_2184/artfynd/A 4844-2026 artfynd.xlsx", "A 4844-2026")</f>
        <v/>
      </c>
      <c r="X96">
        <f>HYPERLINK("https://klasma.github.io/Logging_2184/kartor/A 4844-2026 karta.png", "A 4844-2026")</f>
        <v/>
      </c>
      <c r="Y96">
        <f>HYPERLINK("https://klasma.github.io/Logging_2184/kartor_geotiff/A 4844-2026 georefererad karta.tif", "A 4844-2026")</f>
        <v/>
      </c>
      <c r="AA96">
        <f>HYPERLINK("https://klasma.github.io/Logging_2184/klagomål/A 4844-2026 FSC-klagomål.docx", "A 4844-2026")</f>
        <v/>
      </c>
      <c r="AB96">
        <f>HYPERLINK("https://klasma.github.io/Logging_2184/klagomålsmail/A 4844-2026 FSC-klagomål mail.docx", "A 4844-2026")</f>
        <v/>
      </c>
      <c r="AC96">
        <f>HYPERLINK("https://klasma.github.io/Logging_2184/tillsyn/A 4844-2026 tillsynsbegäran.docx", "A 4844-2026")</f>
        <v/>
      </c>
      <c r="AD96">
        <f>HYPERLINK("https://klasma.github.io/Logging_2184/tillsynsmail/A 4844-2026 tillsynsbegäran mail.docx", "A 4844-2026")</f>
        <v/>
      </c>
    </row>
    <row r="97" ht="15" customHeight="1">
      <c r="A97" t="inlineStr">
        <is>
          <t>A 25784-2025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46320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HYPERLINK("https://klasma.github.io/Logging_2184/artfynd/A 25784-2025 artfynd.xlsx", "A 25784-2025")</f>
        <v/>
      </c>
      <c r="X97">
        <f>HYPERLINK("https://klasma.github.io/Logging_2184/kartor/A 25784-2025 karta.png", "A 25784-2025")</f>
        <v/>
      </c>
      <c r="Y97">
        <f>HYPERLINK("https://klasma.github.io/Logging_2184/kartor_geotiff/A 25784-2025 georefererad karta.tif", "A 25784-2025")</f>
        <v/>
      </c>
      <c r="AA97">
        <f>HYPERLINK("https://klasma.github.io/Logging_2184/klagomål/A 25784-2025 FSC-klagomål.docx", "A 25784-2025")</f>
        <v/>
      </c>
      <c r="AB97">
        <f>HYPERLINK("https://klasma.github.io/Logging_2184/klagomålsmail/A 25784-2025 FSC-klagomål mail.docx", "A 25784-2025")</f>
        <v/>
      </c>
      <c r="AC97">
        <f>HYPERLINK("https://klasma.github.io/Logging_2184/tillsyn/A 25784-2025 tillsynsbegäran.docx", "A 25784-2025")</f>
        <v/>
      </c>
      <c r="AD97">
        <f>HYPERLINK("https://klasma.github.io/Logging_2184/tillsynsmail/A 25784-2025 tillsynsbegäran mail.docx", "A 25784-2025")</f>
        <v/>
      </c>
    </row>
    <row r="98" ht="15" customHeight="1">
      <c r="A98" t="inlineStr">
        <is>
          <t>A 25828-2025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46320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7.3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HYPERLINK("https://klasma.github.io/Logging_2184/artfynd/A 25828-2025 artfynd.xlsx", "A 25828-2025")</f>
        <v/>
      </c>
      <c r="X98">
        <f>HYPERLINK("https://klasma.github.io/Logging_2184/kartor/A 25828-2025 karta.png", "A 25828-2025")</f>
        <v/>
      </c>
      <c r="Y98">
        <f>HYPERLINK("https://klasma.github.io/Logging_2184/kartor_geotiff/A 25828-2025 georefererad karta.tif", "A 25828-2025")</f>
        <v/>
      </c>
      <c r="AA98">
        <f>HYPERLINK("https://klasma.github.io/Logging_2184/klagomål/A 25828-2025 FSC-klagomål.docx", "A 25828-2025")</f>
        <v/>
      </c>
      <c r="AB98">
        <f>HYPERLINK("https://klasma.github.io/Logging_2184/klagomålsmail/A 25828-2025 FSC-klagomål mail.docx", "A 25828-2025")</f>
        <v/>
      </c>
      <c r="AC98">
        <f>HYPERLINK("https://klasma.github.io/Logging_2184/tillsyn/A 25828-2025 tillsynsbegäran.docx", "A 25828-2025")</f>
        <v/>
      </c>
      <c r="AD98">
        <f>HYPERLINK("https://klasma.github.io/Logging_2184/tillsynsmail/A 25828-2025 tillsynsbegäran mail.docx", "A 25828-2025")</f>
        <v/>
      </c>
    </row>
    <row r="99" ht="15" customHeight="1">
      <c r="A99" t="inlineStr">
        <is>
          <t>A 7053-2026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46320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Stuplav</t>
        </is>
      </c>
      <c r="W99">
        <f>HYPERLINK("https://klasma.github.io/Logging_2184/artfynd/A 7053-2026 artfynd.xlsx", "A 7053-2026")</f>
        <v/>
      </c>
      <c r="X99">
        <f>HYPERLINK("https://klasma.github.io/Logging_2184/kartor/A 7053-2026 karta.png", "A 7053-2026")</f>
        <v/>
      </c>
      <c r="Y99">
        <f>HYPERLINK("https://klasma.github.io/Logging_2184/kartor_geotiff/A 7053-2026 georefererad karta.tif", "A 7053-2026")</f>
        <v/>
      </c>
      <c r="AA99">
        <f>HYPERLINK("https://klasma.github.io/Logging_2184/klagomål/A 7053-2026 FSC-klagomål.docx", "A 7053-2026")</f>
        <v/>
      </c>
      <c r="AB99">
        <f>HYPERLINK("https://klasma.github.io/Logging_2184/klagomålsmail/A 7053-2026 FSC-klagomål mail.docx", "A 7053-2026")</f>
        <v/>
      </c>
      <c r="AC99">
        <f>HYPERLINK("https://klasma.github.io/Logging_2184/tillsyn/A 7053-2026 tillsynsbegäran.docx", "A 7053-2026")</f>
        <v/>
      </c>
      <c r="AD99">
        <f>HYPERLINK("https://klasma.github.io/Logging_2184/tillsynsmail/A 7053-2026 tillsynsbegäran mail.docx", "A 7053-2026")</f>
        <v/>
      </c>
    </row>
    <row r="100" ht="15" customHeight="1">
      <c r="A100" t="inlineStr">
        <is>
          <t>A 22595-2025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46320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HYPERLINK("https://klasma.github.io/Logging_2184/artfynd/A 22595-2025 artfynd.xlsx", "A 22595-2025")</f>
        <v/>
      </c>
      <c r="X100">
        <f>HYPERLINK("https://klasma.github.io/Logging_2184/kartor/A 22595-2025 karta.png", "A 22595-2025")</f>
        <v/>
      </c>
      <c r="Y100">
        <f>HYPERLINK("https://klasma.github.io/Logging_2184/kartor_geotiff/A 22595-2025 georefererad karta.tif", "A 22595-2025")</f>
        <v/>
      </c>
      <c r="AA100">
        <f>HYPERLINK("https://klasma.github.io/Logging_2184/klagomål/A 22595-2025 FSC-klagomål.docx", "A 22595-2025")</f>
        <v/>
      </c>
      <c r="AB100">
        <f>HYPERLINK("https://klasma.github.io/Logging_2184/klagomålsmail/A 22595-2025 FSC-klagomål mail.docx", "A 22595-2025")</f>
        <v/>
      </c>
      <c r="AC100">
        <f>HYPERLINK("https://klasma.github.io/Logging_2184/tillsyn/A 22595-2025 tillsynsbegäran.docx", "A 22595-2025")</f>
        <v/>
      </c>
      <c r="AD100">
        <f>HYPERLINK("https://klasma.github.io/Logging_2184/tillsynsmail/A 22595-2025 tillsynsbegäran mail.docx", "A 22595-2025")</f>
        <v/>
      </c>
    </row>
    <row r="101" ht="15" customHeight="1">
      <c r="A101" t="inlineStr">
        <is>
          <t>A 27176-2025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46320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6.9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Vedtrappmossa</t>
        </is>
      </c>
      <c r="W101">
        <f>HYPERLINK("https://klasma.github.io/Logging_2184/artfynd/A 27176-2025 artfynd.xlsx", "A 27176-2025")</f>
        <v/>
      </c>
      <c r="X101">
        <f>HYPERLINK("https://klasma.github.io/Logging_2184/kartor/A 27176-2025 karta.png", "A 27176-2025")</f>
        <v/>
      </c>
      <c r="Y101">
        <f>HYPERLINK("https://klasma.github.io/Logging_2184/kartor_geotiff/A 27176-2025 georefererad karta.tif", "A 27176-2025")</f>
        <v/>
      </c>
      <c r="AA101">
        <f>HYPERLINK("https://klasma.github.io/Logging_2184/klagomål/A 27176-2025 FSC-klagomål.docx", "A 27176-2025")</f>
        <v/>
      </c>
      <c r="AB101">
        <f>HYPERLINK("https://klasma.github.io/Logging_2184/klagomålsmail/A 27176-2025 FSC-klagomål mail.docx", "A 27176-2025")</f>
        <v/>
      </c>
      <c r="AC101">
        <f>HYPERLINK("https://klasma.github.io/Logging_2184/tillsyn/A 27176-2025 tillsynsbegäran.docx", "A 27176-2025")</f>
        <v/>
      </c>
      <c r="AD101">
        <f>HYPERLINK("https://klasma.github.io/Logging_2184/tillsynsmail/A 27176-2025 tillsynsbegäran mail.docx", "A 27176-2025")</f>
        <v/>
      </c>
    </row>
    <row r="102" ht="15" customHeight="1">
      <c r="A102" t="inlineStr">
        <is>
          <t>A 28381-2025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46320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8.699999999999999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Revlummer</t>
        </is>
      </c>
      <c r="W102">
        <f>HYPERLINK("https://klasma.github.io/Logging_2184/artfynd/A 28381-2025 artfynd.xlsx", "A 28381-2025")</f>
        <v/>
      </c>
      <c r="X102">
        <f>HYPERLINK("https://klasma.github.io/Logging_2184/kartor/A 28381-2025 karta.png", "A 28381-2025")</f>
        <v/>
      </c>
      <c r="Y102">
        <f>HYPERLINK("https://klasma.github.io/Logging_2184/kartor_geotiff/A 28381-2025 georefererad karta.tif", "A 28381-2025")</f>
        <v/>
      </c>
      <c r="AA102">
        <f>HYPERLINK("https://klasma.github.io/Logging_2184/klagomål/A 28381-2025 FSC-klagomål.docx", "A 28381-2025")</f>
        <v/>
      </c>
      <c r="AB102">
        <f>HYPERLINK("https://klasma.github.io/Logging_2184/klagomålsmail/A 28381-2025 FSC-klagomål mail.docx", "A 28381-2025")</f>
        <v/>
      </c>
      <c r="AC102">
        <f>HYPERLINK("https://klasma.github.io/Logging_2184/tillsyn/A 28381-2025 tillsynsbegäran.docx", "A 28381-2025")</f>
        <v/>
      </c>
      <c r="AD102">
        <f>HYPERLINK("https://klasma.github.io/Logging_2184/tillsynsmail/A 28381-2025 tillsynsbegäran mail.docx", "A 28381-2025")</f>
        <v/>
      </c>
    </row>
    <row r="103" ht="15" customHeight="1">
      <c r="A103" t="inlineStr">
        <is>
          <t>A 34540-2026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46255</v>
      </c>
      <c r="E103" s="1" t="n">
        <v>46320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17.9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HYPERLINK("https://klasma.github.io/Logging_2184/artfynd/A 34540-2026 artfynd.xlsx", "A 34540-2026")</f>
        <v/>
      </c>
      <c r="X103">
        <f>HYPERLINK("https://klasma.github.io/Logging_2184/kartor/A 34540-2026 karta.png", "A 34540-2026")</f>
        <v/>
      </c>
      <c r="Y103">
        <f>HYPERLINK("https://klasma.github.io/Logging_2184/kartor_geotiff/A 34540-2026 georefererad karta.tif", "A 34540-2026")</f>
        <v/>
      </c>
      <c r="AA103">
        <f>HYPERLINK("https://klasma.github.io/Logging_2184/klagomål/A 34540-2026 FSC-klagomål.docx", "A 34540-2026")</f>
        <v/>
      </c>
      <c r="AB103">
        <f>HYPERLINK("https://klasma.github.io/Logging_2184/klagomålsmail/A 34540-2026 FSC-klagomål mail.docx", "A 34540-2026")</f>
        <v/>
      </c>
      <c r="AC103">
        <f>HYPERLINK("https://klasma.github.io/Logging_2184/tillsyn/A 34540-2026 tillsynsbegäran.docx", "A 34540-2026")</f>
        <v/>
      </c>
      <c r="AD103">
        <f>HYPERLINK("https://klasma.github.io/Logging_2184/tillsynsmail/A 34540-2026 tillsynsbegäran mail.docx", "A 34540-2026")</f>
        <v/>
      </c>
    </row>
    <row r="104" ht="15" customHeight="1">
      <c r="A104" t="inlineStr">
        <is>
          <t>A 58239-2024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46320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Kungsörn</t>
        </is>
      </c>
      <c r="W104">
        <f>HYPERLINK("https://klasma.github.io/Logging_2184/artfynd/A 58239-2024 artfynd.xlsx", "A 58239-2024")</f>
        <v/>
      </c>
      <c r="X104">
        <f>HYPERLINK("https://klasma.github.io/Logging_2184/kartor/A 58239-2024 karta.png", "A 58239-2024")</f>
        <v/>
      </c>
      <c r="Y104">
        <f>HYPERLINK("https://klasma.github.io/Logging_2184/kartor_geotiff/A 58239-2024 georefererad karta.tif", "A 58239-2024")</f>
        <v/>
      </c>
      <c r="AA104">
        <f>HYPERLINK("https://klasma.github.io/Logging_2184/klagomål/A 58239-2024 FSC-klagomål.docx", "A 58239-2024")</f>
        <v/>
      </c>
      <c r="AB104">
        <f>HYPERLINK("https://klasma.github.io/Logging_2184/klagomålsmail/A 58239-2024 FSC-klagomål mail.docx", "A 58239-2024")</f>
        <v/>
      </c>
      <c r="AC104">
        <f>HYPERLINK("https://klasma.github.io/Logging_2184/tillsyn/A 58239-2024 tillsynsbegäran.docx", "A 58239-2024")</f>
        <v/>
      </c>
      <c r="AD104">
        <f>HYPERLINK("https://klasma.github.io/Logging_2184/tillsynsmail/A 58239-2024 tillsynsbegäran mail.docx", "A 58239-2024")</f>
        <v/>
      </c>
      <c r="AE104">
        <f>HYPERLINK("https://klasma.github.io/Logging_2184/fåglar/A 58239-2024 prioriterade fågelarter.docx", "A 58239-2024")</f>
        <v/>
      </c>
    </row>
    <row r="105" ht="15" customHeight="1">
      <c r="A105" t="inlineStr">
        <is>
          <t>A 51760-2025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46320</v>
      </c>
      <c r="F105" t="inlineStr">
        <is>
          <t>GÄVLEBORGS LÄN</t>
        </is>
      </c>
      <c r="G105" t="inlineStr">
        <is>
          <t>HUDIKSVALL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HYPERLINK("https://klasma.github.io/Logging_2184/artfynd/A 51760-2025 artfynd.xlsx", "A 51760-2025")</f>
        <v/>
      </c>
      <c r="X105">
        <f>HYPERLINK("https://klasma.github.io/Logging_2184/kartor/A 51760-2025 karta.png", "A 51760-2025")</f>
        <v/>
      </c>
      <c r="Y105">
        <f>HYPERLINK("https://klasma.github.io/Logging_2184/kartor_geotiff/A 51760-2025 georefererad karta.tif", "A 51760-2025")</f>
        <v/>
      </c>
      <c r="AA105">
        <f>HYPERLINK("https://klasma.github.io/Logging_2184/klagomål/A 51760-2025 FSC-klagomål.docx", "A 51760-2025")</f>
        <v/>
      </c>
      <c r="AB105">
        <f>HYPERLINK("https://klasma.github.io/Logging_2184/klagomålsmail/A 51760-2025 FSC-klagomål mail.docx", "A 51760-2025")</f>
        <v/>
      </c>
      <c r="AC105">
        <f>HYPERLINK("https://klasma.github.io/Logging_2184/tillsyn/A 51760-2025 tillsynsbegäran.docx", "A 51760-2025")</f>
        <v/>
      </c>
      <c r="AD105">
        <f>HYPERLINK("https://klasma.github.io/Logging_2184/tillsynsmail/A 51760-2025 tillsynsbegäran mail.docx", "A 51760-2025")</f>
        <v/>
      </c>
    </row>
    <row r="106" ht="15" customHeight="1">
      <c r="A106" t="inlineStr">
        <is>
          <t>A 42892-2026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46310</v>
      </c>
      <c r="E106" s="1" t="n">
        <v>46320</v>
      </c>
      <c r="F106" t="inlineStr">
        <is>
          <t>GÄVLEBORGS LÄN</t>
        </is>
      </c>
      <c r="G106" t="inlineStr">
        <is>
          <t>HUDIKSVALL</t>
        </is>
      </c>
      <c r="I106" t="n">
        <v>8.6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Orange taggsvamp</t>
        </is>
      </c>
      <c r="W106">
        <f>HYPERLINK("https://klasma.github.io/Logging_2184/artfynd/A 42892-2026 artfynd.xlsx", "A 42892-2026")</f>
        <v/>
      </c>
      <c r="X106">
        <f>HYPERLINK("https://klasma.github.io/Logging_2184/kartor/A 42892-2026 karta.png", "A 42892-2026")</f>
        <v/>
      </c>
      <c r="Y106">
        <f>HYPERLINK("https://klasma.github.io/Logging_2184/kartor_geotiff/A 42892-2026 georefererad karta.tif", "A 42892-2026")</f>
        <v/>
      </c>
      <c r="AA106">
        <f>HYPERLINK("https://klasma.github.io/Logging_2184/klagomål/A 42892-2026 FSC-klagomål.docx", "A 42892-2026")</f>
        <v/>
      </c>
      <c r="AB106">
        <f>HYPERLINK("https://klasma.github.io/Logging_2184/klagomålsmail/A 42892-2026 FSC-klagomål mail.docx", "A 42892-2026")</f>
        <v/>
      </c>
      <c r="AC106">
        <f>HYPERLINK("https://klasma.github.io/Logging_2184/tillsyn/A 42892-2026 tillsynsbegäran.docx", "A 42892-2026")</f>
        <v/>
      </c>
      <c r="AD106">
        <f>HYPERLINK("https://klasma.github.io/Logging_2184/tillsynsmail/A 42892-2026 tillsynsbegäran mail.docx", "A 42892-2026")</f>
        <v/>
      </c>
    </row>
    <row r="107" ht="15" customHeight="1">
      <c r="A107" t="inlineStr">
        <is>
          <t>A 31802-2025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46320</v>
      </c>
      <c r="F107" t="inlineStr">
        <is>
          <t>GÄVLEBORGS LÄN</t>
        </is>
      </c>
      <c r="G107" t="inlineStr">
        <is>
          <t>HUDIKSVALL</t>
        </is>
      </c>
      <c r="I107" t="n">
        <v>2.2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Stor aspticka</t>
        </is>
      </c>
      <c r="W107">
        <f>HYPERLINK("https://klasma.github.io/Logging_2184/artfynd/A 31802-2025 artfynd.xlsx", "A 31802-2025")</f>
        <v/>
      </c>
      <c r="X107">
        <f>HYPERLINK("https://klasma.github.io/Logging_2184/kartor/A 31802-2025 karta.png", "A 31802-2025")</f>
        <v/>
      </c>
      <c r="Y107">
        <f>HYPERLINK("https://klasma.github.io/Logging_2184/kartor_geotiff/A 31802-2025 georefererad karta.tif", "A 31802-2025")</f>
        <v/>
      </c>
      <c r="AA107">
        <f>HYPERLINK("https://klasma.github.io/Logging_2184/klagomål/A 31802-2025 FSC-klagomål.docx", "A 31802-2025")</f>
        <v/>
      </c>
      <c r="AB107">
        <f>HYPERLINK("https://klasma.github.io/Logging_2184/klagomålsmail/A 31802-2025 FSC-klagomål mail.docx", "A 31802-2025")</f>
        <v/>
      </c>
      <c r="AC107">
        <f>HYPERLINK("https://klasma.github.io/Logging_2184/tillsyn/A 31802-2025 tillsynsbegäran.docx", "A 31802-2025")</f>
        <v/>
      </c>
      <c r="AD107">
        <f>HYPERLINK("https://klasma.github.io/Logging_2184/tillsynsmail/A 31802-2025 tillsynsbegäran mail.docx", "A 31802-2025")</f>
        <v/>
      </c>
    </row>
    <row r="108" ht="15" customHeight="1">
      <c r="A108" t="inlineStr">
        <is>
          <t>A 4107-2026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46320</v>
      </c>
      <c r="F108" t="inlineStr">
        <is>
          <t>GÄVLEBORGS LÄN</t>
        </is>
      </c>
      <c r="G108" t="inlineStr">
        <is>
          <t>HUDIKSVALL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Järpe</t>
        </is>
      </c>
      <c r="W108">
        <f>HYPERLINK("https://klasma.github.io/Logging_2184/artfynd/A 4107-2026 artfynd.xlsx", "A 4107-2026")</f>
        <v/>
      </c>
      <c r="X108">
        <f>HYPERLINK("https://klasma.github.io/Logging_2184/kartor/A 4107-2026 karta.png", "A 4107-2026")</f>
        <v/>
      </c>
      <c r="Y108">
        <f>HYPERLINK("https://klasma.github.io/Logging_2184/kartor_geotiff/A 4107-2026 georefererad karta.tif", "A 4107-2026")</f>
        <v/>
      </c>
      <c r="AA108">
        <f>HYPERLINK("https://klasma.github.io/Logging_2184/klagomål/A 4107-2026 FSC-klagomål.docx", "A 4107-2026")</f>
        <v/>
      </c>
      <c r="AB108">
        <f>HYPERLINK("https://klasma.github.io/Logging_2184/klagomålsmail/A 4107-2026 FSC-klagomål mail.docx", "A 4107-2026")</f>
        <v/>
      </c>
      <c r="AC108">
        <f>HYPERLINK("https://klasma.github.io/Logging_2184/tillsyn/A 4107-2026 tillsynsbegäran.docx", "A 4107-2026")</f>
        <v/>
      </c>
      <c r="AD108">
        <f>HYPERLINK("https://klasma.github.io/Logging_2184/tillsynsmail/A 4107-2026 tillsynsbegäran mail.docx", "A 4107-2026")</f>
        <v/>
      </c>
      <c r="AE108">
        <f>HYPERLINK("https://klasma.github.io/Logging_2184/fåglar/A 4107-2026 prioriterade fågelarter.docx", "A 4107-2026")</f>
        <v/>
      </c>
    </row>
    <row r="109" ht="15" customHeight="1">
      <c r="A109" t="inlineStr">
        <is>
          <t>A 20640-2026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46320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20640-2026 artfynd.xlsx", "A 20640-2026")</f>
        <v/>
      </c>
      <c r="X109">
        <f>HYPERLINK("https://klasma.github.io/Logging_2184/kartor/A 20640-2026 karta.png", "A 20640-2026")</f>
        <v/>
      </c>
      <c r="Y109">
        <f>HYPERLINK("https://klasma.github.io/Logging_2184/kartor_geotiff/A 20640-2026 georefererad karta.tif", "A 20640-2026")</f>
        <v/>
      </c>
      <c r="Z109">
        <f>HYPERLINK("https://klasma.github.io/Logging_2184/knärot/A 20640-2026 karta knärot.png", "A 20640-2026")</f>
        <v/>
      </c>
      <c r="AA109">
        <f>HYPERLINK("https://klasma.github.io/Logging_2184/klagomål/A 20640-2026 FSC-klagomål.docx", "A 20640-2026")</f>
        <v/>
      </c>
      <c r="AB109">
        <f>HYPERLINK("https://klasma.github.io/Logging_2184/klagomålsmail/A 20640-2026 FSC-klagomål mail.docx", "A 20640-2026")</f>
        <v/>
      </c>
      <c r="AC109">
        <f>HYPERLINK("https://klasma.github.io/Logging_2184/tillsyn/A 20640-2026 tillsynsbegäran.docx", "A 20640-2026")</f>
        <v/>
      </c>
      <c r="AD109">
        <f>HYPERLINK("https://klasma.github.io/Logging_2184/tillsynsmail/A 20640-2026 tillsynsbegäran mail.docx", "A 20640-2026")</f>
        <v/>
      </c>
    </row>
    <row r="110" ht="15" customHeight="1">
      <c r="A110" t="inlineStr">
        <is>
          <t>A 8157-2025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45708</v>
      </c>
      <c r="E110" s="1" t="n">
        <v>46320</v>
      </c>
      <c r="F110" t="inlineStr">
        <is>
          <t>GÄVLEBORGS LÄN</t>
        </is>
      </c>
      <c r="G110" t="inlineStr">
        <is>
          <t>HUDIKSVALL</t>
        </is>
      </c>
      <c r="I110" t="n">
        <v>7.7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HYPERLINK("https://klasma.github.io/Logging_2184/artfynd/A 8157-2025 artfynd.xlsx", "A 8157-2025")</f>
        <v/>
      </c>
      <c r="X110">
        <f>HYPERLINK("https://klasma.github.io/Logging_2184/kartor/A 8157-2025 karta.png", "A 8157-2025")</f>
        <v/>
      </c>
      <c r="Y110">
        <f>HYPERLINK("https://klasma.github.io/Logging_2184/kartor_geotiff/A 8157-2025 georefererad karta.tif", "A 8157-2025")</f>
        <v/>
      </c>
      <c r="AA110">
        <f>HYPERLINK("https://klasma.github.io/Logging_2184/klagomål/A 8157-2025 FSC-klagomål.docx", "A 8157-2025")</f>
        <v/>
      </c>
      <c r="AB110">
        <f>HYPERLINK("https://klasma.github.io/Logging_2184/klagomålsmail/A 8157-2025 FSC-klagomål mail.docx", "A 8157-2025")</f>
        <v/>
      </c>
      <c r="AC110">
        <f>HYPERLINK("https://klasma.github.io/Logging_2184/tillsyn/A 8157-2025 tillsynsbegäran.docx", "A 8157-2025")</f>
        <v/>
      </c>
      <c r="AD110">
        <f>HYPERLINK("https://klasma.github.io/Logging_2184/tillsynsmail/A 8157-2025 tillsynsbegäran mail.docx", "A 8157-2025")</f>
        <v/>
      </c>
    </row>
    <row r="111" ht="15" customHeight="1">
      <c r="A111" t="inlineStr">
        <is>
          <t>A 29337-2024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45483</v>
      </c>
      <c r="E111" s="1" t="n">
        <v>46320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Järpe</t>
        </is>
      </c>
      <c r="W111">
        <f>HYPERLINK("https://klasma.github.io/Logging_2184/artfynd/A 29337-2024 artfynd.xlsx", "A 29337-2024")</f>
        <v/>
      </c>
      <c r="X111">
        <f>HYPERLINK("https://klasma.github.io/Logging_2184/kartor/A 29337-2024 karta.png", "A 29337-2024")</f>
        <v/>
      </c>
      <c r="Y111">
        <f>HYPERLINK("https://klasma.github.io/Logging_2184/kartor_geotiff/A 29337-2024 georefererad karta.tif", "A 29337-2024")</f>
        <v/>
      </c>
      <c r="AA111">
        <f>HYPERLINK("https://klasma.github.io/Logging_2184/klagomål/A 29337-2024 FSC-klagomål.docx", "A 29337-2024")</f>
        <v/>
      </c>
      <c r="AB111">
        <f>HYPERLINK("https://klasma.github.io/Logging_2184/klagomålsmail/A 29337-2024 FSC-klagomål mail.docx", "A 29337-2024")</f>
        <v/>
      </c>
      <c r="AC111">
        <f>HYPERLINK("https://klasma.github.io/Logging_2184/tillsyn/A 29337-2024 tillsynsbegäran.docx", "A 29337-2024")</f>
        <v/>
      </c>
      <c r="AD111">
        <f>HYPERLINK("https://klasma.github.io/Logging_2184/tillsynsmail/A 29337-2024 tillsynsbegäran mail.docx", "A 29337-2024")</f>
        <v/>
      </c>
      <c r="AE111">
        <f>HYPERLINK("https://klasma.github.io/Logging_2184/fåglar/A 29337-2024 prioriterade fågelarter.docx", "A 29337-2024")</f>
        <v/>
      </c>
    </row>
    <row r="112" ht="15" customHeight="1">
      <c r="A112" t="inlineStr">
        <is>
          <t>A 47116-2024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46320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0.6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Mörk husmossa</t>
        </is>
      </c>
      <c r="W112">
        <f>HYPERLINK("https://klasma.github.io/Logging_2184/artfynd/A 47116-2024 artfynd.xlsx", "A 47116-2024")</f>
        <v/>
      </c>
      <c r="X112">
        <f>HYPERLINK("https://klasma.github.io/Logging_2184/kartor/A 47116-2024 karta.png", "A 47116-2024")</f>
        <v/>
      </c>
      <c r="Y112">
        <f>HYPERLINK("https://klasma.github.io/Logging_2184/kartor_geotiff/A 47116-2024 georefererad karta.tif", "A 47116-2024")</f>
        <v/>
      </c>
      <c r="AA112">
        <f>HYPERLINK("https://klasma.github.io/Logging_2184/klagomål/A 47116-2024 FSC-klagomål.docx", "A 47116-2024")</f>
        <v/>
      </c>
      <c r="AB112">
        <f>HYPERLINK("https://klasma.github.io/Logging_2184/klagomålsmail/A 47116-2024 FSC-klagomål mail.docx", "A 47116-2024")</f>
        <v/>
      </c>
      <c r="AC112">
        <f>HYPERLINK("https://klasma.github.io/Logging_2184/tillsyn/A 47116-2024 tillsynsbegäran.docx", "A 47116-2024")</f>
        <v/>
      </c>
      <c r="AD112">
        <f>HYPERLINK("https://klasma.github.io/Logging_2184/tillsynsmail/A 47116-2024 tillsynsbegäran mail.docx", "A 47116-2024")</f>
        <v/>
      </c>
    </row>
    <row r="113" ht="15" customHeight="1">
      <c r="A113" t="inlineStr">
        <is>
          <t>A 8051-2024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46320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12.9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Bronshjon</t>
        </is>
      </c>
      <c r="W113">
        <f>HYPERLINK("https://klasma.github.io/Logging_2184/artfynd/A 8051-2024 artfynd.xlsx", "A 8051-2024")</f>
        <v/>
      </c>
      <c r="X113">
        <f>HYPERLINK("https://klasma.github.io/Logging_2184/kartor/A 8051-2024 karta.png", "A 8051-2024")</f>
        <v/>
      </c>
      <c r="Y113">
        <f>HYPERLINK("https://klasma.github.io/Logging_2184/kartor_geotiff/A 8051-2024 georefererad karta.tif", "A 8051-2024")</f>
        <v/>
      </c>
      <c r="AA113">
        <f>HYPERLINK("https://klasma.github.io/Logging_2184/klagomål/A 8051-2024 FSC-klagomål.docx", "A 8051-2024")</f>
        <v/>
      </c>
      <c r="AB113">
        <f>HYPERLINK("https://klasma.github.io/Logging_2184/klagomålsmail/A 8051-2024 FSC-klagomål mail.docx", "A 8051-2024")</f>
        <v/>
      </c>
      <c r="AC113">
        <f>HYPERLINK("https://klasma.github.io/Logging_2184/tillsyn/A 8051-2024 tillsynsbegäran.docx", "A 8051-2024")</f>
        <v/>
      </c>
      <c r="AD113">
        <f>HYPERLINK("https://klasma.github.io/Logging_2184/tillsynsmail/A 8051-2024 tillsynsbegäran mail.docx", "A 8051-2024")</f>
        <v/>
      </c>
    </row>
    <row r="114" ht="15" customHeight="1">
      <c r="A114" t="inlineStr">
        <is>
          <t>A 5977-2025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45695</v>
      </c>
      <c r="E114" s="1" t="n">
        <v>46320</v>
      </c>
      <c r="F114" t="inlineStr">
        <is>
          <t>GÄVLEBORGS LÄN</t>
        </is>
      </c>
      <c r="G114" t="inlineStr">
        <is>
          <t>HUDIKSVALL</t>
        </is>
      </c>
      <c r="I114" t="n">
        <v>4.9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Jorduggla</t>
        </is>
      </c>
      <c r="W114">
        <f>HYPERLINK("https://klasma.github.io/Logging_2184/artfynd/A 5977-2025 artfynd.xlsx", "A 5977-2025")</f>
        <v/>
      </c>
      <c r="X114">
        <f>HYPERLINK("https://klasma.github.io/Logging_2184/kartor/A 5977-2025 karta.png", "A 5977-2025")</f>
        <v/>
      </c>
      <c r="Y114">
        <f>HYPERLINK("https://klasma.github.io/Logging_2184/kartor_geotiff/A 5977-2025 georefererad karta.tif", "A 5977-2025")</f>
        <v/>
      </c>
      <c r="AA114">
        <f>HYPERLINK("https://klasma.github.io/Logging_2184/klagomål/A 5977-2025 FSC-klagomål.docx", "A 5977-2025")</f>
        <v/>
      </c>
      <c r="AB114">
        <f>HYPERLINK("https://klasma.github.io/Logging_2184/klagomålsmail/A 5977-2025 FSC-klagomål mail.docx", "A 5977-2025")</f>
        <v/>
      </c>
      <c r="AC114">
        <f>HYPERLINK("https://klasma.github.io/Logging_2184/tillsyn/A 5977-2025 tillsynsbegäran.docx", "A 5977-2025")</f>
        <v/>
      </c>
      <c r="AD114">
        <f>HYPERLINK("https://klasma.github.io/Logging_2184/tillsynsmail/A 5977-2025 tillsynsbegäran mail.docx", "A 5977-2025")</f>
        <v/>
      </c>
      <c r="AE114">
        <f>HYPERLINK("https://klasma.github.io/Logging_2184/fåglar/A 5977-2025 prioriterade fågelarter.docx", "A 5977-2025")</f>
        <v/>
      </c>
    </row>
    <row r="115" ht="15" customHeight="1">
      <c r="A115" t="inlineStr">
        <is>
          <t>A 5983-2025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46320</v>
      </c>
      <c r="F115" t="inlineStr">
        <is>
          <t>GÄVLEBORGS LÄN</t>
        </is>
      </c>
      <c r="G115" t="inlineStr">
        <is>
          <t>HUDIKSVALL</t>
        </is>
      </c>
      <c r="I115" t="n">
        <v>3.9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Jorduggla</t>
        </is>
      </c>
      <c r="W115">
        <f>HYPERLINK("https://klasma.github.io/Logging_2184/artfynd/A 5983-2025 artfynd.xlsx", "A 5983-2025")</f>
        <v/>
      </c>
      <c r="X115">
        <f>HYPERLINK("https://klasma.github.io/Logging_2184/kartor/A 5983-2025 karta.png", "A 5983-2025")</f>
        <v/>
      </c>
      <c r="Y115">
        <f>HYPERLINK("https://klasma.github.io/Logging_2184/kartor_geotiff/A 5983-2025 georefererad karta.tif", "A 5983-2025")</f>
        <v/>
      </c>
      <c r="AA115">
        <f>HYPERLINK("https://klasma.github.io/Logging_2184/klagomål/A 5983-2025 FSC-klagomål.docx", "A 5983-2025")</f>
        <v/>
      </c>
      <c r="AB115">
        <f>HYPERLINK("https://klasma.github.io/Logging_2184/klagomålsmail/A 5983-2025 FSC-klagomål mail.docx", "A 5983-2025")</f>
        <v/>
      </c>
      <c r="AC115">
        <f>HYPERLINK("https://klasma.github.io/Logging_2184/tillsyn/A 5983-2025 tillsynsbegäran.docx", "A 5983-2025")</f>
        <v/>
      </c>
      <c r="AD115">
        <f>HYPERLINK("https://klasma.github.io/Logging_2184/tillsynsmail/A 5983-2025 tillsynsbegäran mail.docx", "A 5983-2025")</f>
        <v/>
      </c>
      <c r="AE115">
        <f>HYPERLINK("https://klasma.github.io/Logging_2184/fåglar/A 5983-2025 prioriterade fågelarter.docx", "A 5983-2025")</f>
        <v/>
      </c>
    </row>
    <row r="116" ht="15" customHeight="1">
      <c r="A116" t="inlineStr">
        <is>
          <t>A 15883-2023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45022</v>
      </c>
      <c r="E116" s="1" t="n">
        <v>46320</v>
      </c>
      <c r="F116" t="inlineStr">
        <is>
          <t>GÄVLEBORGS LÄN</t>
        </is>
      </c>
      <c r="G116" t="inlineStr">
        <is>
          <t>HUDIKSVALL</t>
        </is>
      </c>
      <c r="I116" t="n">
        <v>9.6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HYPERLINK("https://klasma.github.io/Logging_2184/artfynd/A 15883-2023 artfynd.xlsx", "A 15883-2023")</f>
        <v/>
      </c>
      <c r="X116">
        <f>HYPERLINK("https://klasma.github.io/Logging_2184/kartor/A 15883-2023 karta.png", "A 15883-2023")</f>
        <v/>
      </c>
      <c r="Y116">
        <f>HYPERLINK("https://klasma.github.io/Logging_2184/kartor_geotiff/A 15883-2023 georefererad karta.tif", "A 15883-2023")</f>
        <v/>
      </c>
      <c r="Z116">
        <f>HYPERLINK("https://klasma.github.io/Logging_2184/knärot/A 15883-2023 karta knärot.png", "A 15883-2023")</f>
        <v/>
      </c>
      <c r="AA116">
        <f>HYPERLINK("https://klasma.github.io/Logging_2184/klagomål/A 15883-2023 FSC-klagomål.docx", "A 15883-2023")</f>
        <v/>
      </c>
      <c r="AB116">
        <f>HYPERLINK("https://klasma.github.io/Logging_2184/klagomålsmail/A 15883-2023 FSC-klagomål mail.docx", "A 15883-2023")</f>
        <v/>
      </c>
      <c r="AC116">
        <f>HYPERLINK("https://klasma.github.io/Logging_2184/tillsyn/A 15883-2023 tillsynsbegäran.docx", "A 15883-2023")</f>
        <v/>
      </c>
      <c r="AD116">
        <f>HYPERLINK("https://klasma.github.io/Logging_2184/tillsynsmail/A 15883-2023 tillsynsbegäran mail.docx", "A 15883-2023")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46320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46320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46320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46320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46320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46320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46320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46320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44813</v>
      </c>
      <c r="E125" s="1" t="n">
        <v>46320</v>
      </c>
      <c r="F125" t="inlineStr">
        <is>
          <t>GÄVLEBORGS LÄN</t>
        </is>
      </c>
      <c r="G125" t="inlineStr">
        <is>
          <t>HUDIKSVALL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44881</v>
      </c>
      <c r="E126" s="1" t="n">
        <v>46320</v>
      </c>
      <c r="F126" t="inlineStr">
        <is>
          <t>GÄVLEBORGS LÄN</t>
        </is>
      </c>
      <c r="G126" t="inlineStr">
        <is>
          <t>HUDIKSVALL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46320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46320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46320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46320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44535</v>
      </c>
      <c r="E131" s="1" t="n">
        <v>46320</v>
      </c>
      <c r="F131" t="inlineStr">
        <is>
          <t>GÄVLEBORGS LÄN</t>
        </is>
      </c>
      <c r="G131" t="inlineStr">
        <is>
          <t>HUDIKSVALL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54706-2022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44883</v>
      </c>
      <c r="E132" s="1" t="n">
        <v>46320</v>
      </c>
      <c r="F132" t="inlineStr">
        <is>
          <t>GÄVLEBORGS LÄN</t>
        </is>
      </c>
      <c r="G132" t="inlineStr">
        <is>
          <t>HUDIKSVALL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46320</v>
      </c>
      <c r="F133" t="inlineStr">
        <is>
          <t>GÄVLEBORGS LÄN</t>
        </is>
      </c>
      <c r="G133" t="inlineStr">
        <is>
          <t>HUDIKSVALL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46320</v>
      </c>
      <c r="F134" t="inlineStr">
        <is>
          <t>GÄVLEBORGS LÄN</t>
        </is>
      </c>
      <c r="G134" t="inlineStr">
        <is>
          <t>HUDIKSVALL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46320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46320</v>
      </c>
      <c r="F136" t="inlineStr">
        <is>
          <t>GÄVLEBORGS LÄN</t>
        </is>
      </c>
      <c r="G136" t="inlineStr">
        <is>
          <t>HUDIKSVALL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44706</v>
      </c>
      <c r="E137" s="1" t="n">
        <v>46320</v>
      </c>
      <c r="F137" t="inlineStr">
        <is>
          <t>GÄVLEBORGS LÄN</t>
        </is>
      </c>
      <c r="G137" t="inlineStr">
        <is>
          <t>HUDIKSVALL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44670</v>
      </c>
      <c r="E138" s="1" t="n">
        <v>46320</v>
      </c>
      <c r="F138" t="inlineStr">
        <is>
          <t>GÄVLEBORGS LÄN</t>
        </is>
      </c>
      <c r="G138" t="inlineStr">
        <is>
          <t>HUDIKSVALL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46320</v>
      </c>
      <c r="F139" t="inlineStr">
        <is>
          <t>GÄVLEBORGS LÄN</t>
        </is>
      </c>
      <c r="G139" t="inlineStr">
        <is>
          <t>HUDIKSVALL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62321-2021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46320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46320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46320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46320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46320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46320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46320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46320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46320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46320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46320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46320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46320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46320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46320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46320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46320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46320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46320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46320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46320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46320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46320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46320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46320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46320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46320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46320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46320</v>
      </c>
      <c r="F168" t="inlineStr">
        <is>
          <t>GÄVLEBORGS LÄN</t>
        </is>
      </c>
      <c r="G168" t="inlineStr">
        <is>
          <t>HUDIKSVALL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46320</v>
      </c>
      <c r="F169" t="inlineStr">
        <is>
          <t>GÄVLEBORGS LÄN</t>
        </is>
      </c>
      <c r="G169" t="inlineStr">
        <is>
          <t>HUDIKSVALL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45520</v>
      </c>
      <c r="E170" s="1" t="n">
        <v>46320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46320</v>
      </c>
      <c r="F171" t="inlineStr">
        <is>
          <t>GÄVLEBORGS LÄN</t>
        </is>
      </c>
      <c r="G171" t="inlineStr">
        <is>
          <t>HUDIKSVALL</t>
        </is>
      </c>
      <c r="I171" t="n">
        <v>66.59999999999999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46320</v>
      </c>
      <c r="F172" t="inlineStr">
        <is>
          <t>GÄVLEBORGS LÄN</t>
        </is>
      </c>
      <c r="G172" t="inlineStr">
        <is>
          <t>HUDIKSVALL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45627</v>
      </c>
      <c r="E173" s="1" t="n">
        <v>46320</v>
      </c>
      <c r="F173" t="inlineStr">
        <is>
          <t>GÄVLEBORGS LÄN</t>
        </is>
      </c>
      <c r="G173" t="inlineStr">
        <is>
          <t>HUDIKSVALL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46320</v>
      </c>
      <c r="F174" t="inlineStr">
        <is>
          <t>GÄVLEBORGS LÄN</t>
        </is>
      </c>
      <c r="G174" t="inlineStr">
        <is>
          <t>HUDIKSVALL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45055</v>
      </c>
      <c r="E175" s="1" t="n">
        <v>46320</v>
      </c>
      <c r="F175" t="inlineStr">
        <is>
          <t>GÄVLEBORGS LÄN</t>
        </is>
      </c>
      <c r="G175" t="inlineStr">
        <is>
          <t>HUDIKSVALL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46320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46320</v>
      </c>
      <c r="F177" t="inlineStr">
        <is>
          <t>GÄVLEBORGS LÄN</t>
        </is>
      </c>
      <c r="G177" t="inlineStr">
        <is>
          <t>HUDIKSVALL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46320</v>
      </c>
      <c r="F178" t="inlineStr">
        <is>
          <t>GÄVLEBORGS LÄN</t>
        </is>
      </c>
      <c r="G178" t="inlineStr">
        <is>
          <t>HUDIKSVALL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46320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46320</v>
      </c>
      <c r="F180" t="inlineStr">
        <is>
          <t>GÄVLEBORGS LÄN</t>
        </is>
      </c>
      <c r="G180" t="inlineStr">
        <is>
          <t>HUDIKSVALL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46320</v>
      </c>
      <c r="F181" t="inlineStr">
        <is>
          <t>GÄVLEBORGS LÄN</t>
        </is>
      </c>
      <c r="G181" t="inlineStr">
        <is>
          <t>HUDIKSVALL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46320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46320</v>
      </c>
      <c r="F183" t="inlineStr">
        <is>
          <t>GÄVLEBORGS LÄN</t>
        </is>
      </c>
      <c r="G183" t="inlineStr">
        <is>
          <t>HUDIKSVALL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46320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45676</v>
      </c>
      <c r="E185" s="1" t="n">
        <v>46320</v>
      </c>
      <c r="F185" t="inlineStr">
        <is>
          <t>GÄVLEBORGS LÄN</t>
        </is>
      </c>
      <c r="G185" t="inlineStr">
        <is>
          <t>HUDIKSVALL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46320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45512</v>
      </c>
      <c r="E187" s="1" t="n">
        <v>46320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46320</v>
      </c>
      <c r="F188" t="inlineStr">
        <is>
          <t>GÄVLEBORGS LÄN</t>
        </is>
      </c>
      <c r="G188" t="inlineStr">
        <is>
          <t>HUDIKSVALL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46320</v>
      </c>
      <c r="F189" t="inlineStr">
        <is>
          <t>GÄVLEBORGS LÄN</t>
        </is>
      </c>
      <c r="G189" t="inlineStr">
        <is>
          <t>HUDIKSVALL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46320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46320</v>
      </c>
      <c r="F191" t="inlineStr">
        <is>
          <t>GÄVLEBORGS LÄN</t>
        </is>
      </c>
      <c r="G191" t="inlineStr">
        <is>
          <t>HUDIKSVALL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46320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46320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16995-2024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46320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46320</v>
      </c>
      <c r="F195" t="inlineStr">
        <is>
          <t>GÄVLEBORGS LÄN</t>
        </is>
      </c>
      <c r="G195" t="inlineStr">
        <is>
          <t>HUDIKSVALL</t>
        </is>
      </c>
      <c r="H195" t="inlineStr">
        <is>
          <t>Kommuner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45883</v>
      </c>
      <c r="E196" s="1" t="n">
        <v>46320</v>
      </c>
      <c r="F196" t="inlineStr">
        <is>
          <t>GÄVLEBORGS LÄN</t>
        </is>
      </c>
      <c r="G196" t="inlineStr">
        <is>
          <t>HUDIKSVALL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40474-2025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45895</v>
      </c>
      <c r="E197" s="1" t="n">
        <v>46320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46320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46320</v>
      </c>
      <c r="F199" t="inlineStr">
        <is>
          <t>GÄVLEBORGS LÄN</t>
        </is>
      </c>
      <c r="G199" t="inlineStr">
        <is>
          <t>HUDIKSVALL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46320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45535</v>
      </c>
      <c r="E201" s="1" t="n">
        <v>46320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46320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46320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8027-2024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45350</v>
      </c>
      <c r="E204" s="1" t="n">
        <v>46320</v>
      </c>
      <c r="F204" t="inlineStr">
        <is>
          <t>GÄVLEBORGS LÄN</t>
        </is>
      </c>
      <c r="G204" t="inlineStr">
        <is>
          <t>HUDIKSVALL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46320</v>
      </c>
      <c r="F205" t="inlineStr">
        <is>
          <t>GÄVLEBORGS LÄN</t>
        </is>
      </c>
      <c r="G205" t="inlineStr">
        <is>
          <t>HUDIKSVALL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46320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46320</v>
      </c>
      <c r="F207" t="inlineStr">
        <is>
          <t>GÄVLEBORGS LÄN</t>
        </is>
      </c>
      <c r="G207" t="inlineStr">
        <is>
          <t>HUDIKSVALL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45359</v>
      </c>
      <c r="E208" s="1" t="n">
        <v>46320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46320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45736</v>
      </c>
      <c r="E210" s="1" t="n">
        <v>46320</v>
      </c>
      <c r="F210" t="inlineStr">
        <is>
          <t>GÄVLEBORGS LÄN</t>
        </is>
      </c>
      <c r="G210" t="inlineStr">
        <is>
          <t>HUDIKSVALL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46320</v>
      </c>
      <c r="F211" t="inlineStr">
        <is>
          <t>GÄVLEBORGS LÄN</t>
        </is>
      </c>
      <c r="G211" t="inlineStr">
        <is>
          <t>HUDIKSVALL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46320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46320</v>
      </c>
      <c r="F213" t="inlineStr">
        <is>
          <t>GÄVLEBORGS LÄN</t>
        </is>
      </c>
      <c r="G213" t="inlineStr">
        <is>
          <t>HUDIKSVALL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46320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57199-2022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44895</v>
      </c>
      <c r="E215" s="1" t="n">
        <v>46320</v>
      </c>
      <c r="F215" t="inlineStr">
        <is>
          <t>GÄVLEBORGS LÄN</t>
        </is>
      </c>
      <c r="G215" t="inlineStr">
        <is>
          <t>HUDIKSVALL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46320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46320</v>
      </c>
      <c r="F217" t="inlineStr">
        <is>
          <t>GÄVLEBORGS LÄN</t>
        </is>
      </c>
      <c r="G217" t="inlineStr">
        <is>
          <t>HUDIKSVALL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46320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46320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42981-2022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44833</v>
      </c>
      <c r="E220" s="1" t="n">
        <v>46320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46320</v>
      </c>
      <c r="F221" t="inlineStr">
        <is>
          <t>GÄVLEBORGS LÄN</t>
        </is>
      </c>
      <c r="G221" t="inlineStr">
        <is>
          <t>HUDIKSVALL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46320</v>
      </c>
      <c r="F222" t="inlineStr">
        <is>
          <t>GÄVLEBORGS LÄN</t>
        </is>
      </c>
      <c r="G222" t="inlineStr">
        <is>
          <t>HUDIKSVALL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44634</v>
      </c>
      <c r="E223" s="1" t="n">
        <v>46320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46320</v>
      </c>
      <c r="F224" t="inlineStr">
        <is>
          <t>GÄVLEBORGS LÄN</t>
        </is>
      </c>
      <c r="G224" t="inlineStr">
        <is>
          <t>HUDIKSVALL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46320</v>
      </c>
      <c r="F225" t="inlineStr">
        <is>
          <t>GÄVLEBORGS LÄN</t>
        </is>
      </c>
      <c r="G225" t="inlineStr">
        <is>
          <t>HUDIKSVALL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44616</v>
      </c>
      <c r="E226" s="1" t="n">
        <v>46320</v>
      </c>
      <c r="F226" t="inlineStr">
        <is>
          <t>GÄVLEBORGS LÄN</t>
        </is>
      </c>
      <c r="G226" t="inlineStr">
        <is>
          <t>HUDIKSVALL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46320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46161</v>
      </c>
      <c r="E228" s="1" t="n">
        <v>46320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46320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45618</v>
      </c>
      <c r="E230" s="1" t="n">
        <v>46320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46320</v>
      </c>
      <c r="F231" t="inlineStr">
        <is>
          <t>GÄVLEBORGS LÄN</t>
        </is>
      </c>
      <c r="G231" t="inlineStr">
        <is>
          <t>HUDIKSVALL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46320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46320</v>
      </c>
      <c r="F233" t="inlineStr">
        <is>
          <t>GÄVLEBORGS LÄN</t>
        </is>
      </c>
      <c r="G233" t="inlineStr">
        <is>
          <t>HUDIKSVALL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46320</v>
      </c>
      <c r="F234" t="inlineStr">
        <is>
          <t>GÄVLEBORGS LÄN</t>
        </is>
      </c>
      <c r="G234" t="inlineStr">
        <is>
          <t>HUDIKSVALL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44792</v>
      </c>
      <c r="E235" s="1" t="n">
        <v>46320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45477</v>
      </c>
      <c r="E236" s="1" t="n">
        <v>46320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46320</v>
      </c>
      <c r="F237" t="inlineStr">
        <is>
          <t>GÄVLEBORGS LÄN</t>
        </is>
      </c>
      <c r="G237" t="inlineStr">
        <is>
          <t>HUDIKSVALL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45426</v>
      </c>
      <c r="E238" s="1" t="n">
        <v>46320</v>
      </c>
      <c r="F238" t="inlineStr">
        <is>
          <t>GÄVLEBORGS LÄN</t>
        </is>
      </c>
      <c r="G238" t="inlineStr">
        <is>
          <t>HUDIKSVALL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46320</v>
      </c>
      <c r="F239" t="inlineStr">
        <is>
          <t>GÄVLEBORGS LÄN</t>
        </is>
      </c>
      <c r="G239" t="inlineStr">
        <is>
          <t>HUDIKSVALL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46320</v>
      </c>
      <c r="F240" t="inlineStr">
        <is>
          <t>GÄVLEBORGS LÄN</t>
        </is>
      </c>
      <c r="G240" t="inlineStr">
        <is>
          <t>HUDIKSVALL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46320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45912</v>
      </c>
      <c r="E242" s="1" t="n">
        <v>46320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46320</v>
      </c>
      <c r="F243" t="inlineStr">
        <is>
          <t>GÄVLEBORGS LÄN</t>
        </is>
      </c>
      <c r="G243" t="inlineStr">
        <is>
          <t>HUDIKSVALL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45912</v>
      </c>
      <c r="E244" s="1" t="n">
        <v>46320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46320</v>
      </c>
      <c r="F245" t="inlineStr">
        <is>
          <t>GÄVLEBORGS LÄN</t>
        </is>
      </c>
      <c r="G245" t="inlineStr">
        <is>
          <t>HUDIKSVALL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46320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46320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46320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46320</v>
      </c>
      <c r="F249" t="inlineStr">
        <is>
          <t>GÄVLEBORGS LÄN</t>
        </is>
      </c>
      <c r="G249" t="inlineStr">
        <is>
          <t>HUDIKSVALL</t>
        </is>
      </c>
      <c r="I249" t="n">
        <v>16.2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46320</v>
      </c>
      <c r="F250" t="inlineStr">
        <is>
          <t>GÄVLEBORGS LÄN</t>
        </is>
      </c>
      <c r="G250" t="inlineStr">
        <is>
          <t>HUDIKSVALL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46320</v>
      </c>
      <c r="F251" t="inlineStr">
        <is>
          <t>GÄVLEBORGS LÄN</t>
        </is>
      </c>
      <c r="G251" t="inlineStr">
        <is>
          <t>HUDIKSVALL</t>
        </is>
      </c>
      <c r="H251" t="inlineStr">
        <is>
          <t>Kommuner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46320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46320</v>
      </c>
      <c r="F253" t="inlineStr">
        <is>
          <t>GÄVLEBORGS LÄN</t>
        </is>
      </c>
      <c r="G253" t="inlineStr">
        <is>
          <t>HUDIKSVALL</t>
        </is>
      </c>
      <c r="H253" t="inlineStr">
        <is>
          <t>Kyrkan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46320</v>
      </c>
      <c r="F254" t="inlineStr">
        <is>
          <t>GÄVLEBORGS LÄN</t>
        </is>
      </c>
      <c r="G254" t="inlineStr">
        <is>
          <t>HUDIKSVALL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46320</v>
      </c>
      <c r="F255" t="inlineStr">
        <is>
          <t>GÄVLEBORGS LÄN</t>
        </is>
      </c>
      <c r="G255" t="inlineStr">
        <is>
          <t>HUDIKSVALL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46320</v>
      </c>
      <c r="F256" t="inlineStr">
        <is>
          <t>GÄVLEBORGS LÄN</t>
        </is>
      </c>
      <c r="G256" t="inlineStr">
        <is>
          <t>HUDIKSVALL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46320</v>
      </c>
      <c r="F257" t="inlineStr">
        <is>
          <t>GÄVLEBORGS LÄN</t>
        </is>
      </c>
      <c r="G257" t="inlineStr">
        <is>
          <t>HUDIKSVALL</t>
        </is>
      </c>
      <c r="I257" t="n">
        <v>17.2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46320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46320</v>
      </c>
      <c r="F259" t="inlineStr">
        <is>
          <t>GÄVLEBORGS LÄN</t>
        </is>
      </c>
      <c r="G259" t="inlineStr">
        <is>
          <t>HUDIKSVALL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46320</v>
      </c>
      <c r="F260" t="inlineStr">
        <is>
          <t>GÄVLEBORGS LÄN</t>
        </is>
      </c>
      <c r="G260" t="inlineStr">
        <is>
          <t>HUDIKSVALL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46320</v>
      </c>
      <c r="F261" t="inlineStr">
        <is>
          <t>GÄVLEBORGS LÄN</t>
        </is>
      </c>
      <c r="G261" t="inlineStr">
        <is>
          <t>HUDIKSVALL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45691</v>
      </c>
      <c r="E262" s="1" t="n">
        <v>46320</v>
      </c>
      <c r="F262" t="inlineStr">
        <is>
          <t>GÄVLEBORGS LÄN</t>
        </is>
      </c>
      <c r="G262" t="inlineStr">
        <is>
          <t>HUDIKSVALL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46320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46320</v>
      </c>
      <c r="F264" t="inlineStr">
        <is>
          <t>GÄVLEBORGS LÄN</t>
        </is>
      </c>
      <c r="G264" t="inlineStr">
        <is>
          <t>HUDIKSVALL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46320</v>
      </c>
      <c r="F265" t="inlineStr">
        <is>
          <t>GÄVLEBORGS LÄN</t>
        </is>
      </c>
      <c r="G265" t="inlineStr">
        <is>
          <t>HUDIKSVALL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19641-2023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45051</v>
      </c>
      <c r="E266" s="1" t="n">
        <v>46320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46320</v>
      </c>
      <c r="F267" t="inlineStr">
        <is>
          <t>GÄVLEBORGS LÄN</t>
        </is>
      </c>
      <c r="G267" t="inlineStr">
        <is>
          <t>HUDIKSVALL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46320</v>
      </c>
      <c r="F268" t="inlineStr">
        <is>
          <t>GÄVLEBORGS LÄN</t>
        </is>
      </c>
      <c r="G268" t="inlineStr">
        <is>
          <t>HUDIKSVALL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45698</v>
      </c>
      <c r="E269" s="1" t="n">
        <v>46320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21.6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46320</v>
      </c>
      <c r="F270" t="inlineStr">
        <is>
          <t>GÄVLEBORGS LÄN</t>
        </is>
      </c>
      <c r="G270" t="inlineStr">
        <is>
          <t>HUDIKSVALL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45705</v>
      </c>
      <c r="E271" s="1" t="n">
        <v>46320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9.199999999999999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46320</v>
      </c>
      <c r="F272" t="inlineStr">
        <is>
          <t>GÄVLEBORGS LÄN</t>
        </is>
      </c>
      <c r="G272" t="inlineStr">
        <is>
          <t>HUDIKSVALL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46320</v>
      </c>
      <c r="F273" t="inlineStr">
        <is>
          <t>GÄVLEBORGS LÄN</t>
        </is>
      </c>
      <c r="G273" t="inlineStr">
        <is>
          <t>HUDIKSVALL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60917-2023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45261</v>
      </c>
      <c r="E274" s="1" t="n">
        <v>46320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46320</v>
      </c>
      <c r="F275" t="inlineStr">
        <is>
          <t>GÄVLEBORGS LÄN</t>
        </is>
      </c>
      <c r="G275" t="inlineStr">
        <is>
          <t>HUDIKSVALL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46320</v>
      </c>
      <c r="F276" t="inlineStr">
        <is>
          <t>GÄVLEBORGS LÄN</t>
        </is>
      </c>
      <c r="G276" t="inlineStr">
        <is>
          <t>HUDIKSVALL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46320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46320</v>
      </c>
      <c r="F278" t="inlineStr">
        <is>
          <t>GÄVLEBORGS LÄN</t>
        </is>
      </c>
      <c r="G278" t="inlineStr">
        <is>
          <t>HUDIKSVALL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46320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46320</v>
      </c>
      <c r="F280" t="inlineStr">
        <is>
          <t>GÄVLEBORGS LÄN</t>
        </is>
      </c>
      <c r="G280" t="inlineStr">
        <is>
          <t>HUDIKSVALL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46320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46320</v>
      </c>
      <c r="F282" t="inlineStr">
        <is>
          <t>GÄVLEBORGS LÄN</t>
        </is>
      </c>
      <c r="G282" t="inlineStr">
        <is>
          <t>HUDIKSVALL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46320</v>
      </c>
      <c r="F283" t="inlineStr">
        <is>
          <t>GÄVLEBORGS LÄN</t>
        </is>
      </c>
      <c r="G283" t="inlineStr">
        <is>
          <t>HUDIKSVALL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46320</v>
      </c>
      <c r="F284" t="inlineStr">
        <is>
          <t>GÄVLEBORGS LÄN</t>
        </is>
      </c>
      <c r="G284" t="inlineStr">
        <is>
          <t>HUDIKSVALL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46320</v>
      </c>
      <c r="F285" t="inlineStr">
        <is>
          <t>GÄVLEBORGS LÄN</t>
        </is>
      </c>
      <c r="G285" t="inlineStr">
        <is>
          <t>HUDIKSVALL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68662-2021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46320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46320</v>
      </c>
      <c r="F287" t="inlineStr">
        <is>
          <t>GÄVLEBORGS LÄN</t>
        </is>
      </c>
      <c r="G287" t="inlineStr">
        <is>
          <t>HUDIKSVALL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46320</v>
      </c>
      <c r="F288" t="inlineStr">
        <is>
          <t>GÄVLEBORGS LÄN</t>
        </is>
      </c>
      <c r="G288" t="inlineStr">
        <is>
          <t>HUDIKSVALL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46320</v>
      </c>
      <c r="F289" t="inlineStr">
        <is>
          <t>GÄVLEBORGS LÄN</t>
        </is>
      </c>
      <c r="G289" t="inlineStr">
        <is>
          <t>HUDIKSVALL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46320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18.3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46320</v>
      </c>
      <c r="F291" t="inlineStr">
        <is>
          <t>GÄVLEBORGS LÄN</t>
        </is>
      </c>
      <c r="G291" t="inlineStr">
        <is>
          <t>HUDIKSVALL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45391</v>
      </c>
      <c r="E292" s="1" t="n">
        <v>46320</v>
      </c>
      <c r="F292" t="inlineStr">
        <is>
          <t>GÄVLEBORGS LÄN</t>
        </is>
      </c>
      <c r="G292" t="inlineStr">
        <is>
          <t>HUDIKSVALL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46320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46320</v>
      </c>
      <c r="F294" t="inlineStr">
        <is>
          <t>GÄVLEBORGS LÄN</t>
        </is>
      </c>
      <c r="G294" t="inlineStr">
        <is>
          <t>HUDIKSVALL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46320</v>
      </c>
      <c r="F295" t="inlineStr">
        <is>
          <t>GÄVLEBORGS LÄN</t>
        </is>
      </c>
      <c r="G295" t="inlineStr">
        <is>
          <t>HUDIKSVALL</t>
        </is>
      </c>
      <c r="I295" t="n">
        <v>16.4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45930</v>
      </c>
      <c r="E296" s="1" t="n">
        <v>46320</v>
      </c>
      <c r="F296" t="inlineStr">
        <is>
          <t>GÄVLEBORGS LÄN</t>
        </is>
      </c>
      <c r="G296" t="inlineStr">
        <is>
          <t>HUDIKSVALL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46320</v>
      </c>
      <c r="F297" t="inlineStr">
        <is>
          <t>GÄVLEBORGS LÄN</t>
        </is>
      </c>
      <c r="G297" t="inlineStr">
        <is>
          <t>HUDIKSVALL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46320</v>
      </c>
      <c r="F298" t="inlineStr">
        <is>
          <t>GÄVLEBORGS LÄN</t>
        </is>
      </c>
      <c r="G298" t="inlineStr">
        <is>
          <t>HUDIKSVALL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45929</v>
      </c>
      <c r="E299" s="1" t="n">
        <v>46320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46320</v>
      </c>
      <c r="F300" t="inlineStr">
        <is>
          <t>GÄVLEBORGS LÄN</t>
        </is>
      </c>
      <c r="G300" t="inlineStr">
        <is>
          <t>HUDIKSVALL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44980</v>
      </c>
      <c r="E301" s="1" t="n">
        <v>46320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46320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46320</v>
      </c>
      <c r="F303" t="inlineStr">
        <is>
          <t>GÄVLEBORGS LÄN</t>
        </is>
      </c>
      <c r="G303" t="inlineStr">
        <is>
          <t>HUDIKSVALL</t>
        </is>
      </c>
      <c r="I303" t="n">
        <v>20.1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44795</v>
      </c>
      <c r="E304" s="1" t="n">
        <v>46320</v>
      </c>
      <c r="F304" t="inlineStr">
        <is>
          <t>GÄVLEBORGS LÄN</t>
        </is>
      </c>
      <c r="G304" t="inlineStr">
        <is>
          <t>HUDIKSVALL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46320</v>
      </c>
      <c r="F305" t="inlineStr">
        <is>
          <t>GÄVLEBORGS LÄN</t>
        </is>
      </c>
      <c r="G305" t="inlineStr">
        <is>
          <t>HUDIKSVALL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45124</v>
      </c>
      <c r="E306" s="1" t="n">
        <v>46320</v>
      </c>
      <c r="F306" t="inlineStr">
        <is>
          <t>GÄVLEBORGS LÄN</t>
        </is>
      </c>
      <c r="G306" t="inlineStr">
        <is>
          <t>HUDIKSVALL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46320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53.6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44929</v>
      </c>
      <c r="E308" s="1" t="n">
        <v>46320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46320</v>
      </c>
      <c r="F309" t="inlineStr">
        <is>
          <t>GÄVLEBORGS LÄN</t>
        </is>
      </c>
      <c r="G309" t="inlineStr">
        <is>
          <t>HUDIKSVALL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46320</v>
      </c>
      <c r="F310" t="inlineStr">
        <is>
          <t>GÄVLEBORGS LÄN</t>
        </is>
      </c>
      <c r="G310" t="inlineStr">
        <is>
          <t>HUDIKSVALL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46320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45487</v>
      </c>
      <c r="E312" s="1" t="n">
        <v>46320</v>
      </c>
      <c r="F312" t="inlineStr">
        <is>
          <t>GÄVLEBORGS LÄN</t>
        </is>
      </c>
      <c r="G312" t="inlineStr">
        <is>
          <t>HUDIKSVALL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46320</v>
      </c>
      <c r="F313" t="inlineStr">
        <is>
          <t>GÄVLEBORGS LÄN</t>
        </is>
      </c>
      <c r="G313" t="inlineStr">
        <is>
          <t>HUDIKSVALL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46320</v>
      </c>
      <c r="F314" t="inlineStr">
        <is>
          <t>GÄVLEBORGS LÄN</t>
        </is>
      </c>
      <c r="G314" t="inlineStr">
        <is>
          <t>HUDIKSVALL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46320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46320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44907</v>
      </c>
      <c r="E317" s="1" t="n">
        <v>46320</v>
      </c>
      <c r="F317" t="inlineStr">
        <is>
          <t>GÄVLEBORGS LÄN</t>
        </is>
      </c>
      <c r="G317" t="inlineStr">
        <is>
          <t>HUDIKSVALL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46320</v>
      </c>
      <c r="F318" t="inlineStr">
        <is>
          <t>GÄVLEBORGS LÄN</t>
        </is>
      </c>
      <c r="G318" t="inlineStr">
        <is>
          <t>HUDIKSVALL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45639</v>
      </c>
      <c r="E319" s="1" t="n">
        <v>46320</v>
      </c>
      <c r="F319" t="inlineStr">
        <is>
          <t>GÄVLEBORGS LÄN</t>
        </is>
      </c>
      <c r="G319" t="inlineStr">
        <is>
          <t>HUDIKSVALL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46320</v>
      </c>
      <c r="F320" t="inlineStr">
        <is>
          <t>GÄVLEBORGS LÄN</t>
        </is>
      </c>
      <c r="G320" t="inlineStr">
        <is>
          <t>HUDIKSVALL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46320</v>
      </c>
      <c r="F321" t="inlineStr">
        <is>
          <t>GÄVLEBORGS LÄN</t>
        </is>
      </c>
      <c r="G321" t="inlineStr">
        <is>
          <t>HUDIKSVALL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45359</v>
      </c>
      <c r="E322" s="1" t="n">
        <v>46320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45569</v>
      </c>
      <c r="E323" s="1" t="n">
        <v>46320</v>
      </c>
      <c r="F323" t="inlineStr">
        <is>
          <t>GÄVLEBORGS LÄN</t>
        </is>
      </c>
      <c r="G323" t="inlineStr">
        <is>
          <t>HUDIKSVALL</t>
        </is>
      </c>
      <c r="H323" t="inlineStr">
        <is>
          <t>Kommuner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46320</v>
      </c>
      <c r="F324" t="inlineStr">
        <is>
          <t>GÄVLEBORGS LÄN</t>
        </is>
      </c>
      <c r="G324" t="inlineStr">
        <is>
          <t>HUDIKSVALL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46320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46320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45513</v>
      </c>
      <c r="E327" s="1" t="n">
        <v>46320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44972</v>
      </c>
      <c r="E328" s="1" t="n">
        <v>46320</v>
      </c>
      <c r="F328" t="inlineStr">
        <is>
          <t>GÄVLEBORGS LÄN</t>
        </is>
      </c>
      <c r="G328" t="inlineStr">
        <is>
          <t>HUDIKSVALL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67088-2021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44522</v>
      </c>
      <c r="E329" s="1" t="n">
        <v>46320</v>
      </c>
      <c r="F329" t="inlineStr">
        <is>
          <t>GÄVLEBORGS LÄN</t>
        </is>
      </c>
      <c r="G329" t="inlineStr">
        <is>
          <t>HUDIKSVALL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44908</v>
      </c>
      <c r="E330" s="1" t="n">
        <v>46320</v>
      </c>
      <c r="F330" t="inlineStr">
        <is>
          <t>GÄVLEBORGS LÄN</t>
        </is>
      </c>
      <c r="G330" t="inlineStr">
        <is>
          <t>HUDIKSVALL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46320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46320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45058</v>
      </c>
      <c r="E333" s="1" t="n">
        <v>46320</v>
      </c>
      <c r="F333" t="inlineStr">
        <is>
          <t>GÄVLEBORGS LÄN</t>
        </is>
      </c>
      <c r="G333" t="inlineStr">
        <is>
          <t>HUDIKSVALL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45432</v>
      </c>
      <c r="E334" s="1" t="n">
        <v>46320</v>
      </c>
      <c r="F334" t="inlineStr">
        <is>
          <t>GÄVLEBORGS LÄN</t>
        </is>
      </c>
      <c r="G334" t="inlineStr">
        <is>
          <t>HUDIKSVALL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46320</v>
      </c>
      <c r="F335" t="inlineStr">
        <is>
          <t>GÄVLEBORGS LÄN</t>
        </is>
      </c>
      <c r="G335" t="inlineStr">
        <is>
          <t>HUDIKSVALL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45456</v>
      </c>
      <c r="E336" s="1" t="n">
        <v>46320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46320</v>
      </c>
      <c r="F337" t="inlineStr">
        <is>
          <t>GÄVLEBORGS LÄN</t>
        </is>
      </c>
      <c r="G337" t="inlineStr">
        <is>
          <t>HUDIKSVALL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46320</v>
      </c>
      <c r="F338" t="inlineStr">
        <is>
          <t>GÄVLEBORGS LÄN</t>
        </is>
      </c>
      <c r="G338" t="inlineStr">
        <is>
          <t>HUDIKSVALL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46320</v>
      </c>
      <c r="F339" t="inlineStr">
        <is>
          <t>GÄVLEBORGS LÄN</t>
        </is>
      </c>
      <c r="G339" t="inlineStr">
        <is>
          <t>HUDIKSVALL</t>
        </is>
      </c>
      <c r="I339" t="n">
        <v>9.699999999999999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46320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46320</v>
      </c>
      <c r="F341" t="inlineStr">
        <is>
          <t>GÄVLEBORGS LÄN</t>
        </is>
      </c>
      <c r="G341" t="inlineStr">
        <is>
          <t>HUDIKSVALL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46320</v>
      </c>
      <c r="F342" t="inlineStr">
        <is>
          <t>GÄVLEBORGS LÄN</t>
        </is>
      </c>
      <c r="G342" t="inlineStr">
        <is>
          <t>HUDIKSVALL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46320</v>
      </c>
      <c r="F343" t="inlineStr">
        <is>
          <t>GÄVLEBORGS LÄN</t>
        </is>
      </c>
      <c r="G343" t="inlineStr">
        <is>
          <t>HUDIKSVALL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46320</v>
      </c>
      <c r="F344" t="inlineStr">
        <is>
          <t>GÄVLEBORGS LÄN</t>
        </is>
      </c>
      <c r="G344" t="inlineStr">
        <is>
          <t>HUDIKSVALL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46320</v>
      </c>
      <c r="F345" t="inlineStr">
        <is>
          <t>GÄVLEBORGS LÄN</t>
        </is>
      </c>
      <c r="G345" t="inlineStr">
        <is>
          <t>HUDIKSVALL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46320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46320</v>
      </c>
      <c r="F347" t="inlineStr">
        <is>
          <t>GÄVLEBORGS LÄN</t>
        </is>
      </c>
      <c r="G347" t="inlineStr">
        <is>
          <t>HUDIKSVALL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46320</v>
      </c>
      <c r="F348" t="inlineStr">
        <is>
          <t>GÄVLEBORGS LÄN</t>
        </is>
      </c>
      <c r="G348" t="inlineStr">
        <is>
          <t>HUDIKSVALL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46320</v>
      </c>
      <c r="F349" t="inlineStr">
        <is>
          <t>GÄVLEBORGS LÄN</t>
        </is>
      </c>
      <c r="G349" t="inlineStr">
        <is>
          <t>HUDIKSVALL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46320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45132</v>
      </c>
      <c r="E351" s="1" t="n">
        <v>46320</v>
      </c>
      <c r="F351" t="inlineStr">
        <is>
          <t>GÄVLEBORGS LÄN</t>
        </is>
      </c>
      <c r="G351" t="inlineStr">
        <is>
          <t>HUDIKSVALL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46320</v>
      </c>
      <c r="F352" t="inlineStr">
        <is>
          <t>GÄVLEBORGS LÄN</t>
        </is>
      </c>
      <c r="G352" t="inlineStr">
        <is>
          <t>HUDIKSVALL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46320</v>
      </c>
      <c r="F353" t="inlineStr">
        <is>
          <t>GÄVLEBORGS LÄN</t>
        </is>
      </c>
      <c r="G353" t="inlineStr">
        <is>
          <t>HUDIKSVALL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49713-2022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44862</v>
      </c>
      <c r="E354" s="1" t="n">
        <v>46320</v>
      </c>
      <c r="F354" t="inlineStr">
        <is>
          <t>GÄVLEBORGS LÄN</t>
        </is>
      </c>
      <c r="G354" t="inlineStr">
        <is>
          <t>HUDIKSVALL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46320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46320</v>
      </c>
      <c r="F356" t="inlineStr">
        <is>
          <t>GÄVLEBORGS LÄN</t>
        </is>
      </c>
      <c r="G356" t="inlineStr">
        <is>
          <t>HUDIKSVALL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46320</v>
      </c>
      <c r="F357" t="inlineStr">
        <is>
          <t>GÄVLEBORGS LÄN</t>
        </is>
      </c>
      <c r="G357" t="inlineStr">
        <is>
          <t>HUDIKSVALL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46320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37638-2022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44810</v>
      </c>
      <c r="E359" s="1" t="n">
        <v>46320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37681-2022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44810</v>
      </c>
      <c r="E360" s="1" t="n">
        <v>46320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46320</v>
      </c>
      <c r="F361" t="inlineStr">
        <is>
          <t>GÄVLEBORGS LÄN</t>
        </is>
      </c>
      <c r="G361" t="inlineStr">
        <is>
          <t>HUDIKSVALL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46320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45649</v>
      </c>
      <c r="E363" s="1" t="n">
        <v>46320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45649</v>
      </c>
      <c r="E364" s="1" t="n">
        <v>46320</v>
      </c>
      <c r="F364" t="inlineStr">
        <is>
          <t>GÄVLEBORGS LÄN</t>
        </is>
      </c>
      <c r="G364" t="inlineStr">
        <is>
          <t>HUDIKSVALL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46320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46320</v>
      </c>
      <c r="F366" t="inlineStr">
        <is>
          <t>GÄVLEBORGS LÄN</t>
        </is>
      </c>
      <c r="G366" t="inlineStr">
        <is>
          <t>HUDIKSVALL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45527</v>
      </c>
      <c r="E367" s="1" t="n">
        <v>46320</v>
      </c>
      <c r="F367" t="inlineStr">
        <is>
          <t>GÄVLEBORGS LÄN</t>
        </is>
      </c>
      <c r="G367" t="inlineStr">
        <is>
          <t>HUDIKSVALL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46320</v>
      </c>
      <c r="F368" t="inlineStr">
        <is>
          <t>GÄVLEBORGS LÄN</t>
        </is>
      </c>
      <c r="G368" t="inlineStr">
        <is>
          <t>HUDIKSVALL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46320</v>
      </c>
      <c r="F369" t="inlineStr">
        <is>
          <t>GÄVLEBORGS LÄN</t>
        </is>
      </c>
      <c r="G369" t="inlineStr">
        <is>
          <t>HUDIKSVALL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44928</v>
      </c>
      <c r="E370" s="1" t="n">
        <v>46320</v>
      </c>
      <c r="F370" t="inlineStr">
        <is>
          <t>GÄVLEBORGS LÄN</t>
        </is>
      </c>
      <c r="G370" t="inlineStr">
        <is>
          <t>HUDIKSVALL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45384</v>
      </c>
      <c r="E371" s="1" t="n">
        <v>46320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44833</v>
      </c>
      <c r="E372" s="1" t="n">
        <v>46320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45946</v>
      </c>
      <c r="E373" s="1" t="n">
        <v>46320</v>
      </c>
      <c r="F373" t="inlineStr">
        <is>
          <t>GÄVLEBORGS LÄN</t>
        </is>
      </c>
      <c r="G373" t="inlineStr">
        <is>
          <t>HUDIKSVALL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46320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55460-2024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45622</v>
      </c>
      <c r="E375" s="1" t="n">
        <v>46320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46320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45527</v>
      </c>
      <c r="E377" s="1" t="n">
        <v>46320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46320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46320</v>
      </c>
      <c r="F379" t="inlineStr">
        <is>
          <t>GÄVLEBORGS LÄN</t>
        </is>
      </c>
      <c r="G379" t="inlineStr">
        <is>
          <t>HUDIKSVALL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73458-2021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44551</v>
      </c>
      <c r="E380" s="1" t="n">
        <v>46320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46320</v>
      </c>
      <c r="F381" t="inlineStr">
        <is>
          <t>GÄVLEBORGS LÄN</t>
        </is>
      </c>
      <c r="G381" t="inlineStr">
        <is>
          <t>HUDIKSVALL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45327</v>
      </c>
      <c r="E382" s="1" t="n">
        <v>46320</v>
      </c>
      <c r="F382" t="inlineStr">
        <is>
          <t>GÄVLEBORGS LÄN</t>
        </is>
      </c>
      <c r="G382" t="inlineStr">
        <is>
          <t>HUDIKSVALL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44939</v>
      </c>
      <c r="E383" s="1" t="n">
        <v>46320</v>
      </c>
      <c r="F383" t="inlineStr">
        <is>
          <t>GÄVLEBORGS LÄN</t>
        </is>
      </c>
      <c r="G383" t="inlineStr">
        <is>
          <t>HUDIKSVALL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46320</v>
      </c>
      <c r="F384" t="inlineStr">
        <is>
          <t>GÄVLEBORGS LÄN</t>
        </is>
      </c>
      <c r="G384" t="inlineStr">
        <is>
          <t>HUDIKSVALL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45533</v>
      </c>
      <c r="E385" s="1" t="n">
        <v>46320</v>
      </c>
      <c r="F385" t="inlineStr">
        <is>
          <t>GÄVLEBORGS LÄN</t>
        </is>
      </c>
      <c r="G385" t="inlineStr">
        <is>
          <t>HUDIKSVALL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46320</v>
      </c>
      <c r="F386" t="inlineStr">
        <is>
          <t>GÄVLEBORGS LÄN</t>
        </is>
      </c>
      <c r="G386" t="inlineStr">
        <is>
          <t>HUDIKSVALL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45950</v>
      </c>
      <c r="E387" s="1" t="n">
        <v>46320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51534-2025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45950</v>
      </c>
      <c r="E388" s="1" t="n">
        <v>46320</v>
      </c>
      <c r="F388" t="inlineStr">
        <is>
          <t>GÄVLEBORGS LÄN</t>
        </is>
      </c>
      <c r="G388" t="inlineStr">
        <is>
          <t>HUDIKSVALL</t>
        </is>
      </c>
      <c r="I388" t="n">
        <v>15.2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45693</v>
      </c>
      <c r="E389" s="1" t="n">
        <v>46320</v>
      </c>
      <c r="F389" t="inlineStr">
        <is>
          <t>GÄVLEBORGS LÄN</t>
        </is>
      </c>
      <c r="G389" t="inlineStr">
        <is>
          <t>HUDIKSVALL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21251-2023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45062</v>
      </c>
      <c r="E390" s="1" t="n">
        <v>46320</v>
      </c>
      <c r="F390" t="inlineStr">
        <is>
          <t>GÄVLEBORGS LÄN</t>
        </is>
      </c>
      <c r="G390" t="inlineStr">
        <is>
          <t>HUDIKSVALL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45951</v>
      </c>
      <c r="E391" s="1" t="n">
        <v>46320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45862</v>
      </c>
      <c r="E392" s="1" t="n">
        <v>46320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51765-2025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46320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46320</v>
      </c>
      <c r="F394" t="inlineStr">
        <is>
          <t>GÄVLEBORGS LÄN</t>
        </is>
      </c>
      <c r="G394" t="inlineStr">
        <is>
          <t>HUDIKSVALL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46320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45952</v>
      </c>
      <c r="E396" s="1" t="n">
        <v>46320</v>
      </c>
      <c r="F396" t="inlineStr">
        <is>
          <t>GÄVLEBORGS LÄN</t>
        </is>
      </c>
      <c r="G396" t="inlineStr">
        <is>
          <t>HUDIKSVALL</t>
        </is>
      </c>
      <c r="H396" t="inlineStr">
        <is>
          <t>Naturvårdsverket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46320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46320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51897-2025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45952</v>
      </c>
      <c r="E399" s="1" t="n">
        <v>46320</v>
      </c>
      <c r="F399" t="inlineStr">
        <is>
          <t>GÄVLEBORGS LÄN</t>
        </is>
      </c>
      <c r="G399" t="inlineStr">
        <is>
          <t>HUDIKSVALL</t>
        </is>
      </c>
      <c r="H399" t="inlineStr">
        <is>
          <t>Naturvårdsverket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46320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45295</v>
      </c>
      <c r="E401" s="1" t="n">
        <v>46320</v>
      </c>
      <c r="F401" t="inlineStr">
        <is>
          <t>GÄVLEBORGS LÄN</t>
        </is>
      </c>
      <c r="G401" t="inlineStr">
        <is>
          <t>HUDIKSVALL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45593</v>
      </c>
      <c r="E402" s="1" t="n">
        <v>46320</v>
      </c>
      <c r="F402" t="inlineStr">
        <is>
          <t>GÄVLEBORGS LÄN</t>
        </is>
      </c>
      <c r="G402" t="inlineStr">
        <is>
          <t>HUDIKSVALL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46320</v>
      </c>
      <c r="F403" t="inlineStr">
        <is>
          <t>GÄVLEBORGS LÄN</t>
        </is>
      </c>
      <c r="G403" t="inlineStr">
        <is>
          <t>HUDIKSVALL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46320</v>
      </c>
      <c r="F404" t="inlineStr">
        <is>
          <t>GÄVLEBORGS LÄN</t>
        </is>
      </c>
      <c r="G404" t="inlineStr">
        <is>
          <t>HUDIKSVALL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46320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46320</v>
      </c>
      <c r="F406" t="inlineStr">
        <is>
          <t>GÄVLEBORGS LÄN</t>
        </is>
      </c>
      <c r="G406" t="inlineStr">
        <is>
          <t>HUDIKSVALL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46320</v>
      </c>
      <c r="F407" t="inlineStr">
        <is>
          <t>GÄVLEBORGS LÄN</t>
        </is>
      </c>
      <c r="G407" t="inlineStr">
        <is>
          <t>HUDIKSVALL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46320</v>
      </c>
      <c r="F408" t="inlineStr">
        <is>
          <t>GÄVLEBORGS LÄN</t>
        </is>
      </c>
      <c r="G408" t="inlineStr">
        <is>
          <t>HUDIKSVALL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52850-2025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46320</v>
      </c>
      <c r="F409" t="inlineStr">
        <is>
          <t>GÄVLEBORGS LÄN</t>
        </is>
      </c>
      <c r="G409" t="inlineStr">
        <is>
          <t>HUDIKSVALL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46320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46320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4062-2025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45684</v>
      </c>
      <c r="E412" s="1" t="n">
        <v>46320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45957</v>
      </c>
      <c r="E413" s="1" t="n">
        <v>46320</v>
      </c>
      <c r="F413" t="inlineStr">
        <is>
          <t>GÄVLEBORGS LÄN</t>
        </is>
      </c>
      <c r="G413" t="inlineStr">
        <is>
          <t>HUDIKSVALL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46320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45725-2023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45195</v>
      </c>
      <c r="E415" s="1" t="n">
        <v>46320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53278-2025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46320</v>
      </c>
      <c r="F416" t="inlineStr">
        <is>
          <t>GÄVLEBORGS LÄN</t>
        </is>
      </c>
      <c r="G416" t="inlineStr">
        <is>
          <t>HUDIKSVALL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46320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46320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46320</v>
      </c>
      <c r="F419" t="inlineStr">
        <is>
          <t>GÄVLEBORGS LÄN</t>
        </is>
      </c>
      <c r="G419" t="inlineStr">
        <is>
          <t>HUDIKSVALL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45555</v>
      </c>
      <c r="E420" s="1" t="n">
        <v>46320</v>
      </c>
      <c r="F420" t="inlineStr">
        <is>
          <t>GÄVLEBORGS LÄN</t>
        </is>
      </c>
      <c r="G420" t="inlineStr">
        <is>
          <t>HUDIKSVALL</t>
        </is>
      </c>
      <c r="H420" t="inlineStr">
        <is>
          <t>Naturvårdsverket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45350</v>
      </c>
      <c r="E421" s="1" t="n">
        <v>46320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45625</v>
      </c>
      <c r="E422" s="1" t="n">
        <v>46320</v>
      </c>
      <c r="F422" t="inlineStr">
        <is>
          <t>GÄVLEBORGS LÄN</t>
        </is>
      </c>
      <c r="G422" t="inlineStr">
        <is>
          <t>HUDIKSVALL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46320</v>
      </c>
      <c r="F423" t="inlineStr">
        <is>
          <t>GÄVLEBORGS LÄN</t>
        </is>
      </c>
      <c r="G423" t="inlineStr">
        <is>
          <t>HUDIKSVALL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46320</v>
      </c>
      <c r="F424" t="inlineStr">
        <is>
          <t>GÄVLEBORGS LÄN</t>
        </is>
      </c>
      <c r="G424" t="inlineStr">
        <is>
          <t>HUDIKSVALL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46320</v>
      </c>
      <c r="F425" t="inlineStr">
        <is>
          <t>GÄVLEBORGS LÄN</t>
        </is>
      </c>
      <c r="G425" t="inlineStr">
        <is>
          <t>HUDIKSVALL</t>
        </is>
      </c>
      <c r="I425" t="n">
        <v>13.9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46320</v>
      </c>
      <c r="F426" t="inlineStr">
        <is>
          <t>GÄVLEBORGS LÄN</t>
        </is>
      </c>
      <c r="G426" t="inlineStr">
        <is>
          <t>HUDIKSVALL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46320</v>
      </c>
      <c r="F427" t="inlineStr">
        <is>
          <t>GÄVLEBORGS LÄN</t>
        </is>
      </c>
      <c r="G427" t="inlineStr">
        <is>
          <t>HUDIKSVALL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46320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60194-2023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46320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46320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56215-2024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45624</v>
      </c>
      <c r="E431" s="1" t="n">
        <v>46320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43803-2022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44838</v>
      </c>
      <c r="E432" s="1" t="n">
        <v>46320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46320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46320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45698</v>
      </c>
      <c r="E435" s="1" t="n">
        <v>46320</v>
      </c>
      <c r="F435" t="inlineStr">
        <is>
          <t>GÄVLEBORGS LÄN</t>
        </is>
      </c>
      <c r="G435" t="inlineStr">
        <is>
          <t>HUDIKSVALL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46320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46320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46320</v>
      </c>
      <c r="F438" t="inlineStr">
        <is>
          <t>GÄVLEBORGS LÄN</t>
        </is>
      </c>
      <c r="G438" t="inlineStr">
        <is>
          <t>HUDIKSVALL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45967</v>
      </c>
      <c r="E439" s="1" t="n">
        <v>46320</v>
      </c>
      <c r="F439" t="inlineStr">
        <is>
          <t>GÄVLEBORGS LÄN</t>
        </is>
      </c>
      <c r="G439" t="inlineStr">
        <is>
          <t>HUDIKSVALL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46320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22976-2024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45449</v>
      </c>
      <c r="E441" s="1" t="n">
        <v>46320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46320</v>
      </c>
      <c r="F442" t="inlineStr">
        <is>
          <t>GÄVLEBORGS LÄN</t>
        </is>
      </c>
      <c r="G442" t="inlineStr">
        <is>
          <t>HUDIKSVALL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46320</v>
      </c>
      <c r="F443" t="inlineStr">
        <is>
          <t>GÄVLEBORGS LÄN</t>
        </is>
      </c>
      <c r="G443" t="inlineStr">
        <is>
          <t>HUDIKSVALL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33138-2022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44785</v>
      </c>
      <c r="E444" s="1" t="n">
        <v>46320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46320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46096</v>
      </c>
      <c r="E446" s="1" t="n">
        <v>46320</v>
      </c>
      <c r="F446" t="inlineStr">
        <is>
          <t>GÄVLEBORGS LÄN</t>
        </is>
      </c>
      <c r="G446" t="inlineStr">
        <is>
          <t>HUDIKSVALL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46320</v>
      </c>
      <c r="F447" t="inlineStr">
        <is>
          <t>GÄVLEBORGS LÄN</t>
        </is>
      </c>
      <c r="G447" t="inlineStr">
        <is>
          <t>HUDIKSVALL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46320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46320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46320</v>
      </c>
      <c r="F450" t="inlineStr">
        <is>
          <t>GÄVLEBORGS LÄN</t>
        </is>
      </c>
      <c r="G450" t="inlineStr">
        <is>
          <t>HUDIKSVALL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46320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46320</v>
      </c>
      <c r="F452" t="inlineStr">
        <is>
          <t>GÄVLEBORGS LÄN</t>
        </is>
      </c>
      <c r="G452" t="inlineStr">
        <is>
          <t>HUDIKSVALL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46320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46320</v>
      </c>
      <c r="F454" t="inlineStr">
        <is>
          <t>GÄVLEBORGS LÄN</t>
        </is>
      </c>
      <c r="G454" t="inlineStr">
        <is>
          <t>HUDIKSVALL</t>
        </is>
      </c>
      <c r="H454" t="inlineStr">
        <is>
          <t>Kommuner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46320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46320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45463</v>
      </c>
      <c r="E457" s="1" t="n">
        <v>46320</v>
      </c>
      <c r="F457" t="inlineStr">
        <is>
          <t>GÄVLEBORGS LÄN</t>
        </is>
      </c>
      <c r="G457" t="inlineStr">
        <is>
          <t>HUDIKSVALL</t>
        </is>
      </c>
      <c r="H457" t="inlineStr">
        <is>
          <t>Sveaskog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45231</v>
      </c>
      <c r="E458" s="1" t="n">
        <v>46320</v>
      </c>
      <c r="F458" t="inlineStr">
        <is>
          <t>GÄVLEBORGS LÄN</t>
        </is>
      </c>
      <c r="G458" t="inlineStr">
        <is>
          <t>HUDIKSVALL</t>
        </is>
      </c>
      <c r="I458" t="n">
        <v>17.6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46320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46320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46320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46320</v>
      </c>
      <c r="F462" t="inlineStr">
        <is>
          <t>GÄVLEBORGS LÄN</t>
        </is>
      </c>
      <c r="G462" t="inlineStr">
        <is>
          <t>HUDIKSVALL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46320</v>
      </c>
      <c r="F463" t="inlineStr">
        <is>
          <t>GÄVLEBORGS LÄN</t>
        </is>
      </c>
      <c r="G463" t="inlineStr">
        <is>
          <t>HUDIKSVALL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45474</v>
      </c>
      <c r="E464" s="1" t="n">
        <v>46320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11.7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71408-2021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44540</v>
      </c>
      <c r="E465" s="1" t="n">
        <v>46320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28333-2026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46320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46320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56021-2025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46320</v>
      </c>
      <c r="F468" t="inlineStr">
        <is>
          <t>GÄVLEBORGS LÄN</t>
        </is>
      </c>
      <c r="G468" t="inlineStr">
        <is>
          <t>HUDIKSVALL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46320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56151-2025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46320</v>
      </c>
      <c r="F470" t="inlineStr">
        <is>
          <t>GÄVLEBORGS LÄN</t>
        </is>
      </c>
      <c r="G470" t="inlineStr">
        <is>
          <t>HUDIKSVALL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46320</v>
      </c>
      <c r="F471" t="inlineStr">
        <is>
          <t>GÄVLEBORGS LÄN</t>
        </is>
      </c>
      <c r="G471" t="inlineStr">
        <is>
          <t>HUDIKSVALL</t>
        </is>
      </c>
      <c r="H471" t="inlineStr">
        <is>
          <t>Kommuner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45426</v>
      </c>
      <c r="E472" s="1" t="n">
        <v>46320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9.199999999999999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45976</v>
      </c>
      <c r="E473" s="1" t="n">
        <v>46320</v>
      </c>
      <c r="F473" t="inlineStr">
        <is>
          <t>GÄVLEBORGS LÄN</t>
        </is>
      </c>
      <c r="G473" t="inlineStr">
        <is>
          <t>HUDIKSVALL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46320</v>
      </c>
      <c r="F474" t="inlineStr">
        <is>
          <t>GÄVLEBORGS LÄN</t>
        </is>
      </c>
      <c r="G474" t="inlineStr">
        <is>
          <t>HUDIKSVALL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46320</v>
      </c>
      <c r="F475" t="inlineStr">
        <is>
          <t>GÄVLEBORGS LÄN</t>
        </is>
      </c>
      <c r="G475" t="inlineStr">
        <is>
          <t>HUDIKSVALL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45975</v>
      </c>
      <c r="E476" s="1" t="n">
        <v>46320</v>
      </c>
      <c r="F476" t="inlineStr">
        <is>
          <t>GÄVLEBORGS LÄN</t>
        </is>
      </c>
      <c r="G476" t="inlineStr">
        <is>
          <t>HUDIKSVALL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56818-2025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46320</v>
      </c>
      <c r="F477" t="inlineStr">
        <is>
          <t>GÄVLEBORGS LÄN</t>
        </is>
      </c>
      <c r="G477" t="inlineStr">
        <is>
          <t>HUDIKSVALL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9400-2024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46320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46320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46320</v>
      </c>
      <c r="F480" t="inlineStr">
        <is>
          <t>GÄVLEBORGS LÄN</t>
        </is>
      </c>
      <c r="G480" t="inlineStr">
        <is>
          <t>HUDIKSVALL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45976</v>
      </c>
      <c r="E481" s="1" t="n">
        <v>46320</v>
      </c>
      <c r="F481" t="inlineStr">
        <is>
          <t>GÄVLEBORGS LÄN</t>
        </is>
      </c>
      <c r="G481" t="inlineStr">
        <is>
          <t>HUDIKSVALL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46320</v>
      </c>
      <c r="F482" t="inlineStr">
        <is>
          <t>GÄVLEBORGS LÄN</t>
        </is>
      </c>
      <c r="G482" t="inlineStr">
        <is>
          <t>HUDIKSVALL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46320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28680-2026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46198</v>
      </c>
      <c r="E484" s="1" t="n">
        <v>46320</v>
      </c>
      <c r="F484" t="inlineStr">
        <is>
          <t>GÄVLEBORGS LÄN</t>
        </is>
      </c>
      <c r="G484" t="inlineStr">
        <is>
          <t>HUDIKSVALL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56695-2025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45976</v>
      </c>
      <c r="E485" s="1" t="n">
        <v>46320</v>
      </c>
      <c r="F485" t="inlineStr">
        <is>
          <t>GÄVLEBORGS LÄN</t>
        </is>
      </c>
      <c r="G485" t="inlineStr">
        <is>
          <t>HUDIKSVALL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65195-2023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45289</v>
      </c>
      <c r="E486" s="1" t="n">
        <v>46320</v>
      </c>
      <c r="F486" t="inlineStr">
        <is>
          <t>GÄVLEBORGS LÄN</t>
        </is>
      </c>
      <c r="G486" t="inlineStr">
        <is>
          <t>HUDIKSVALL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45314</v>
      </c>
      <c r="E487" s="1" t="n">
        <v>46320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45314</v>
      </c>
      <c r="E488" s="1" t="n">
        <v>46320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58942-2022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44903</v>
      </c>
      <c r="E489" s="1" t="n">
        <v>46320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57210-2025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45979</v>
      </c>
      <c r="E490" s="1" t="n">
        <v>46320</v>
      </c>
      <c r="F490" t="inlineStr">
        <is>
          <t>GÄVLEBORGS LÄN</t>
        </is>
      </c>
      <c r="G490" t="inlineStr">
        <is>
          <t>HUDIKSVALL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45979</v>
      </c>
      <c r="E491" s="1" t="n">
        <v>46320</v>
      </c>
      <c r="F491" t="inlineStr">
        <is>
          <t>GÄVLEBORGS LÄN</t>
        </is>
      </c>
      <c r="G491" t="inlineStr">
        <is>
          <t>HUDIKSVALL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46320</v>
      </c>
      <c r="F492" t="inlineStr">
        <is>
          <t>GÄVLEBORGS LÄN</t>
        </is>
      </c>
      <c r="G492" t="inlineStr">
        <is>
          <t>HUDIKSVALL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46320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46320</v>
      </c>
      <c r="F494" t="inlineStr">
        <is>
          <t>GÄVLEBORGS LÄN</t>
        </is>
      </c>
      <c r="G494" t="inlineStr">
        <is>
          <t>HUDIKSVALL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46320</v>
      </c>
      <c r="F495" t="inlineStr">
        <is>
          <t>GÄVLEBORGS LÄN</t>
        </is>
      </c>
      <c r="G495" t="inlineStr">
        <is>
          <t>HUDIKSVALL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46320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46320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64593-2023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45281</v>
      </c>
      <c r="E498" s="1" t="n">
        <v>46320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57322-2025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45980</v>
      </c>
      <c r="E499" s="1" t="n">
        <v>46320</v>
      </c>
      <c r="F499" t="inlineStr">
        <is>
          <t>GÄVLEBORGS LÄN</t>
        </is>
      </c>
      <c r="G499" t="inlineStr">
        <is>
          <t>HUDIKSVALL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45730</v>
      </c>
      <c r="E500" s="1" t="n">
        <v>46320</v>
      </c>
      <c r="F500" t="inlineStr">
        <is>
          <t>GÄVLEBORGS LÄN</t>
        </is>
      </c>
      <c r="G500" t="inlineStr">
        <is>
          <t>HUDIKSVALL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46320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42239-2023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45180</v>
      </c>
      <c r="E502" s="1" t="n">
        <v>46320</v>
      </c>
      <c r="F502" t="inlineStr">
        <is>
          <t>GÄVLEBORGS LÄN</t>
        </is>
      </c>
      <c r="G502" t="inlineStr">
        <is>
          <t>HUDIKSVALL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54468-2024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45617</v>
      </c>
      <c r="E503" s="1" t="n">
        <v>46320</v>
      </c>
      <c r="F503" t="inlineStr">
        <is>
          <t>GÄVLEBORGS LÄN</t>
        </is>
      </c>
      <c r="G503" t="inlineStr">
        <is>
          <t>HUDIKSVALL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54690-2024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45618</v>
      </c>
      <c r="E504" s="1" t="n">
        <v>46320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45982</v>
      </c>
      <c r="E505" s="1" t="n">
        <v>46320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62926-2023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45272</v>
      </c>
      <c r="E506" s="1" t="n">
        <v>46320</v>
      </c>
      <c r="F506" t="inlineStr">
        <is>
          <t>GÄVLEBORGS LÄN</t>
        </is>
      </c>
      <c r="G506" t="inlineStr">
        <is>
          <t>HUDIKSVALL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46320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46320</v>
      </c>
      <c r="F508" t="inlineStr">
        <is>
          <t>GÄVLEBORGS LÄN</t>
        </is>
      </c>
      <c r="G508" t="inlineStr">
        <is>
          <t>HUDIKSVALL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56898-2023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46320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44700</v>
      </c>
      <c r="E510" s="1" t="n">
        <v>46320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45982</v>
      </c>
      <c r="E511" s="1" t="n">
        <v>46320</v>
      </c>
      <c r="F511" t="inlineStr">
        <is>
          <t>GÄVLEBORGS LÄN</t>
        </is>
      </c>
      <c r="G511" t="inlineStr">
        <is>
          <t>HUDIKSVALL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45982</v>
      </c>
      <c r="E512" s="1" t="n">
        <v>46320</v>
      </c>
      <c r="F512" t="inlineStr">
        <is>
          <t>GÄVLEBORGS LÄN</t>
        </is>
      </c>
      <c r="G512" t="inlineStr">
        <is>
          <t>HUDIKSVALL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46320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9.800000000000001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46320</v>
      </c>
      <c r="F514" t="inlineStr">
        <is>
          <t>GÄVLEBORGS LÄN</t>
        </is>
      </c>
      <c r="G514" t="inlineStr">
        <is>
          <t>HUDIKSVALL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45986</v>
      </c>
      <c r="E515" s="1" t="n">
        <v>46320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45513</v>
      </c>
      <c r="E516" s="1" t="n">
        <v>46320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45502</v>
      </c>
      <c r="E517" s="1" t="n">
        <v>46320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45502</v>
      </c>
      <c r="E518" s="1" t="n">
        <v>46320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58782-2025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46320</v>
      </c>
      <c r="F519" t="inlineStr">
        <is>
          <t>GÄVLEBORGS LÄN</t>
        </is>
      </c>
      <c r="G519" t="inlineStr">
        <is>
          <t>HUDIKSVALL</t>
        </is>
      </c>
      <c r="I519" t="n">
        <v>8.9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46320</v>
      </c>
      <c r="F520" t="inlineStr">
        <is>
          <t>GÄVLEBORGS LÄN</t>
        </is>
      </c>
      <c r="G520" t="inlineStr">
        <is>
          <t>HUDIKSVALL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44952</v>
      </c>
      <c r="E521" s="1" t="n">
        <v>46320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44956</v>
      </c>
      <c r="E522" s="1" t="n">
        <v>46320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46320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44986</v>
      </c>
      <c r="E524" s="1" t="n">
        <v>46320</v>
      </c>
      <c r="F524" t="inlineStr">
        <is>
          <t>GÄVLEBORGS LÄN</t>
        </is>
      </c>
      <c r="G524" t="inlineStr">
        <is>
          <t>HUDIKSVALL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44573</v>
      </c>
      <c r="E525" s="1" t="n">
        <v>46320</v>
      </c>
      <c r="F525" t="inlineStr">
        <is>
          <t>GÄVLEBORGS LÄN</t>
        </is>
      </c>
      <c r="G525" t="inlineStr">
        <is>
          <t>HUDIKSVALL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46320</v>
      </c>
      <c r="F526" t="inlineStr">
        <is>
          <t>GÄVLEBORGS LÄN</t>
        </is>
      </c>
      <c r="G526" t="inlineStr">
        <is>
          <t>HUDIKSVALL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46320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46320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60500-2022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44911</v>
      </c>
      <c r="E529" s="1" t="n">
        <v>46320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46320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46320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44987</v>
      </c>
      <c r="E532" s="1" t="n">
        <v>46320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44227-2024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45573</v>
      </c>
      <c r="E533" s="1" t="n">
        <v>46320</v>
      </c>
      <c r="F533" t="inlineStr">
        <is>
          <t>GÄVLEBORGS LÄN</t>
        </is>
      </c>
      <c r="G533" t="inlineStr">
        <is>
          <t>HUDIKSVALL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46320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15.7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45077</v>
      </c>
      <c r="E535" s="1" t="n">
        <v>46320</v>
      </c>
      <c r="F535" t="inlineStr">
        <is>
          <t>GÄVLEBORGS LÄN</t>
        </is>
      </c>
      <c r="G535" t="inlineStr">
        <is>
          <t>HUDIKSVALL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30083-2024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45489</v>
      </c>
      <c r="E536" s="1" t="n">
        <v>46320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46320</v>
      </c>
      <c r="F537" t="inlineStr">
        <is>
          <t>GÄVLEBORGS LÄN</t>
        </is>
      </c>
      <c r="G537" t="inlineStr">
        <is>
          <t>HUDIKSVALL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45986</v>
      </c>
      <c r="E538" s="1" t="n">
        <v>46320</v>
      </c>
      <c r="F538" t="inlineStr">
        <is>
          <t>GÄVLEBORGS LÄN</t>
        </is>
      </c>
      <c r="G538" t="inlineStr">
        <is>
          <t>HUDIKSVALL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58254-2025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46320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46320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46320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46320</v>
      </c>
      <c r="F542" t="inlineStr">
        <is>
          <t>GÄVLEBORGS LÄN</t>
        </is>
      </c>
      <c r="G542" t="inlineStr">
        <is>
          <t>HUDIKSVALL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46320</v>
      </c>
      <c r="F543" t="inlineStr">
        <is>
          <t>GÄVLEBORGS LÄN</t>
        </is>
      </c>
      <c r="G543" t="inlineStr">
        <is>
          <t>HUDIKSVALL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46320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55182-2023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46320</v>
      </c>
      <c r="F545" t="inlineStr">
        <is>
          <t>GÄVLEBORGS LÄN</t>
        </is>
      </c>
      <c r="G545" t="inlineStr">
        <is>
          <t>HUDIKSVALL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58843-2025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45987</v>
      </c>
      <c r="E546" s="1" t="n">
        <v>46320</v>
      </c>
      <c r="F546" t="inlineStr">
        <is>
          <t>GÄVLEBORGS LÄN</t>
        </is>
      </c>
      <c r="G546" t="inlineStr">
        <is>
          <t>HUDIKSVALL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46320</v>
      </c>
      <c r="F547" t="inlineStr">
        <is>
          <t>GÄVLEBORGS LÄN</t>
        </is>
      </c>
      <c r="G547" t="inlineStr">
        <is>
          <t>HUDIKSVALL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45338</v>
      </c>
      <c r="E548" s="1" t="n">
        <v>46320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46320</v>
      </c>
      <c r="F549" t="inlineStr">
        <is>
          <t>GÄVLEBORGS LÄN</t>
        </is>
      </c>
      <c r="G549" t="inlineStr">
        <is>
          <t>HUDIKSVALL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46320</v>
      </c>
      <c r="F550" t="inlineStr">
        <is>
          <t>GÄVLEBORGS LÄN</t>
        </is>
      </c>
      <c r="G550" t="inlineStr">
        <is>
          <t>HUDIKSVALL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45386</v>
      </c>
      <c r="E551" s="1" t="n">
        <v>46320</v>
      </c>
      <c r="F551" t="inlineStr">
        <is>
          <t>GÄVLEBORGS LÄN</t>
        </is>
      </c>
      <c r="G551" t="inlineStr">
        <is>
          <t>HUDIKSVALL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46320</v>
      </c>
      <c r="F552" t="inlineStr">
        <is>
          <t>GÄVLEBORGS LÄN</t>
        </is>
      </c>
      <c r="G552" t="inlineStr">
        <is>
          <t>HUDIKSVALL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57679-2022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46320</v>
      </c>
      <c r="F553" t="inlineStr">
        <is>
          <t>GÄVLEBORGS LÄN</t>
        </is>
      </c>
      <c r="G553" t="inlineStr">
        <is>
          <t>HUDIKSVALL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46320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59325-2025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45989</v>
      </c>
      <c r="E555" s="1" t="n">
        <v>46320</v>
      </c>
      <c r="F555" t="inlineStr">
        <is>
          <t>GÄVLEBORGS LÄN</t>
        </is>
      </c>
      <c r="G555" t="inlineStr">
        <is>
          <t>HUDIKSVALL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45244</v>
      </c>
      <c r="E556" s="1" t="n">
        <v>46320</v>
      </c>
      <c r="F556" t="inlineStr">
        <is>
          <t>GÄVLEBORGS LÄN</t>
        </is>
      </c>
      <c r="G556" t="inlineStr">
        <is>
          <t>HUDIKSVALL</t>
        </is>
      </c>
      <c r="I556" t="n">
        <v>7.7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46320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59595-2025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45992</v>
      </c>
      <c r="E558" s="1" t="n">
        <v>46320</v>
      </c>
      <c r="F558" t="inlineStr">
        <is>
          <t>GÄVLEBORGS LÄN</t>
        </is>
      </c>
      <c r="G558" t="inlineStr">
        <is>
          <t>HUDIKSVALL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46210</v>
      </c>
      <c r="E559" s="1" t="n">
        <v>46320</v>
      </c>
      <c r="F559" t="inlineStr">
        <is>
          <t>GÄVLEBORGS LÄN</t>
        </is>
      </c>
      <c r="G559" t="inlineStr">
        <is>
          <t>HUDIKSVALL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46210</v>
      </c>
      <c r="E560" s="1" t="n">
        <v>46320</v>
      </c>
      <c r="F560" t="inlineStr">
        <is>
          <t>GÄVLEBORGS LÄN</t>
        </is>
      </c>
      <c r="G560" t="inlineStr">
        <is>
          <t>HUDIKSVALL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46320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46320</v>
      </c>
      <c r="F562" t="inlineStr">
        <is>
          <t>GÄVLEBORGS LÄN</t>
        </is>
      </c>
      <c r="G562" t="inlineStr">
        <is>
          <t>HUDIKSVALL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45376</v>
      </c>
      <c r="E563" s="1" t="n">
        <v>46320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45695</v>
      </c>
      <c r="E564" s="1" t="n">
        <v>46320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46320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45434</v>
      </c>
      <c r="E566" s="1" t="n">
        <v>46320</v>
      </c>
      <c r="F566" t="inlineStr">
        <is>
          <t>GÄVLEBORGS LÄN</t>
        </is>
      </c>
      <c r="G566" t="inlineStr">
        <is>
          <t>HUDIKSVALL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45740</v>
      </c>
      <c r="E567" s="1" t="n">
        <v>46320</v>
      </c>
      <c r="F567" t="inlineStr">
        <is>
          <t>GÄVLEBORGS LÄN</t>
        </is>
      </c>
      <c r="G567" t="inlineStr">
        <is>
          <t>HUDIKSVALL</t>
        </is>
      </c>
      <c r="I567" t="n">
        <v>12.8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44678</v>
      </c>
      <c r="E568" s="1" t="n">
        <v>46320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45995</v>
      </c>
      <c r="E569" s="1" t="n">
        <v>46320</v>
      </c>
      <c r="F569" t="inlineStr">
        <is>
          <t>GÄVLEBORGS LÄN</t>
        </is>
      </c>
      <c r="G569" t="inlineStr">
        <is>
          <t>HUDIKSVALL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42659-2024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46320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46320</v>
      </c>
      <c r="F571" t="inlineStr">
        <is>
          <t>GÄVLEBORGS LÄN</t>
        </is>
      </c>
      <c r="G571" t="inlineStr">
        <is>
          <t>HUDIKSVALL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72535-2021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44546</v>
      </c>
      <c r="E572" s="1" t="n">
        <v>46320</v>
      </c>
      <c r="F572" t="inlineStr">
        <is>
          <t>GÄVLEBORGS LÄN</t>
        </is>
      </c>
      <c r="G572" t="inlineStr">
        <is>
          <t>HUDIKSVALL</t>
        </is>
      </c>
      <c r="H572" t="inlineStr">
        <is>
          <t>Sveaskog</t>
        </is>
      </c>
      <c r="I572" t="n">
        <v>23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48597-2024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45593</v>
      </c>
      <c r="E573" s="1" t="n">
        <v>46320</v>
      </c>
      <c r="F573" t="inlineStr">
        <is>
          <t>GÄVLEBORGS LÄN</t>
        </is>
      </c>
      <c r="G573" t="inlineStr">
        <is>
          <t>HUDIKSVALL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23663-2025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46320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24.7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46320</v>
      </c>
      <c r="F575" t="inlineStr">
        <is>
          <t>GÄVLEBORGS LÄN</t>
        </is>
      </c>
      <c r="G575" t="inlineStr">
        <is>
          <t>HUDIKSVALL</t>
        </is>
      </c>
      <c r="I575" t="n">
        <v>11.5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45796</v>
      </c>
      <c r="E576" s="1" t="n">
        <v>46320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46320</v>
      </c>
      <c r="F577" t="inlineStr">
        <is>
          <t>GÄVLEBORGS LÄN</t>
        </is>
      </c>
      <c r="G577" t="inlineStr">
        <is>
          <t>HUDIKSVALL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45988</v>
      </c>
      <c r="E578" s="1" t="n">
        <v>46320</v>
      </c>
      <c r="F578" t="inlineStr">
        <is>
          <t>GÄVLEBORGS LÄN</t>
        </is>
      </c>
      <c r="G578" t="inlineStr">
        <is>
          <t>HUDIKSVALL</t>
        </is>
      </c>
      <c r="H578" t="inlineStr">
        <is>
          <t>Kommuner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13490-2024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45387</v>
      </c>
      <c r="E579" s="1" t="n">
        <v>46320</v>
      </c>
      <c r="F579" t="inlineStr">
        <is>
          <t>GÄVLEBORGS LÄN</t>
        </is>
      </c>
      <c r="G579" t="inlineStr">
        <is>
          <t>HUDIKSVALL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45985</v>
      </c>
      <c r="E580" s="1" t="n">
        <v>46320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13.3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58473-2024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45635</v>
      </c>
      <c r="E581" s="1" t="n">
        <v>46320</v>
      </c>
      <c r="F581" t="inlineStr">
        <is>
          <t>GÄVLEBORGS LÄN</t>
        </is>
      </c>
      <c r="G581" t="inlineStr">
        <is>
          <t>HUDIKSVALL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45645</v>
      </c>
      <c r="E582" s="1" t="n">
        <v>46320</v>
      </c>
      <c r="F582" t="inlineStr">
        <is>
          <t>GÄVLEBORGS LÄN</t>
        </is>
      </c>
      <c r="G582" t="inlineStr">
        <is>
          <t>HUDIKSVALL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46320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46320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46320</v>
      </c>
      <c r="F585" t="inlineStr">
        <is>
          <t>GÄVLEBORGS LÄN</t>
        </is>
      </c>
      <c r="G585" t="inlineStr">
        <is>
          <t>HUDIKSVALL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46320</v>
      </c>
      <c r="F586" t="inlineStr">
        <is>
          <t>GÄVLEBORGS LÄN</t>
        </is>
      </c>
      <c r="G586" t="inlineStr">
        <is>
          <t>HUDIKSVALL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61343-2025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46001</v>
      </c>
      <c r="E587" s="1" t="n">
        <v>46320</v>
      </c>
      <c r="F587" t="inlineStr">
        <is>
          <t>GÄVLEBORGS LÄN</t>
        </is>
      </c>
      <c r="G587" t="inlineStr">
        <is>
          <t>HUDIKSVALL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61696-2025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46002</v>
      </c>
      <c r="E588" s="1" t="n">
        <v>46320</v>
      </c>
      <c r="F588" t="inlineStr">
        <is>
          <t>GÄVLEBORGS LÄN</t>
        </is>
      </c>
      <c r="G588" t="inlineStr">
        <is>
          <t>HUDIKSVALL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6949-2025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45701</v>
      </c>
      <c r="E589" s="1" t="n">
        <v>46320</v>
      </c>
      <c r="F589" t="inlineStr">
        <is>
          <t>GÄVLEBORGS LÄN</t>
        </is>
      </c>
      <c r="G589" t="inlineStr">
        <is>
          <t>HUDIKSVALL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61546-2025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46320</v>
      </c>
      <c r="F590" t="inlineStr">
        <is>
          <t>GÄVLEBORGS LÄN</t>
        </is>
      </c>
      <c r="G590" t="inlineStr">
        <is>
          <t>HUDIKSVALL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46320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46320</v>
      </c>
      <c r="F592" t="inlineStr">
        <is>
          <t>GÄVLEBORGS LÄN</t>
        </is>
      </c>
      <c r="G592" t="inlineStr">
        <is>
          <t>HUDIKSVALL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46220</v>
      </c>
      <c r="E593" s="1" t="n">
        <v>46320</v>
      </c>
      <c r="F593" t="inlineStr">
        <is>
          <t>GÄVLEBORGS LÄN</t>
        </is>
      </c>
      <c r="G593" t="inlineStr">
        <is>
          <t>HUDIKSVALL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46225</v>
      </c>
      <c r="E594" s="1" t="n">
        <v>46320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12.1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46225</v>
      </c>
      <c r="E595" s="1" t="n">
        <v>46320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46226</v>
      </c>
      <c r="E596" s="1" t="n">
        <v>46320</v>
      </c>
      <c r="F596" t="inlineStr">
        <is>
          <t>GÄVLEBORGS LÄN</t>
        </is>
      </c>
      <c r="G596" t="inlineStr">
        <is>
          <t>HUDIKSVALL</t>
        </is>
      </c>
      <c r="H596" t="inlineStr">
        <is>
          <t>Naturvårdsverket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62036-2025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46004</v>
      </c>
      <c r="E597" s="1" t="n">
        <v>46320</v>
      </c>
      <c r="F597" t="inlineStr">
        <is>
          <t>GÄVLEBORGS LÄN</t>
        </is>
      </c>
      <c r="G597" t="inlineStr">
        <is>
          <t>HUDIKSVALL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21524-2025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46320</v>
      </c>
      <c r="F598" t="inlineStr">
        <is>
          <t>GÄVLEBORGS LÄN</t>
        </is>
      </c>
      <c r="G598" t="inlineStr">
        <is>
          <t>HUDIKSVALL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46320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46320</v>
      </c>
      <c r="F600" t="inlineStr">
        <is>
          <t>GÄVLEBORGS LÄN</t>
        </is>
      </c>
      <c r="G600" t="inlineStr">
        <is>
          <t>HUDIKSVALL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45474</v>
      </c>
      <c r="E601" s="1" t="n">
        <v>46320</v>
      </c>
      <c r="F601" t="inlineStr">
        <is>
          <t>GÄVLEBORGS LÄN</t>
        </is>
      </c>
      <c r="G601" t="inlineStr">
        <is>
          <t>HUDIKSVALL</t>
        </is>
      </c>
      <c r="I601" t="n">
        <v>9.300000000000001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62665-2025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46320</v>
      </c>
      <c r="F602" t="inlineStr">
        <is>
          <t>GÄVLEBORGS LÄN</t>
        </is>
      </c>
      <c r="G602" t="inlineStr">
        <is>
          <t>HUDIKSVALL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46320</v>
      </c>
      <c r="F603" t="inlineStr">
        <is>
          <t>GÄVLEBORGS LÄN</t>
        </is>
      </c>
      <c r="G603" t="inlineStr">
        <is>
          <t>HUDIKSVALL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46320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46320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46320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46320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46320</v>
      </c>
      <c r="F608" t="inlineStr">
        <is>
          <t>GÄVLEBORGS LÄN</t>
        </is>
      </c>
      <c r="G608" t="inlineStr">
        <is>
          <t>HUDIKSVALL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37959-2026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46280</v>
      </c>
      <c r="E609" s="1" t="n">
        <v>46320</v>
      </c>
      <c r="F609" t="inlineStr">
        <is>
          <t>GÄVLEBORGS LÄN</t>
        </is>
      </c>
      <c r="G609" t="inlineStr">
        <is>
          <t>HUDIKSVALL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46320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63067-2025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46009</v>
      </c>
      <c r="E611" s="1" t="n">
        <v>46320</v>
      </c>
      <c r="F611" t="inlineStr">
        <is>
          <t>GÄVLEBORGS LÄN</t>
        </is>
      </c>
      <c r="G611" t="inlineStr">
        <is>
          <t>HUDIKSVALL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63072-2025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46320</v>
      </c>
      <c r="F612" t="inlineStr">
        <is>
          <t>GÄVLEBORGS LÄN</t>
        </is>
      </c>
      <c r="G612" t="inlineStr">
        <is>
          <t>HUDIKSVALL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63557-2025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46013</v>
      </c>
      <c r="E613" s="1" t="n">
        <v>46320</v>
      </c>
      <c r="F613" t="inlineStr">
        <is>
          <t>GÄVLEBORGS LÄN</t>
        </is>
      </c>
      <c r="G613" t="inlineStr">
        <is>
          <t>HUDIKSVALL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46320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32059-2026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46233</v>
      </c>
      <c r="E615" s="1" t="n">
        <v>46320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15775-2025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45748</v>
      </c>
      <c r="E616" s="1" t="n">
        <v>46320</v>
      </c>
      <c r="F616" t="inlineStr">
        <is>
          <t>GÄVLEBORGS LÄN</t>
        </is>
      </c>
      <c r="G616" t="inlineStr">
        <is>
          <t>HUDIKSVALL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63541-2025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46013</v>
      </c>
      <c r="E617" s="1" t="n">
        <v>46320</v>
      </c>
      <c r="F617" t="inlineStr">
        <is>
          <t>GÄVLEBORGS LÄN</t>
        </is>
      </c>
      <c r="G617" t="inlineStr">
        <is>
          <t>HUDIKSVALL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46320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46320</v>
      </c>
      <c r="F619" t="inlineStr">
        <is>
          <t>GÄVLEBORGS LÄN</t>
        </is>
      </c>
      <c r="G619" t="inlineStr">
        <is>
          <t>HUDIKSVALL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45786</v>
      </c>
      <c r="E620" s="1" t="n">
        <v>46320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63819-2025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46020</v>
      </c>
      <c r="E621" s="1" t="n">
        <v>46320</v>
      </c>
      <c r="F621" t="inlineStr">
        <is>
          <t>GÄVLEBORGS LÄN</t>
        </is>
      </c>
      <c r="G621" t="inlineStr">
        <is>
          <t>HUDIKSVALL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38173-2026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46281</v>
      </c>
      <c r="E622" s="1" t="n">
        <v>46320</v>
      </c>
      <c r="F622" t="inlineStr">
        <is>
          <t>GÄVLEBORGS LÄN</t>
        </is>
      </c>
      <c r="G622" t="inlineStr">
        <is>
          <t>HUDIKSVALL</t>
        </is>
      </c>
      <c r="I622" t="n">
        <v>17.3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63798-2025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46019</v>
      </c>
      <c r="E623" s="1" t="n">
        <v>46320</v>
      </c>
      <c r="F623" t="inlineStr">
        <is>
          <t>GÄVLEBORGS LÄN</t>
        </is>
      </c>
      <c r="G623" t="inlineStr">
        <is>
          <t>HUDIKSVALL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63925-2025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46020</v>
      </c>
      <c r="E624" s="1" t="n">
        <v>46320</v>
      </c>
      <c r="F624" t="inlineStr">
        <is>
          <t>GÄVLEBORGS LÄN</t>
        </is>
      </c>
      <c r="G624" t="inlineStr">
        <is>
          <t>HUDIKSVALL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45789</v>
      </c>
      <c r="E625" s="1" t="n">
        <v>46320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46320</v>
      </c>
      <c r="F626" t="inlineStr">
        <is>
          <t>GÄVLEBORGS LÄN</t>
        </is>
      </c>
      <c r="G626" t="inlineStr">
        <is>
          <t>HUDIKSVALL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63911-2025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46020</v>
      </c>
      <c r="E627" s="1" t="n">
        <v>46320</v>
      </c>
      <c r="F627" t="inlineStr">
        <is>
          <t>GÄVLEBORGS LÄN</t>
        </is>
      </c>
      <c r="G627" t="inlineStr">
        <is>
          <t>HUDIKSVALL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  <c r="Z627">
        <f>HYPERLINK("https://klasma.github.io/Logging_2184/knärot/A 63911-2025 karta knärot.png", "A 63911-2025")</f>
        <v/>
      </c>
      <c r="AA627">
        <f>HYPERLINK("https://klasma.github.io/Logging_2184/klagomål/A 63911-2025 FSC-klagomål.docx", "A 63911-2025")</f>
        <v/>
      </c>
      <c r="AB627">
        <f>HYPERLINK("https://klasma.github.io/Logging_2184/klagomålsmail/A 63911-2025 FSC-klagomål mail.docx", "A 63911-2025")</f>
        <v/>
      </c>
      <c r="AC627">
        <f>HYPERLINK("https://klasma.github.io/Logging_2184/tillsyn/A 63911-2025 tillsynsbegäran.docx", "A 63911-2025")</f>
        <v/>
      </c>
      <c r="AD627">
        <f>HYPERLINK("https://klasma.github.io/Logging_2184/tillsynsmail/A 63911-2025 tillsynsbegäran mail.docx", "A 63911-2025")</f>
        <v/>
      </c>
    </row>
    <row r="628" ht="15" customHeight="1">
      <c r="A628" t="inlineStr">
        <is>
          <t>A 22832-2025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46320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82.3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45789</v>
      </c>
      <c r="E629" s="1" t="n">
        <v>46320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63963-2025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46020</v>
      </c>
      <c r="E630" s="1" t="n">
        <v>46320</v>
      </c>
      <c r="F630" t="inlineStr">
        <is>
          <t>GÄVLEBORGS LÄN</t>
        </is>
      </c>
      <c r="G630" t="inlineStr">
        <is>
          <t>HUDIKSVALL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32425-2026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46238</v>
      </c>
      <c r="E631" s="1" t="n">
        <v>46320</v>
      </c>
      <c r="F631" t="inlineStr">
        <is>
          <t>GÄVLEBORGS LÄN</t>
        </is>
      </c>
      <c r="G631" t="inlineStr">
        <is>
          <t>HUDIKSVALL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64082-2025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46021</v>
      </c>
      <c r="E632" s="1" t="n">
        <v>46320</v>
      </c>
      <c r="F632" t="inlineStr">
        <is>
          <t>GÄVLEBORGS LÄN</t>
        </is>
      </c>
      <c r="G632" t="inlineStr">
        <is>
          <t>HUDIKSVALL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22579-2025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45789</v>
      </c>
      <c r="E633" s="1" t="n">
        <v>46320</v>
      </c>
      <c r="F633" t="inlineStr">
        <is>
          <t>GÄVLEBORGS LÄN</t>
        </is>
      </c>
      <c r="G633" t="inlineStr">
        <is>
          <t>HUDIKSVALL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64086-2025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46021</v>
      </c>
      <c r="E634" s="1" t="n">
        <v>46320</v>
      </c>
      <c r="F634" t="inlineStr">
        <is>
          <t>GÄVLEBORGS LÄN</t>
        </is>
      </c>
      <c r="G634" t="inlineStr">
        <is>
          <t>HUDIKSVALL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64091-2025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46021</v>
      </c>
      <c r="E635" s="1" t="n">
        <v>46320</v>
      </c>
      <c r="F635" t="inlineStr">
        <is>
          <t>GÄVLEBORGS LÄN</t>
        </is>
      </c>
      <c r="G635" t="inlineStr">
        <is>
          <t>HUDIKSVALL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46320</v>
      </c>
      <c r="F636" t="inlineStr">
        <is>
          <t>GÄVLEBORGS LÄN</t>
        </is>
      </c>
      <c r="G636" t="inlineStr">
        <is>
          <t>HUDIKSVALL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46320</v>
      </c>
      <c r="F637" t="inlineStr">
        <is>
          <t>GÄVLEBORGS LÄN</t>
        </is>
      </c>
      <c r="G637" t="inlineStr">
        <is>
          <t>HUDIKSVALL</t>
        </is>
      </c>
      <c r="H637" t="inlineStr">
        <is>
          <t>Naturvårdsverket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46320</v>
      </c>
      <c r="F638" t="inlineStr">
        <is>
          <t>GÄVLEBORGS LÄN</t>
        </is>
      </c>
      <c r="G638" t="inlineStr">
        <is>
          <t>HUDIKSVALL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45789</v>
      </c>
      <c r="E639" s="1" t="n">
        <v>46320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16070-2025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45749</v>
      </c>
      <c r="E640" s="1" t="n">
        <v>46320</v>
      </c>
      <c r="F640" t="inlineStr">
        <is>
          <t>GÄVLEBORGS LÄN</t>
        </is>
      </c>
      <c r="G640" t="inlineStr">
        <is>
          <t>HUDIKSVALL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46027</v>
      </c>
      <c r="E641" s="1" t="n">
        <v>46320</v>
      </c>
      <c r="F641" t="inlineStr">
        <is>
          <t>GÄVLEBORGS LÄN</t>
        </is>
      </c>
      <c r="G641" t="inlineStr">
        <is>
          <t>HUDIKSVALL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10130-2025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45719</v>
      </c>
      <c r="E642" s="1" t="n">
        <v>46320</v>
      </c>
      <c r="F642" t="inlineStr">
        <is>
          <t>GÄVLEBORGS LÄN</t>
        </is>
      </c>
      <c r="G642" t="inlineStr">
        <is>
          <t>HUDIKSVALL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62469-2025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46320</v>
      </c>
      <c r="F643" t="inlineStr">
        <is>
          <t>GÄVLEBORGS LÄN</t>
        </is>
      </c>
      <c r="G643" t="inlineStr">
        <is>
          <t>HUDIKSVALL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46320</v>
      </c>
      <c r="F644" t="inlineStr">
        <is>
          <t>GÄVLEBORGS LÄN</t>
        </is>
      </c>
      <c r="G644" t="inlineStr">
        <is>
          <t>HUDIKSVALL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45702</v>
      </c>
      <c r="E645" s="1" t="n">
        <v>46320</v>
      </c>
      <c r="F645" t="inlineStr">
        <is>
          <t>GÄVLEBORGS LÄN</t>
        </is>
      </c>
      <c r="G645" t="inlineStr">
        <is>
          <t>HUDIKSVALL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46026</v>
      </c>
      <c r="E646" s="1" t="n">
        <v>46320</v>
      </c>
      <c r="F646" t="inlineStr">
        <is>
          <t>GÄVLEBORGS LÄN</t>
        </is>
      </c>
      <c r="G646" t="inlineStr">
        <is>
          <t>HUDIKSVALL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46320</v>
      </c>
      <c r="F647" t="inlineStr">
        <is>
          <t>GÄVLEBORGS LÄN</t>
        </is>
      </c>
      <c r="G647" t="inlineStr">
        <is>
          <t>HUDIKSVALL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45868</v>
      </c>
      <c r="E648" s="1" t="n">
        <v>46320</v>
      </c>
      <c r="F648" t="inlineStr">
        <is>
          <t>GÄVLEBORGS LÄN</t>
        </is>
      </c>
      <c r="G648" t="inlineStr">
        <is>
          <t>HUDIKSVALL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36394-2025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45868</v>
      </c>
      <c r="E649" s="1" t="n">
        <v>46320</v>
      </c>
      <c r="F649" t="inlineStr">
        <is>
          <t>GÄVLEBORGS LÄN</t>
        </is>
      </c>
      <c r="G649" t="inlineStr">
        <is>
          <t>HUDIKSVALL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45889</v>
      </c>
      <c r="E650" s="1" t="n">
        <v>46320</v>
      </c>
      <c r="F650" t="inlineStr">
        <is>
          <t>GÄVLEBORGS LÄN</t>
        </is>
      </c>
      <c r="G650" t="inlineStr">
        <is>
          <t>HUDIKSVALL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46026</v>
      </c>
      <c r="E651" s="1" t="n">
        <v>46320</v>
      </c>
      <c r="F651" t="inlineStr">
        <is>
          <t>GÄVLEBORGS LÄN</t>
        </is>
      </c>
      <c r="G651" t="inlineStr">
        <is>
          <t>HUDIKSVALL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46026</v>
      </c>
      <c r="E652" s="1" t="n">
        <v>46320</v>
      </c>
      <c r="F652" t="inlineStr">
        <is>
          <t>GÄVLEBORGS LÄN</t>
        </is>
      </c>
      <c r="G652" t="inlineStr">
        <is>
          <t>HUDIKSVALL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46026</v>
      </c>
      <c r="E653" s="1" t="n">
        <v>46320</v>
      </c>
      <c r="F653" t="inlineStr">
        <is>
          <t>GÄVLEBORGS LÄN</t>
        </is>
      </c>
      <c r="G653" t="inlineStr">
        <is>
          <t>HUDIKSVALL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46026</v>
      </c>
      <c r="E654" s="1" t="n">
        <v>46320</v>
      </c>
      <c r="F654" t="inlineStr">
        <is>
          <t>GÄVLEBORGS LÄN</t>
        </is>
      </c>
      <c r="G654" t="inlineStr">
        <is>
          <t>HUDIKSVALL</t>
        </is>
      </c>
      <c r="I654" t="n">
        <v>15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45776</v>
      </c>
      <c r="E655" s="1" t="n">
        <v>46320</v>
      </c>
      <c r="F655" t="inlineStr">
        <is>
          <t>GÄVLEBORGS LÄN</t>
        </is>
      </c>
      <c r="G655" t="inlineStr">
        <is>
          <t>HUDIKSVALL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13603-2025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45736</v>
      </c>
      <c r="E656" s="1" t="n">
        <v>46320</v>
      </c>
      <c r="F656" t="inlineStr">
        <is>
          <t>GÄVLEBORGS LÄN</t>
        </is>
      </c>
      <c r="G656" t="inlineStr">
        <is>
          <t>HUDIKSVALL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45869</v>
      </c>
      <c r="E657" s="1" t="n">
        <v>46320</v>
      </c>
      <c r="F657" t="inlineStr">
        <is>
          <t>GÄVLEBORGS LÄN</t>
        </is>
      </c>
      <c r="G657" t="inlineStr">
        <is>
          <t>HUDIKSVALL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9989-2025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45719</v>
      </c>
      <c r="E658" s="1" t="n">
        <v>46320</v>
      </c>
      <c r="F658" t="inlineStr">
        <is>
          <t>GÄVLEBORGS LÄN</t>
        </is>
      </c>
      <c r="G658" t="inlineStr">
        <is>
          <t>HUDIKSVALL</t>
        </is>
      </c>
      <c r="I658" t="n">
        <v>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10890-2025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45722</v>
      </c>
      <c r="E659" s="1" t="n">
        <v>46320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46320</v>
      </c>
      <c r="F660" t="inlineStr">
        <is>
          <t>GÄVLEBORGS LÄN</t>
        </is>
      </c>
      <c r="G660" t="inlineStr">
        <is>
          <t>HUDIKSVALL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46320</v>
      </c>
      <c r="F661" t="inlineStr">
        <is>
          <t>GÄVLEBORGS LÄN</t>
        </is>
      </c>
      <c r="G661" t="inlineStr">
        <is>
          <t>HUDIKSVALL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46320</v>
      </c>
      <c r="F662" t="inlineStr">
        <is>
          <t>GÄVLEBORGS LÄN</t>
        </is>
      </c>
      <c r="G662" t="inlineStr">
        <is>
          <t>HUDIKSVALL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38308-2026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46320</v>
      </c>
      <c r="F663" t="inlineStr">
        <is>
          <t>GÄVLEBORGS LÄN</t>
        </is>
      </c>
      <c r="G663" t="inlineStr">
        <is>
          <t>HUDIKSVALL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46320</v>
      </c>
      <c r="F664" t="inlineStr">
        <is>
          <t>GÄVLEBORGS LÄN</t>
        </is>
      </c>
      <c r="G664" t="inlineStr">
        <is>
          <t>HUDIKSVALL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46320</v>
      </c>
      <c r="F665" t="inlineStr">
        <is>
          <t>GÄVLEBORGS LÄN</t>
        </is>
      </c>
      <c r="G665" t="inlineStr">
        <is>
          <t>HUDIKSVALL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1017-2026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46030</v>
      </c>
      <c r="E666" s="1" t="n">
        <v>46320</v>
      </c>
      <c r="F666" t="inlineStr">
        <is>
          <t>GÄVLEBORGS LÄN</t>
        </is>
      </c>
      <c r="G666" t="inlineStr">
        <is>
          <t>HUDIKSVALL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46320</v>
      </c>
      <c r="F667" t="inlineStr">
        <is>
          <t>GÄVLEBORGS LÄN</t>
        </is>
      </c>
      <c r="G667" t="inlineStr">
        <is>
          <t>HUDIKSVALL</t>
        </is>
      </c>
      <c r="I667" t="n">
        <v>12.5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38447-2026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46320</v>
      </c>
      <c r="F668" t="inlineStr">
        <is>
          <t>GÄVLEBORGS LÄN</t>
        </is>
      </c>
      <c r="G668" t="inlineStr">
        <is>
          <t>HUDIKSVALL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38385-2026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46282</v>
      </c>
      <c r="E669" s="1" t="n">
        <v>46320</v>
      </c>
      <c r="F669" t="inlineStr">
        <is>
          <t>GÄVLEBORGS LÄN</t>
        </is>
      </c>
      <c r="G669" t="inlineStr">
        <is>
          <t>HUDIKSVALL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46320</v>
      </c>
      <c r="F670" t="inlineStr">
        <is>
          <t>GÄVLEBORGS LÄN</t>
        </is>
      </c>
      <c r="G670" t="inlineStr">
        <is>
          <t>HUDIKSVALL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46320</v>
      </c>
      <c r="F671" t="inlineStr">
        <is>
          <t>GÄVLEBORGS LÄN</t>
        </is>
      </c>
      <c r="G671" t="inlineStr">
        <is>
          <t>HUDIKSVALL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46320</v>
      </c>
      <c r="F672" t="inlineStr">
        <is>
          <t>GÄVLEBORGS LÄN</t>
        </is>
      </c>
      <c r="G672" t="inlineStr">
        <is>
          <t>HUDIKSVALL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46320</v>
      </c>
      <c r="F673" t="inlineStr">
        <is>
          <t>GÄVLEBORGS LÄN</t>
        </is>
      </c>
      <c r="G673" t="inlineStr">
        <is>
          <t>HUDIKSVALL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46320</v>
      </c>
      <c r="F674" t="inlineStr">
        <is>
          <t>GÄVLEBORGS LÄN</t>
        </is>
      </c>
      <c r="G674" t="inlineStr">
        <is>
          <t>HUDIKSVALL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46320</v>
      </c>
      <c r="F675" t="inlineStr">
        <is>
          <t>GÄVLEBORGS LÄN</t>
        </is>
      </c>
      <c r="G675" t="inlineStr">
        <is>
          <t>HUDIKSVALL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38443-2026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46282</v>
      </c>
      <c r="E676" s="1" t="n">
        <v>46320</v>
      </c>
      <c r="F676" t="inlineStr">
        <is>
          <t>GÄVLEBORGS LÄN</t>
        </is>
      </c>
      <c r="G676" t="inlineStr">
        <is>
          <t>HUDIKSVALL</t>
        </is>
      </c>
      <c r="H676" t="inlineStr">
        <is>
          <t>Sveaskog</t>
        </is>
      </c>
      <c r="I676" t="n">
        <v>18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38815-2026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46286</v>
      </c>
      <c r="E677" s="1" t="n">
        <v>46320</v>
      </c>
      <c r="F677" t="inlineStr">
        <is>
          <t>GÄVLEBORGS LÄN</t>
        </is>
      </c>
      <c r="G677" t="inlineStr">
        <is>
          <t>HUDIKSVALL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21821-2025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45783</v>
      </c>
      <c r="E678" s="1" t="n">
        <v>46320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44.8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46240</v>
      </c>
      <c r="E679" s="1" t="n">
        <v>46320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46320</v>
      </c>
      <c r="F680" t="inlineStr">
        <is>
          <t>GÄVLEBORGS LÄN</t>
        </is>
      </c>
      <c r="G680" t="inlineStr">
        <is>
          <t>HUDIKSVALL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46320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50161-2024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45600</v>
      </c>
      <c r="E682" s="1" t="n">
        <v>46320</v>
      </c>
      <c r="F682" t="inlineStr">
        <is>
          <t>GÄVLEBORGS LÄN</t>
        </is>
      </c>
      <c r="G682" t="inlineStr">
        <is>
          <t>HUDIKSVALL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20208-2025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46320</v>
      </c>
      <c r="F683" t="inlineStr">
        <is>
          <t>GÄVLEBORGS LÄN</t>
        </is>
      </c>
      <c r="G683" t="inlineStr">
        <is>
          <t>HUDIKSVALL</t>
        </is>
      </c>
      <c r="I683" t="n">
        <v>10.1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46320</v>
      </c>
      <c r="F684" t="inlineStr">
        <is>
          <t>GÄVLEBORGS LÄN</t>
        </is>
      </c>
      <c r="G684" t="inlineStr">
        <is>
          <t>HUDIKSVALL</t>
        </is>
      </c>
      <c r="H684" t="inlineStr">
        <is>
          <t>Sveaskog</t>
        </is>
      </c>
      <c r="I684" t="n">
        <v>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46035</v>
      </c>
      <c r="E685" s="1" t="n">
        <v>46320</v>
      </c>
      <c r="F685" t="inlineStr">
        <is>
          <t>GÄVLEBORGS LÄN</t>
        </is>
      </c>
      <c r="G685" t="inlineStr">
        <is>
          <t>HUDIKSVALL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46320</v>
      </c>
      <c r="F686" t="inlineStr">
        <is>
          <t>GÄVLEBORGS LÄN</t>
        </is>
      </c>
      <c r="G686" t="inlineStr">
        <is>
          <t>HUDIKSVALL</t>
        </is>
      </c>
      <c r="I686" t="n">
        <v>38.9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45720</v>
      </c>
      <c r="E687" s="1" t="n">
        <v>46320</v>
      </c>
      <c r="F687" t="inlineStr">
        <is>
          <t>GÄVLEBORGS LÄN</t>
        </is>
      </c>
      <c r="G687" t="inlineStr">
        <is>
          <t>HUDIKSVALL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46320</v>
      </c>
      <c r="F688" t="inlineStr">
        <is>
          <t>GÄVLEBORGS LÄN</t>
        </is>
      </c>
      <c r="G688" t="inlineStr">
        <is>
          <t>HUDIKSVALL</t>
        </is>
      </c>
      <c r="I688" t="n">
        <v>15.9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46283</v>
      </c>
      <c r="E689" s="1" t="n">
        <v>46320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1105-2025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45666</v>
      </c>
      <c r="E690" s="1" t="n">
        <v>46320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64579-2023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45281</v>
      </c>
      <c r="E691" s="1" t="n">
        <v>46320</v>
      </c>
      <c r="F691" t="inlineStr">
        <is>
          <t>GÄVLEBORGS LÄN</t>
        </is>
      </c>
      <c r="G691" t="inlineStr">
        <is>
          <t>HUDIKSVALL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46320</v>
      </c>
      <c r="F692" t="inlineStr">
        <is>
          <t>GÄVLEBORGS LÄN</t>
        </is>
      </c>
      <c r="G692" t="inlineStr">
        <is>
          <t>HUDIKSVALL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47284-2024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45587</v>
      </c>
      <c r="E693" s="1" t="n">
        <v>46320</v>
      </c>
      <c r="F693" t="inlineStr">
        <is>
          <t>GÄVLEBORGS LÄN</t>
        </is>
      </c>
      <c r="G693" t="inlineStr">
        <is>
          <t>HUDIKSVALL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46320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46037</v>
      </c>
      <c r="E695" s="1" t="n">
        <v>46320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46283</v>
      </c>
      <c r="E696" s="1" t="n">
        <v>46320</v>
      </c>
      <c r="F696" t="inlineStr">
        <is>
          <t>GÄVLEBORGS LÄN</t>
        </is>
      </c>
      <c r="G696" t="inlineStr">
        <is>
          <t>HUDIKSVALL</t>
        </is>
      </c>
      <c r="I696" t="n">
        <v>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46038</v>
      </c>
      <c r="E697" s="1" t="n">
        <v>46320</v>
      </c>
      <c r="F697" t="inlineStr">
        <is>
          <t>GÄVLEBORGS LÄN</t>
        </is>
      </c>
      <c r="G697" t="inlineStr">
        <is>
          <t>HUDIKSVALL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46320</v>
      </c>
      <c r="F698" t="inlineStr">
        <is>
          <t>GÄVLEBORGS LÄN</t>
        </is>
      </c>
      <c r="G698" t="inlineStr">
        <is>
          <t>HUDIKSVALL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46038</v>
      </c>
      <c r="E699" s="1" t="n">
        <v>46320</v>
      </c>
      <c r="F699" t="inlineStr">
        <is>
          <t>GÄVLEBORGS LÄN</t>
        </is>
      </c>
      <c r="G699" t="inlineStr">
        <is>
          <t>HUDIKSVALL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47145-2023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46320</v>
      </c>
      <c r="F700" t="inlineStr">
        <is>
          <t>GÄVLEBORGS LÄN</t>
        </is>
      </c>
      <c r="G700" t="inlineStr">
        <is>
          <t>HUDIKSVALL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46038</v>
      </c>
      <c r="E701" s="1" t="n">
        <v>46320</v>
      </c>
      <c r="F701" t="inlineStr">
        <is>
          <t>GÄVLEBORGS LÄN</t>
        </is>
      </c>
      <c r="G701" t="inlineStr">
        <is>
          <t>HUDIKSVALL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46037</v>
      </c>
      <c r="E702" s="1" t="n">
        <v>46320</v>
      </c>
      <c r="F702" t="inlineStr">
        <is>
          <t>GÄVLEBORGS LÄN</t>
        </is>
      </c>
      <c r="G702" t="inlineStr">
        <is>
          <t>HUDIKSVALL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13267-2025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46320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4164-2024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45323</v>
      </c>
      <c r="E704" s="1" t="n">
        <v>46320</v>
      </c>
      <c r="F704" t="inlineStr">
        <is>
          <t>GÄVLEBORGS LÄN</t>
        </is>
      </c>
      <c r="G704" t="inlineStr">
        <is>
          <t>HUDIKSVALL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46667-2024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45583</v>
      </c>
      <c r="E705" s="1" t="n">
        <v>46320</v>
      </c>
      <c r="F705" t="inlineStr">
        <is>
          <t>GÄVLEBORGS LÄN</t>
        </is>
      </c>
      <c r="G705" t="inlineStr">
        <is>
          <t>HUDIKSVALL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46320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38946-2026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46320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46320</v>
      </c>
      <c r="F708" t="inlineStr">
        <is>
          <t>GÄVLEBORGS LÄN</t>
        </is>
      </c>
      <c r="G708" t="inlineStr">
        <is>
          <t>HUDIKSVALL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45793</v>
      </c>
      <c r="E709" s="1" t="n">
        <v>46320</v>
      </c>
      <c r="F709" t="inlineStr">
        <is>
          <t>GÄVLEBORGS LÄN</t>
        </is>
      </c>
      <c r="G709" t="inlineStr">
        <is>
          <t>HUDIKSVALL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46042</v>
      </c>
      <c r="E710" s="1" t="n">
        <v>46320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46320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46320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53624-2024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45614</v>
      </c>
      <c r="E713" s="1" t="n">
        <v>46320</v>
      </c>
      <c r="F713" t="inlineStr">
        <is>
          <t>GÄVLEBORGS LÄN</t>
        </is>
      </c>
      <c r="G713" t="inlineStr">
        <is>
          <t>HUDIKSVALL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45688</v>
      </c>
      <c r="E714" s="1" t="n">
        <v>46320</v>
      </c>
      <c r="F714" t="inlineStr">
        <is>
          <t>GÄVLEBORGS LÄN</t>
        </is>
      </c>
      <c r="G714" t="inlineStr">
        <is>
          <t>HUDIKSVALL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46320</v>
      </c>
      <c r="F715" t="inlineStr">
        <is>
          <t>GÄVLEBORGS LÄN</t>
        </is>
      </c>
      <c r="G715" t="inlineStr">
        <is>
          <t>HUDIKSVALL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46320</v>
      </c>
      <c r="F716" t="inlineStr">
        <is>
          <t>GÄVLEBORGS LÄN</t>
        </is>
      </c>
      <c r="G716" t="inlineStr">
        <is>
          <t>HUDIKSVALL</t>
        </is>
      </c>
      <c r="I716" t="n">
        <v>8.6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21927-2024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45443</v>
      </c>
      <c r="E717" s="1" t="n">
        <v>46320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45443</v>
      </c>
      <c r="E718" s="1" t="n">
        <v>46320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46320</v>
      </c>
      <c r="F719" t="inlineStr">
        <is>
          <t>GÄVLEBORGS LÄN</t>
        </is>
      </c>
      <c r="G719" t="inlineStr">
        <is>
          <t>HUDIKSVALL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46320</v>
      </c>
      <c r="F720" t="inlineStr">
        <is>
          <t>GÄVLEBORGS LÄN</t>
        </is>
      </c>
      <c r="G720" t="inlineStr">
        <is>
          <t>HUDIKSVALL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46320</v>
      </c>
      <c r="F721" t="inlineStr">
        <is>
          <t>GÄVLEBORGS LÄN</t>
        </is>
      </c>
      <c r="G721" t="inlineStr">
        <is>
          <t>HUDIKSVALL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47700-2024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45588</v>
      </c>
      <c r="E722" s="1" t="n">
        <v>46320</v>
      </c>
      <c r="F722" t="inlineStr">
        <is>
          <t>GÄVLEBORGS LÄN</t>
        </is>
      </c>
      <c r="G722" t="inlineStr">
        <is>
          <t>HUDIKSVALL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39353-2026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46320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46043</v>
      </c>
      <c r="E724" s="1" t="n">
        <v>46320</v>
      </c>
      <c r="F724" t="inlineStr">
        <is>
          <t>GÄVLEBORGS LÄN</t>
        </is>
      </c>
      <c r="G724" t="inlineStr">
        <is>
          <t>HUDIKSVALL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46043</v>
      </c>
      <c r="E725" s="1" t="n">
        <v>46320</v>
      </c>
      <c r="F725" t="inlineStr">
        <is>
          <t>GÄVLEBORGS LÄN</t>
        </is>
      </c>
      <c r="G725" t="inlineStr">
        <is>
          <t>HUDIKSVALL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46320</v>
      </c>
      <c r="F726" t="inlineStr">
        <is>
          <t>GÄVLEBORGS LÄN</t>
        </is>
      </c>
      <c r="G726" t="inlineStr">
        <is>
          <t>HUDIKSVALL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24584-2025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45798</v>
      </c>
      <c r="E727" s="1" t="n">
        <v>46320</v>
      </c>
      <c r="F727" t="inlineStr">
        <is>
          <t>GÄVLEBORGS LÄN</t>
        </is>
      </c>
      <c r="G727" t="inlineStr">
        <is>
          <t>HUDIKSVALL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46320</v>
      </c>
      <c r="F728" t="inlineStr">
        <is>
          <t>GÄVLEBORGS LÄN</t>
        </is>
      </c>
      <c r="G728" t="inlineStr">
        <is>
          <t>HUDIKSVALL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46320</v>
      </c>
      <c r="F729" t="inlineStr">
        <is>
          <t>GÄVLEBORGS LÄN</t>
        </is>
      </c>
      <c r="G729" t="inlineStr">
        <is>
          <t>HUDIKSVALL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24320-2025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45797</v>
      </c>
      <c r="E730" s="1" t="n">
        <v>46320</v>
      </c>
      <c r="F730" t="inlineStr">
        <is>
          <t>GÄVLEBORGS LÄN</t>
        </is>
      </c>
      <c r="G730" t="inlineStr">
        <is>
          <t>HUDIKSVALL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24241-2025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45797</v>
      </c>
      <c r="E731" s="1" t="n">
        <v>46320</v>
      </c>
      <c r="F731" t="inlineStr">
        <is>
          <t>GÄVLEBORGS LÄN</t>
        </is>
      </c>
      <c r="G731" t="inlineStr">
        <is>
          <t>HUDIKSVALL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56820-2023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45244</v>
      </c>
      <c r="E732" s="1" t="n">
        <v>46320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46320</v>
      </c>
      <c r="F733" t="inlineStr">
        <is>
          <t>GÄVLEBORGS LÄN</t>
        </is>
      </c>
      <c r="G733" t="inlineStr">
        <is>
          <t>HUDIKSVALL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4783-2026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46048</v>
      </c>
      <c r="E734" s="1" t="n">
        <v>46320</v>
      </c>
      <c r="F734" t="inlineStr">
        <is>
          <t>GÄVLEBORGS LÄN</t>
        </is>
      </c>
      <c r="G734" t="inlineStr">
        <is>
          <t>HUDIKSVALL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46320</v>
      </c>
      <c r="F735" t="inlineStr">
        <is>
          <t>GÄVLEBORGS LÄN</t>
        </is>
      </c>
      <c r="G735" t="inlineStr">
        <is>
          <t>HUDIKSVALL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46320</v>
      </c>
      <c r="F736" t="inlineStr">
        <is>
          <t>GÄVLEBORGS LÄN</t>
        </is>
      </c>
      <c r="G736" t="inlineStr">
        <is>
          <t>HUDIKSVALL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46320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46320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33137-2026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46320</v>
      </c>
      <c r="F739" t="inlineStr">
        <is>
          <t>GÄVLEBORGS LÄN</t>
        </is>
      </c>
      <c r="G739" t="inlineStr">
        <is>
          <t>HUDIKSVALL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4499-2026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46320</v>
      </c>
      <c r="F740" t="inlineStr">
        <is>
          <t>GÄVLEBORGS LÄN</t>
        </is>
      </c>
      <c r="G740" t="inlineStr">
        <is>
          <t>HUDIKSVALL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28326-2026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46196</v>
      </c>
      <c r="E741" s="1" t="n">
        <v>46320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5420-2026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46050</v>
      </c>
      <c r="E742" s="1" t="n">
        <v>46320</v>
      </c>
      <c r="F742" t="inlineStr">
        <is>
          <t>GÄVLEBORGS LÄN</t>
        </is>
      </c>
      <c r="G742" t="inlineStr">
        <is>
          <t>HUDIKSVALL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45800</v>
      </c>
      <c r="E743" s="1" t="n">
        <v>46320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20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46049</v>
      </c>
      <c r="E744" s="1" t="n">
        <v>46320</v>
      </c>
      <c r="F744" t="inlineStr">
        <is>
          <t>GÄVLEBORGS LÄN</t>
        </is>
      </c>
      <c r="G744" t="inlineStr">
        <is>
          <t>HUDIKSVALL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24999-2025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46320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6.9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46050</v>
      </c>
      <c r="E746" s="1" t="n">
        <v>46320</v>
      </c>
      <c r="F746" t="inlineStr">
        <is>
          <t>GÄVLEBORGS LÄN</t>
        </is>
      </c>
      <c r="G746" t="inlineStr">
        <is>
          <t>HUDIKSVALL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46050</v>
      </c>
      <c r="E747" s="1" t="n">
        <v>46320</v>
      </c>
      <c r="F747" t="inlineStr">
        <is>
          <t>GÄVLEBORGS LÄN</t>
        </is>
      </c>
      <c r="G747" t="inlineStr">
        <is>
          <t>HUDIKSVALL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46050</v>
      </c>
      <c r="E748" s="1" t="n">
        <v>46320</v>
      </c>
      <c r="F748" t="inlineStr">
        <is>
          <t>GÄVLEBORGS LÄN</t>
        </is>
      </c>
      <c r="G748" t="inlineStr">
        <is>
          <t>HUDIKSVALL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46320</v>
      </c>
      <c r="F749" t="inlineStr">
        <is>
          <t>GÄVLEBORGS LÄN</t>
        </is>
      </c>
      <c r="G749" t="inlineStr">
        <is>
          <t>HUDIKSVALL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46052</v>
      </c>
      <c r="E750" s="1" t="n">
        <v>46320</v>
      </c>
      <c r="F750" t="inlineStr">
        <is>
          <t>GÄVLEBORGS LÄN</t>
        </is>
      </c>
      <c r="G750" t="inlineStr">
        <is>
          <t>HUDIKSVALL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46051</v>
      </c>
      <c r="E751" s="1" t="n">
        <v>46320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45803</v>
      </c>
      <c r="E752" s="1" t="n">
        <v>46320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25551-2025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45803</v>
      </c>
      <c r="E753" s="1" t="n">
        <v>46320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5.2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25673-2025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45803</v>
      </c>
      <c r="E754" s="1" t="n">
        <v>46320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46176</v>
      </c>
      <c r="E755" s="1" t="n">
        <v>46320</v>
      </c>
      <c r="F755" t="inlineStr">
        <is>
          <t>GÄVLEBORGS LÄN</t>
        </is>
      </c>
      <c r="G755" t="inlineStr">
        <is>
          <t>HUDIKSVALL</t>
        </is>
      </c>
      <c r="I755" t="n">
        <v>6.7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61478-2023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45264</v>
      </c>
      <c r="E756" s="1" t="n">
        <v>46320</v>
      </c>
      <c r="F756" t="inlineStr">
        <is>
          <t>GÄVLEBORGS LÄN</t>
        </is>
      </c>
      <c r="G756" t="inlineStr">
        <is>
          <t>HUDIKSVALL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46320</v>
      </c>
      <c r="F757" t="inlineStr">
        <is>
          <t>GÄVLEBORGS LÄN</t>
        </is>
      </c>
      <c r="G757" t="inlineStr">
        <is>
          <t>HUDIKSVALL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46052</v>
      </c>
      <c r="E758" s="1" t="n">
        <v>46320</v>
      </c>
      <c r="F758" t="inlineStr">
        <is>
          <t>GÄVLEBORGS LÄN</t>
        </is>
      </c>
      <c r="G758" t="inlineStr">
        <is>
          <t>HUDIKSVALL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46320</v>
      </c>
      <c r="F759" t="inlineStr">
        <is>
          <t>GÄVLEBORGS LÄN</t>
        </is>
      </c>
      <c r="G759" t="inlineStr">
        <is>
          <t>HUDIKSVALL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46320</v>
      </c>
      <c r="F760" t="inlineStr">
        <is>
          <t>GÄVLEBORGS LÄN</t>
        </is>
      </c>
      <c r="G760" t="inlineStr">
        <is>
          <t>HUDIKSVALL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38142-2024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45545</v>
      </c>
      <c r="E761" s="1" t="n">
        <v>46320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5635-2026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46320</v>
      </c>
      <c r="F762" t="inlineStr">
        <is>
          <t>GÄVLEBORGS LÄN</t>
        </is>
      </c>
      <c r="G762" t="inlineStr">
        <is>
          <t>HUDIKSVALL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46320</v>
      </c>
      <c r="F763" t="inlineStr">
        <is>
          <t>GÄVLEBORGS LÄN</t>
        </is>
      </c>
      <c r="G763" t="inlineStr">
        <is>
          <t>HUDIKSVALL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34293-2024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45524</v>
      </c>
      <c r="E764" s="1" t="n">
        <v>46320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45803</v>
      </c>
      <c r="E765" s="1" t="n">
        <v>46320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46055</v>
      </c>
      <c r="E766" s="1" t="n">
        <v>46320</v>
      </c>
      <c r="F766" t="inlineStr">
        <is>
          <t>GÄVLEBORGS LÄN</t>
        </is>
      </c>
      <c r="G766" t="inlineStr">
        <is>
          <t>HUDIKSVALL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6198-2026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46320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46320</v>
      </c>
      <c r="F768" t="inlineStr">
        <is>
          <t>GÄVLEBORGS LÄN</t>
        </is>
      </c>
      <c r="G768" t="inlineStr">
        <is>
          <t>HUDIKSVALL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6591-2026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46320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46056</v>
      </c>
      <c r="E770" s="1" t="n">
        <v>46320</v>
      </c>
      <c r="F770" t="inlineStr">
        <is>
          <t>GÄVLEBORGS LÄN</t>
        </is>
      </c>
      <c r="G770" t="inlineStr">
        <is>
          <t>HUDIKSVALL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6488-2026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46320</v>
      </c>
      <c r="F771" t="inlineStr">
        <is>
          <t>GÄVLEBORGS LÄN</t>
        </is>
      </c>
      <c r="G771" t="inlineStr">
        <is>
          <t>HUDIKSVALL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46320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16858-2024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45411</v>
      </c>
      <c r="E773" s="1" t="n">
        <v>46320</v>
      </c>
      <c r="F773" t="inlineStr">
        <is>
          <t>GÄVLEBORGS LÄN</t>
        </is>
      </c>
      <c r="G773" t="inlineStr">
        <is>
          <t>HUDIKSVALL</t>
        </is>
      </c>
      <c r="I773" t="n">
        <v>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45411</v>
      </c>
      <c r="E774" s="1" t="n">
        <v>46320</v>
      </c>
      <c r="F774" t="inlineStr">
        <is>
          <t>GÄVLEBORGS LÄN</t>
        </is>
      </c>
      <c r="G774" t="inlineStr">
        <is>
          <t>HUDIKSVALL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45810</v>
      </c>
      <c r="E775" s="1" t="n">
        <v>46320</v>
      </c>
      <c r="F775" t="inlineStr">
        <is>
          <t>GÄVLEBORGS LÄN</t>
        </is>
      </c>
      <c r="G775" t="inlineStr">
        <is>
          <t>HUDIKSVALL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6294-2026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46055</v>
      </c>
      <c r="E776" s="1" t="n">
        <v>46320</v>
      </c>
      <c r="F776" t="inlineStr">
        <is>
          <t>GÄVLEBORGS LÄN</t>
        </is>
      </c>
      <c r="G776" t="inlineStr">
        <is>
          <t>HUDIKSVALL</t>
        </is>
      </c>
      <c r="I776" t="n">
        <v>14.2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34128-2024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45524</v>
      </c>
      <c r="E777" s="1" t="n">
        <v>46320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46320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26402-2025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45807</v>
      </c>
      <c r="E779" s="1" t="n">
        <v>46320</v>
      </c>
      <c r="F779" t="inlineStr">
        <is>
          <t>GÄVLEBORGS LÄN</t>
        </is>
      </c>
      <c r="G779" t="inlineStr">
        <is>
          <t>HUDIKSVALL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46058</v>
      </c>
      <c r="E780" s="1" t="n">
        <v>46320</v>
      </c>
      <c r="F780" t="inlineStr">
        <is>
          <t>GÄVLEBORGS LÄN</t>
        </is>
      </c>
      <c r="G780" t="inlineStr">
        <is>
          <t>HUDIKSVALL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46320</v>
      </c>
      <c r="F781" t="inlineStr">
        <is>
          <t>GÄVLEBORGS LÄN</t>
        </is>
      </c>
      <c r="G781" t="inlineStr">
        <is>
          <t>HUDIKSVALL</t>
        </is>
      </c>
      <c r="H781" t="inlineStr">
        <is>
          <t>Naturvårdsverket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46320</v>
      </c>
      <c r="F782" t="inlineStr">
        <is>
          <t>GÄVLEBORGS LÄN</t>
        </is>
      </c>
      <c r="G782" t="inlineStr">
        <is>
          <t>HUDIKSVALL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46320</v>
      </c>
      <c r="F783" t="inlineStr">
        <is>
          <t>GÄVLEBORGS LÄN</t>
        </is>
      </c>
      <c r="G783" t="inlineStr">
        <is>
          <t>HUDIKSVALL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46057</v>
      </c>
      <c r="E784" s="1" t="n">
        <v>46320</v>
      </c>
      <c r="F784" t="inlineStr">
        <is>
          <t>GÄVLEBORGS LÄN</t>
        </is>
      </c>
      <c r="G784" t="inlineStr">
        <is>
          <t>HUDIKSVALL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46289</v>
      </c>
      <c r="E785" s="1" t="n">
        <v>46320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46320</v>
      </c>
      <c r="F786" t="inlineStr">
        <is>
          <t>GÄVLEBORGS LÄN</t>
        </is>
      </c>
      <c r="G786" t="inlineStr">
        <is>
          <t>HUDIKSVALL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46320</v>
      </c>
      <c r="F787" t="inlineStr">
        <is>
          <t>GÄVLEBORGS LÄN</t>
        </is>
      </c>
      <c r="G787" t="inlineStr">
        <is>
          <t>HUDIKSVALL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46320</v>
      </c>
      <c r="F788" t="inlineStr">
        <is>
          <t>GÄVLEBORGS LÄN</t>
        </is>
      </c>
      <c r="G788" t="inlineStr">
        <is>
          <t>HUDIKSVALL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6832-2026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46057</v>
      </c>
      <c r="E789" s="1" t="n">
        <v>46320</v>
      </c>
      <c r="F789" t="inlineStr">
        <is>
          <t>GÄVLEBORGS LÄN</t>
        </is>
      </c>
      <c r="G789" t="inlineStr">
        <is>
          <t>HUDIKSVALL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46320</v>
      </c>
      <c r="F790" t="inlineStr">
        <is>
          <t>GÄVLEBORGS LÄN</t>
        </is>
      </c>
      <c r="G790" t="inlineStr">
        <is>
          <t>HUDIKSVALL</t>
        </is>
      </c>
      <c r="I790" t="n">
        <v>41.1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12674-2023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45000</v>
      </c>
      <c r="E791" s="1" t="n">
        <v>46320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26403-2025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45807</v>
      </c>
      <c r="E792" s="1" t="n">
        <v>46320</v>
      </c>
      <c r="F792" t="inlineStr">
        <is>
          <t>GÄVLEBORGS LÄN</t>
        </is>
      </c>
      <c r="G792" t="inlineStr">
        <is>
          <t>HUDIKSVALL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24040-2025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45796</v>
      </c>
      <c r="E793" s="1" t="n">
        <v>46320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16.3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45810</v>
      </c>
      <c r="E794" s="1" t="n">
        <v>46320</v>
      </c>
      <c r="F794" t="inlineStr">
        <is>
          <t>GÄVLEBORGS LÄN</t>
        </is>
      </c>
      <c r="G794" t="inlineStr">
        <is>
          <t>HUDIKSVALL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46059</v>
      </c>
      <c r="E795" s="1" t="n">
        <v>46320</v>
      </c>
      <c r="F795" t="inlineStr">
        <is>
          <t>GÄVLEBORGS LÄN</t>
        </is>
      </c>
      <c r="G795" t="inlineStr">
        <is>
          <t>HUDIKSVALL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46059</v>
      </c>
      <c r="E796" s="1" t="n">
        <v>46320</v>
      </c>
      <c r="F796" t="inlineStr">
        <is>
          <t>GÄVLEBORGS LÄN</t>
        </is>
      </c>
      <c r="G796" t="inlineStr">
        <is>
          <t>HUDIKSVALL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33270-2026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46246</v>
      </c>
      <c r="E797" s="1" t="n">
        <v>46320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7702-2026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46062</v>
      </c>
      <c r="E798" s="1" t="n">
        <v>46320</v>
      </c>
      <c r="F798" t="inlineStr">
        <is>
          <t>GÄVLEBORGS LÄN</t>
        </is>
      </c>
      <c r="G798" t="inlineStr">
        <is>
          <t>HUDIKSVALL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26894-2025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46320</v>
      </c>
      <c r="F799" t="inlineStr">
        <is>
          <t>GÄVLEBORGS LÄN</t>
        </is>
      </c>
      <c r="G799" t="inlineStr">
        <is>
          <t>HUDIKSVALL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33572-2026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46248</v>
      </c>
      <c r="E800" s="1" t="n">
        <v>46320</v>
      </c>
      <c r="F800" t="inlineStr">
        <is>
          <t>GÄVLEBORGS LÄN</t>
        </is>
      </c>
      <c r="G800" t="inlineStr">
        <is>
          <t>HUDIKSVALL</t>
        </is>
      </c>
      <c r="H800" t="inlineStr">
        <is>
          <t>Naturvårdsverket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7781-2026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46062</v>
      </c>
      <c r="E801" s="1" t="n">
        <v>46320</v>
      </c>
      <c r="F801" t="inlineStr">
        <is>
          <t>GÄVLEBORGS LÄN</t>
        </is>
      </c>
      <c r="G801" t="inlineStr">
        <is>
          <t>HUDIKSVALL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45812</v>
      </c>
      <c r="E802" s="1" t="n">
        <v>46320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55615-2025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45971</v>
      </c>
      <c r="E803" s="1" t="n">
        <v>46320</v>
      </c>
      <c r="F803" t="inlineStr">
        <is>
          <t>GÄVLEBORGS LÄN</t>
        </is>
      </c>
      <c r="G803" t="inlineStr">
        <is>
          <t>HUDIKSVALL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27159-2025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45812</v>
      </c>
      <c r="E804" s="1" t="n">
        <v>46320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7048-2026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46057</v>
      </c>
      <c r="E805" s="1" t="n">
        <v>46320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8214-2026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46064</v>
      </c>
      <c r="E806" s="1" t="n">
        <v>46320</v>
      </c>
      <c r="F806" t="inlineStr">
        <is>
          <t>GÄVLEBORGS LÄN</t>
        </is>
      </c>
      <c r="G806" t="inlineStr">
        <is>
          <t>HUDIKSVALL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45811</v>
      </c>
      <c r="E807" s="1" t="n">
        <v>46320</v>
      </c>
      <c r="F807" t="inlineStr">
        <is>
          <t>GÄVLEBORGS LÄN</t>
        </is>
      </c>
      <c r="G807" t="inlineStr">
        <is>
          <t>HUDIKSVALL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8307-2026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46064</v>
      </c>
      <c r="E808" s="1" t="n">
        <v>46320</v>
      </c>
      <c r="F808" t="inlineStr">
        <is>
          <t>GÄVLEBORGS LÄN</t>
        </is>
      </c>
      <c r="G808" t="inlineStr">
        <is>
          <t>HUDIKSVALL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46063</v>
      </c>
      <c r="E809" s="1" t="n">
        <v>46320</v>
      </c>
      <c r="F809" t="inlineStr">
        <is>
          <t>GÄVLEBORGS LÄN</t>
        </is>
      </c>
      <c r="G809" t="inlineStr">
        <is>
          <t>HUDIKSVALL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24329-2024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45457</v>
      </c>
      <c r="E810" s="1" t="n">
        <v>46320</v>
      </c>
      <c r="F810" t="inlineStr">
        <is>
          <t>GÄVLEBORGS LÄN</t>
        </is>
      </c>
      <c r="G810" t="inlineStr">
        <is>
          <t>HUDIKSVALL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8370-2026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46064</v>
      </c>
      <c r="E811" s="1" t="n">
        <v>46320</v>
      </c>
      <c r="F811" t="inlineStr">
        <is>
          <t>GÄVLEBORGS LÄN</t>
        </is>
      </c>
      <c r="G811" t="inlineStr">
        <is>
          <t>HUDIKSVALL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27514-2025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45813</v>
      </c>
      <c r="E812" s="1" t="n">
        <v>46320</v>
      </c>
      <c r="F812" t="inlineStr">
        <is>
          <t>GÄVLEBORGS LÄN</t>
        </is>
      </c>
      <c r="G812" t="inlineStr">
        <is>
          <t>HUDIKSVALL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46320</v>
      </c>
      <c r="F813" t="inlineStr">
        <is>
          <t>GÄVLEBORGS LÄN</t>
        </is>
      </c>
      <c r="G813" t="inlineStr">
        <is>
          <t>HUDIKSVALL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46065</v>
      </c>
      <c r="E814" s="1" t="n">
        <v>46320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8512-2026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46065</v>
      </c>
      <c r="E815" s="1" t="n">
        <v>46320</v>
      </c>
      <c r="F815" t="inlineStr">
        <is>
          <t>GÄVLEBORGS LÄN</t>
        </is>
      </c>
      <c r="G815" t="inlineStr">
        <is>
          <t>HUDIKSVALL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27791-2025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45816</v>
      </c>
      <c r="E816" s="1" t="n">
        <v>46320</v>
      </c>
      <c r="F816" t="inlineStr">
        <is>
          <t>GÄVLEBORGS LÄN</t>
        </is>
      </c>
      <c r="G816" t="inlineStr">
        <is>
          <t>HUDIKSVALL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46320</v>
      </c>
      <c r="F817" t="inlineStr">
        <is>
          <t>GÄVLEBORGS LÄN</t>
        </is>
      </c>
      <c r="G817" t="inlineStr">
        <is>
          <t>HUDIKSVALL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8480-2026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46065</v>
      </c>
      <c r="E818" s="1" t="n">
        <v>46320</v>
      </c>
      <c r="F818" t="inlineStr">
        <is>
          <t>GÄVLEBORGS LÄN</t>
        </is>
      </c>
      <c r="G818" t="inlineStr">
        <is>
          <t>HUDIKSVALL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8440-2026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46320</v>
      </c>
      <c r="F819" t="inlineStr">
        <is>
          <t>GÄVLEBORGS LÄN</t>
        </is>
      </c>
      <c r="G819" t="inlineStr">
        <is>
          <t>HUDIKSVALL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8775-2026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46066</v>
      </c>
      <c r="E820" s="1" t="n">
        <v>46320</v>
      </c>
      <c r="F820" t="inlineStr">
        <is>
          <t>GÄVLEBORGS LÄN</t>
        </is>
      </c>
      <c r="G820" t="inlineStr">
        <is>
          <t>HUDIKSVALL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46066</v>
      </c>
      <c r="E821" s="1" t="n">
        <v>46320</v>
      </c>
      <c r="F821" t="inlineStr">
        <is>
          <t>GÄVLEBORGS LÄN</t>
        </is>
      </c>
      <c r="G821" t="inlineStr">
        <is>
          <t>HUDIKSVALL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8471-2026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46065</v>
      </c>
      <c r="E822" s="1" t="n">
        <v>46320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24853-2026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46320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40315-2026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46320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28184-2025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46320</v>
      </c>
      <c r="F825" t="inlineStr">
        <is>
          <t>GÄVLEBORGS LÄN</t>
        </is>
      </c>
      <c r="G825" t="inlineStr">
        <is>
          <t>HUDIKSVALL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27881-2025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45817</v>
      </c>
      <c r="E826" s="1" t="n">
        <v>46320</v>
      </c>
      <c r="F826" t="inlineStr">
        <is>
          <t>GÄVLEBORGS LÄN</t>
        </is>
      </c>
      <c r="G826" t="inlineStr">
        <is>
          <t>HUDIKSVALL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33545-2026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46320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46320</v>
      </c>
      <c r="F828" t="inlineStr">
        <is>
          <t>GÄVLEBORGS LÄN</t>
        </is>
      </c>
      <c r="G828" t="inlineStr">
        <is>
          <t>HUDIKSVALL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46320</v>
      </c>
      <c r="F829" t="inlineStr">
        <is>
          <t>GÄVLEBORGS LÄN</t>
        </is>
      </c>
      <c r="G829" t="inlineStr">
        <is>
          <t>HUDIKSVALL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28475-2025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45819</v>
      </c>
      <c r="E830" s="1" t="n">
        <v>46320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46320</v>
      </c>
      <c r="F831" t="inlineStr">
        <is>
          <t>GÄVLEBORGS LÄN</t>
        </is>
      </c>
      <c r="G831" t="inlineStr">
        <is>
          <t>HUDIKSVALL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46320</v>
      </c>
      <c r="F832" t="inlineStr">
        <is>
          <t>GÄVLEBORGS LÄN</t>
        </is>
      </c>
      <c r="G832" t="inlineStr">
        <is>
          <t>HUDIKSVALL</t>
        </is>
      </c>
      <c r="I832" t="n">
        <v>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9581-2026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46071</v>
      </c>
      <c r="E833" s="1" t="n">
        <v>46320</v>
      </c>
      <c r="F833" t="inlineStr">
        <is>
          <t>GÄVLEBORGS LÄN</t>
        </is>
      </c>
      <c r="G833" t="inlineStr">
        <is>
          <t>HUDIKSVALL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46071</v>
      </c>
      <c r="E834" s="1" t="n">
        <v>46320</v>
      </c>
      <c r="F834" t="inlineStr">
        <is>
          <t>GÄVLEBORGS LÄN</t>
        </is>
      </c>
      <c r="G834" t="inlineStr">
        <is>
          <t>HUDIKSVALL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28456-2025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45819</v>
      </c>
      <c r="E835" s="1" t="n">
        <v>46320</v>
      </c>
      <c r="F835" t="inlineStr">
        <is>
          <t>GÄVLEBORGS LÄN</t>
        </is>
      </c>
      <c r="G835" t="inlineStr">
        <is>
          <t>HUDIKSVALL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28485-2025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45819</v>
      </c>
      <c r="E836" s="1" t="n">
        <v>46320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46071</v>
      </c>
      <c r="E837" s="1" t="n">
        <v>46320</v>
      </c>
      <c r="F837" t="inlineStr">
        <is>
          <t>GÄVLEBORGS LÄN</t>
        </is>
      </c>
      <c r="G837" t="inlineStr">
        <is>
          <t>HUDIKSVALL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45819</v>
      </c>
      <c r="E838" s="1" t="n">
        <v>46320</v>
      </c>
      <c r="F838" t="inlineStr">
        <is>
          <t>GÄVLEBORGS LÄN</t>
        </is>
      </c>
      <c r="G838" t="inlineStr">
        <is>
          <t>HUDIKSVALL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34153-2026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46253</v>
      </c>
      <c r="E839" s="1" t="n">
        <v>46320</v>
      </c>
      <c r="F839" t="inlineStr">
        <is>
          <t>GÄVLEBORGS LÄN</t>
        </is>
      </c>
      <c r="G839" t="inlineStr">
        <is>
          <t>HUDIKSVALL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9763-2026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46072</v>
      </c>
      <c r="E840" s="1" t="n">
        <v>46320</v>
      </c>
      <c r="F840" t="inlineStr">
        <is>
          <t>GÄVLEBORGS LÄN</t>
        </is>
      </c>
      <c r="G840" t="inlineStr">
        <is>
          <t>HUDIKSVALL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28411-2025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45819</v>
      </c>
      <c r="E841" s="1" t="n">
        <v>46320</v>
      </c>
      <c r="F841" t="inlineStr">
        <is>
          <t>GÄVLEBORGS LÄN</t>
        </is>
      </c>
      <c r="G841" t="inlineStr">
        <is>
          <t>HUDIKSVALL</t>
        </is>
      </c>
      <c r="I841" t="n">
        <v>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28815-2025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45820</v>
      </c>
      <c r="E842" s="1" t="n">
        <v>46320</v>
      </c>
      <c r="F842" t="inlineStr">
        <is>
          <t>GÄVLEBORGS LÄN</t>
        </is>
      </c>
      <c r="G842" t="inlineStr">
        <is>
          <t>HUDIKSVALL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28809-2025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45820</v>
      </c>
      <c r="E843" s="1" t="n">
        <v>46320</v>
      </c>
      <c r="F843" t="inlineStr">
        <is>
          <t>GÄVLEBORGS LÄN</t>
        </is>
      </c>
      <c r="G843" t="inlineStr">
        <is>
          <t>HUDIKSVALL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10059-2026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46320</v>
      </c>
      <c r="F844" t="inlineStr">
        <is>
          <t>GÄVLEBORGS LÄN</t>
        </is>
      </c>
      <c r="G844" t="inlineStr">
        <is>
          <t>HUDIKSVALL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10374-2026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46076</v>
      </c>
      <c r="E845" s="1" t="n">
        <v>46320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33970-2026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46252</v>
      </c>
      <c r="E846" s="1" t="n">
        <v>46320</v>
      </c>
      <c r="F846" t="inlineStr">
        <is>
          <t>GÄVLEBORGS LÄN</t>
        </is>
      </c>
      <c r="G846" t="inlineStr">
        <is>
          <t>HUDIKSVALL</t>
        </is>
      </c>
      <c r="I846" t="n">
        <v>7.6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10378-2026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46076</v>
      </c>
      <c r="E847" s="1" t="n">
        <v>46320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29276-2025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45824</v>
      </c>
      <c r="E848" s="1" t="n">
        <v>46320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29338-2025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45824</v>
      </c>
      <c r="E849" s="1" t="n">
        <v>46320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46073</v>
      </c>
      <c r="E850" s="1" t="n">
        <v>46320</v>
      </c>
      <c r="F850" t="inlineStr">
        <is>
          <t>GÄVLEBORGS LÄN</t>
        </is>
      </c>
      <c r="G850" t="inlineStr">
        <is>
          <t>HUDIKSVALL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46073</v>
      </c>
      <c r="E851" s="1" t="n">
        <v>46320</v>
      </c>
      <c r="F851" t="inlineStr">
        <is>
          <t>GÄVLEBORGS LÄN</t>
        </is>
      </c>
      <c r="G851" t="inlineStr">
        <is>
          <t>HUDIKSVALL</t>
        </is>
      </c>
      <c r="I851" t="n">
        <v>18.2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29357-2025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45824</v>
      </c>
      <c r="E852" s="1" t="n">
        <v>46320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29334-2025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45824</v>
      </c>
      <c r="E853" s="1" t="n">
        <v>46320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29329-2025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45824</v>
      </c>
      <c r="E854" s="1" t="n">
        <v>46320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10308-2026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46076</v>
      </c>
      <c r="E855" s="1" t="n">
        <v>46320</v>
      </c>
      <c r="F855" t="inlineStr">
        <is>
          <t>GÄVLEBORGS LÄN</t>
        </is>
      </c>
      <c r="G855" t="inlineStr">
        <is>
          <t>HUDIKSVALL</t>
        </is>
      </c>
      <c r="H855" t="inlineStr">
        <is>
          <t>Sveaskog</t>
        </is>
      </c>
      <c r="I855" t="n">
        <v>5.4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10372-2026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46320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9916-2026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46073</v>
      </c>
      <c r="E857" s="1" t="n">
        <v>46320</v>
      </c>
      <c r="F857" t="inlineStr">
        <is>
          <t>GÄVLEBORGS LÄN</t>
        </is>
      </c>
      <c r="G857" t="inlineStr">
        <is>
          <t>HUDIKSVALL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10235-2026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46320</v>
      </c>
      <c r="F858" t="inlineStr">
        <is>
          <t>GÄVLEBORGS LÄN</t>
        </is>
      </c>
      <c r="G858" t="inlineStr">
        <is>
          <t>HUDIKSVALL</t>
        </is>
      </c>
      <c r="I858" t="n">
        <v>7.7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29315-2025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45824</v>
      </c>
      <c r="E859" s="1" t="n">
        <v>46320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29353-2025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45824</v>
      </c>
      <c r="E860" s="1" t="n">
        <v>46320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10534-2026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46077</v>
      </c>
      <c r="E861" s="1" t="n">
        <v>46320</v>
      </c>
      <c r="F861" t="inlineStr">
        <is>
          <t>GÄVLEBORGS LÄN</t>
        </is>
      </c>
      <c r="G861" t="inlineStr">
        <is>
          <t>HUDIKSVALL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33826-2026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46320</v>
      </c>
      <c r="F862" t="inlineStr">
        <is>
          <t>GÄVLEBORGS LÄN</t>
        </is>
      </c>
      <c r="G862" t="inlineStr">
        <is>
          <t>HUDIKSVALL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34032-2026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46252</v>
      </c>
      <c r="E863" s="1" t="n">
        <v>46320</v>
      </c>
      <c r="F863" t="inlineStr">
        <is>
          <t>GÄVLEBORGS LÄN</t>
        </is>
      </c>
      <c r="G863" t="inlineStr">
        <is>
          <t>HUDIKSVALL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29772-2025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45825</v>
      </c>
      <c r="E864" s="1" t="n">
        <v>46320</v>
      </c>
      <c r="F864" t="inlineStr">
        <is>
          <t>GÄVLEBORGS LÄN</t>
        </is>
      </c>
      <c r="G864" t="inlineStr">
        <is>
          <t>HUDIKSVALL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10839-2026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46078</v>
      </c>
      <c r="E865" s="1" t="n">
        <v>46320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30481-2025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45828</v>
      </c>
      <c r="E866" s="1" t="n">
        <v>46320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30463-2025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45827</v>
      </c>
      <c r="E867" s="1" t="n">
        <v>46320</v>
      </c>
      <c r="F867" t="inlineStr">
        <is>
          <t>GÄVLEBORGS LÄN</t>
        </is>
      </c>
      <c r="G867" t="inlineStr">
        <is>
          <t>HUDIKSVALL</t>
        </is>
      </c>
      <c r="I867" t="n">
        <v>9.800000000000001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30480-2025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45828</v>
      </c>
      <c r="E868" s="1" t="n">
        <v>46320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30450-2025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45827</v>
      </c>
      <c r="E869" s="1" t="n">
        <v>46320</v>
      </c>
      <c r="F869" t="inlineStr">
        <is>
          <t>GÄVLEBORGS LÄN</t>
        </is>
      </c>
      <c r="G869" t="inlineStr">
        <is>
          <t>HUDIKSVALL</t>
        </is>
      </c>
      <c r="I869" t="n">
        <v>14.4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30442-2025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45827</v>
      </c>
      <c r="E870" s="1" t="n">
        <v>46320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48.3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30234-2025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45827</v>
      </c>
      <c r="E871" s="1" t="n">
        <v>46320</v>
      </c>
      <c r="F871" t="inlineStr">
        <is>
          <t>GÄVLEBORGS LÄN</t>
        </is>
      </c>
      <c r="G871" t="inlineStr">
        <is>
          <t>HUDIKSVALL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30479-2025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45828</v>
      </c>
      <c r="E872" s="1" t="n">
        <v>46320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30158-2025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45827</v>
      </c>
      <c r="E873" s="1" t="n">
        <v>46320</v>
      </c>
      <c r="F873" t="inlineStr">
        <is>
          <t>GÄVLEBORGS LÄN</t>
        </is>
      </c>
      <c r="G873" t="inlineStr">
        <is>
          <t>HUDIKSVALL</t>
        </is>
      </c>
      <c r="H873" t="inlineStr">
        <is>
          <t>Sveaskog</t>
        </is>
      </c>
      <c r="I873" t="n">
        <v>7.2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46320</v>
      </c>
      <c r="F874" t="inlineStr">
        <is>
          <t>GÄVLEBORGS LÄN</t>
        </is>
      </c>
      <c r="G874" t="inlineStr">
        <is>
          <t>HUDIKSVALL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30309-2025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45827</v>
      </c>
      <c r="E875" s="1" t="n">
        <v>46320</v>
      </c>
      <c r="F875" t="inlineStr">
        <is>
          <t>GÄVLEBORGS LÄN</t>
        </is>
      </c>
      <c r="G875" t="inlineStr">
        <is>
          <t>HUDIKSVALL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46320</v>
      </c>
      <c r="F876" t="inlineStr">
        <is>
          <t>GÄVLEBORGS LÄN</t>
        </is>
      </c>
      <c r="G876" t="inlineStr">
        <is>
          <t>HUDIKSVALL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46320</v>
      </c>
      <c r="F877" t="inlineStr">
        <is>
          <t>GÄVLEBORGS LÄN</t>
        </is>
      </c>
      <c r="G877" t="inlineStr">
        <is>
          <t>HUDIKSVALL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34034-2026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46252</v>
      </c>
      <c r="E878" s="1" t="n">
        <v>46320</v>
      </c>
      <c r="F878" t="inlineStr">
        <is>
          <t>GÄVLEBORGS LÄN</t>
        </is>
      </c>
      <c r="G878" t="inlineStr">
        <is>
          <t>HUDIKSVALL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11932-2026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46085</v>
      </c>
      <c r="E879" s="1" t="n">
        <v>46320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46084</v>
      </c>
      <c r="E880" s="1" t="n">
        <v>46320</v>
      </c>
      <c r="F880" t="inlineStr">
        <is>
          <t>GÄVLEBORGS LÄN</t>
        </is>
      </c>
      <c r="G880" t="inlineStr">
        <is>
          <t>HUDIKSVALL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21229-2025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45779</v>
      </c>
      <c r="E881" s="1" t="n">
        <v>46320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38.1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30757-2025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46320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6.6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11778-2026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46084</v>
      </c>
      <c r="E883" s="1" t="n">
        <v>46320</v>
      </c>
      <c r="F883" t="inlineStr">
        <is>
          <t>GÄVLEBORGS LÄN</t>
        </is>
      </c>
      <c r="G883" t="inlineStr">
        <is>
          <t>HUDIKSVALL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12127-2026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46086</v>
      </c>
      <c r="E884" s="1" t="n">
        <v>46320</v>
      </c>
      <c r="F884" t="inlineStr">
        <is>
          <t>GÄVLEBORGS LÄN</t>
        </is>
      </c>
      <c r="G884" t="inlineStr">
        <is>
          <t>HUDIKSVALL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12252-2026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46087</v>
      </c>
      <c r="E885" s="1" t="n">
        <v>46320</v>
      </c>
      <c r="F885" t="inlineStr">
        <is>
          <t>GÄVLEBORGS LÄN</t>
        </is>
      </c>
      <c r="G885" t="inlineStr">
        <is>
          <t>HUDIKSVALL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45834</v>
      </c>
      <c r="E886" s="1" t="n">
        <v>46320</v>
      </c>
      <c r="F886" t="inlineStr">
        <is>
          <t>GÄVLEBORGS LÄN</t>
        </is>
      </c>
      <c r="G886" t="inlineStr">
        <is>
          <t>HUDIKSVALL</t>
        </is>
      </c>
      <c r="I886" t="n">
        <v>8.9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31720-2025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45834</v>
      </c>
      <c r="E887" s="1" t="n">
        <v>46320</v>
      </c>
      <c r="F887" t="inlineStr">
        <is>
          <t>GÄVLEBORGS LÄN</t>
        </is>
      </c>
      <c r="G887" t="inlineStr">
        <is>
          <t>HUDIKSVALL</t>
        </is>
      </c>
      <c r="I887" t="n">
        <v>31.2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12024-2026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46085</v>
      </c>
      <c r="E888" s="1" t="n">
        <v>46320</v>
      </c>
      <c r="F888" t="inlineStr">
        <is>
          <t>GÄVLEBORGS LÄN</t>
        </is>
      </c>
      <c r="G888" t="inlineStr">
        <is>
          <t>HUDIKSVALL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31477-2025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45833</v>
      </c>
      <c r="E889" s="1" t="n">
        <v>46320</v>
      </c>
      <c r="F889" t="inlineStr">
        <is>
          <t>GÄVLEBORGS LÄN</t>
        </is>
      </c>
      <c r="G889" t="inlineStr">
        <is>
          <t>HUDIKSVALL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12350-2026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46087</v>
      </c>
      <c r="E890" s="1" t="n">
        <v>46320</v>
      </c>
      <c r="F890" t="inlineStr">
        <is>
          <t>GÄVLEBORGS LÄN</t>
        </is>
      </c>
      <c r="G890" t="inlineStr">
        <is>
          <t>HUDIKSVALL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31766-2025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45834</v>
      </c>
      <c r="E891" s="1" t="n">
        <v>46320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12421-2026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46320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12480-2026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46090</v>
      </c>
      <c r="E893" s="1" t="n">
        <v>46320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46320</v>
      </c>
      <c r="F894" t="inlineStr">
        <is>
          <t>GÄVLEBORGS LÄN</t>
        </is>
      </c>
      <c r="G894" t="inlineStr">
        <is>
          <t>HUDIKSVALL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34526-2026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46255</v>
      </c>
      <c r="E895" s="1" t="n">
        <v>46320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12538-2026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46320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46320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12556-2026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46320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Kyrkan</t>
        </is>
      </c>
      <c r="I898" t="n">
        <v>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12543-2026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46090</v>
      </c>
      <c r="E899" s="1" t="n">
        <v>46320</v>
      </c>
      <c r="F899" t="inlineStr">
        <is>
          <t>GÄVLEBORGS LÄN</t>
        </is>
      </c>
      <c r="G899" t="inlineStr">
        <is>
          <t>HUDIKSVALL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16954-2026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46114</v>
      </c>
      <c r="E900" s="1" t="n">
        <v>46320</v>
      </c>
      <c r="F900" t="inlineStr">
        <is>
          <t>GÄVLEBORGS LÄN</t>
        </is>
      </c>
      <c r="G900" t="inlineStr">
        <is>
          <t>HUDIKSVALL</t>
        </is>
      </c>
      <c r="I900" t="n">
        <v>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11267-2023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44992</v>
      </c>
      <c r="E901" s="1" t="n">
        <v>46320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12634-2026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46091</v>
      </c>
      <c r="E902" s="1" t="n">
        <v>46320</v>
      </c>
      <c r="F902" t="inlineStr">
        <is>
          <t>GÄVLEBORGS LÄN</t>
        </is>
      </c>
      <c r="G902" t="inlineStr">
        <is>
          <t>HUDIKSVALL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41149-2026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46300</v>
      </c>
      <c r="E903" s="1" t="n">
        <v>46320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46091</v>
      </c>
      <c r="E904" s="1" t="n">
        <v>46320</v>
      </c>
      <c r="F904" t="inlineStr">
        <is>
          <t>GÄVLEBORGS LÄN</t>
        </is>
      </c>
      <c r="G904" t="inlineStr">
        <is>
          <t>HUDIKSVALL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31936-2025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45834</v>
      </c>
      <c r="E905" s="1" t="n">
        <v>46320</v>
      </c>
      <c r="F905" t="inlineStr">
        <is>
          <t>GÄVLEBORGS LÄN</t>
        </is>
      </c>
      <c r="G905" t="inlineStr">
        <is>
          <t>HUDIKSVALL</t>
        </is>
      </c>
      <c r="I905" t="n">
        <v>3.8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46320</v>
      </c>
      <c r="F906" t="inlineStr">
        <is>
          <t>GÄVLEBORGS LÄN</t>
        </is>
      </c>
      <c r="G906" t="inlineStr">
        <is>
          <t>HUDIKSVALL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32167-2025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45835</v>
      </c>
      <c r="E907" s="1" t="n">
        <v>46320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12541-2026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46090</v>
      </c>
      <c r="E908" s="1" t="n">
        <v>46320</v>
      </c>
      <c r="F908" t="inlineStr">
        <is>
          <t>GÄVLEBORGS LÄN</t>
        </is>
      </c>
      <c r="G908" t="inlineStr">
        <is>
          <t>HUDIKSVALL</t>
        </is>
      </c>
      <c r="H908" t="inlineStr">
        <is>
          <t>Kyrkan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33197-2025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45840</v>
      </c>
      <c r="E909" s="1" t="n">
        <v>46320</v>
      </c>
      <c r="F909" t="inlineStr">
        <is>
          <t>GÄVLEBORGS LÄN</t>
        </is>
      </c>
      <c r="G909" t="inlineStr">
        <is>
          <t>HUDIKSVALL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12894-2026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46092</v>
      </c>
      <c r="E910" s="1" t="n">
        <v>46320</v>
      </c>
      <c r="F910" t="inlineStr">
        <is>
          <t>GÄVLEBORGS LÄN</t>
        </is>
      </c>
      <c r="G910" t="inlineStr">
        <is>
          <t>HUDIKSVALL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13168-2026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46320</v>
      </c>
      <c r="F911" t="inlineStr">
        <is>
          <t>GÄVLEBORGS LÄN</t>
        </is>
      </c>
      <c r="G911" t="inlineStr">
        <is>
          <t>HUDIKSVALL</t>
        </is>
      </c>
      <c r="H911" t="inlineStr">
        <is>
          <t>Sveaskog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13170-2026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46093</v>
      </c>
      <c r="E912" s="1" t="n">
        <v>46320</v>
      </c>
      <c r="F912" t="inlineStr">
        <is>
          <t>GÄVLEBORGS LÄN</t>
        </is>
      </c>
      <c r="G912" t="inlineStr">
        <is>
          <t>HUDIKSVALL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13156-2026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46093</v>
      </c>
      <c r="E913" s="1" t="n">
        <v>46320</v>
      </c>
      <c r="F913" t="inlineStr">
        <is>
          <t>GÄVLEBORGS LÄN</t>
        </is>
      </c>
      <c r="G913" t="inlineStr">
        <is>
          <t>HUDIKSVALL</t>
        </is>
      </c>
      <c r="I913" t="n">
        <v>5.4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34528-2026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46320</v>
      </c>
      <c r="F914" t="inlineStr">
        <is>
          <t>GÄVLEBORGS LÄN</t>
        </is>
      </c>
      <c r="G914" t="inlineStr">
        <is>
          <t>HUDIKSVALL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33239-2025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46320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33254-2025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45840</v>
      </c>
      <c r="E916" s="1" t="n">
        <v>46320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33260-2025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45840</v>
      </c>
      <c r="E917" s="1" t="n">
        <v>46320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33166-2025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45840</v>
      </c>
      <c r="E918" s="1" t="n">
        <v>46320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13445-2026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46320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46094</v>
      </c>
      <c r="E920" s="1" t="n">
        <v>46320</v>
      </c>
      <c r="F920" t="inlineStr">
        <is>
          <t>GÄVLEBORGS LÄN</t>
        </is>
      </c>
      <c r="G920" t="inlineStr">
        <is>
          <t>HUDIKSVALL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13453-2026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46094</v>
      </c>
      <c r="E921" s="1" t="n">
        <v>46320</v>
      </c>
      <c r="F921" t="inlineStr">
        <is>
          <t>GÄVLEBORGS LÄN</t>
        </is>
      </c>
      <c r="G921" t="inlineStr">
        <is>
          <t>HUDIKSVALL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34141-2026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46253</v>
      </c>
      <c r="E922" s="1" t="n">
        <v>46320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13315-2026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46320</v>
      </c>
      <c r="F923" t="inlineStr">
        <is>
          <t>GÄVLEBORGS LÄN</t>
        </is>
      </c>
      <c r="G923" t="inlineStr">
        <is>
          <t>HUDIKSVALL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14957-2026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46104</v>
      </c>
      <c r="E924" s="1" t="n">
        <v>46320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11776-2026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46320</v>
      </c>
      <c r="F925" t="inlineStr">
        <is>
          <t>GÄVLEBORGS LÄN</t>
        </is>
      </c>
      <c r="G925" t="inlineStr">
        <is>
          <t>HUDIKSVALL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30107-2024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45489</v>
      </c>
      <c r="E926" s="1" t="n">
        <v>46320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21539-2026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46148</v>
      </c>
      <c r="E927" s="1" t="n">
        <v>46320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13458-2026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46094</v>
      </c>
      <c r="E928" s="1" t="n">
        <v>46320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30408-2024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45491</v>
      </c>
      <c r="E929" s="1" t="n">
        <v>46320</v>
      </c>
      <c r="F929" t="inlineStr">
        <is>
          <t>GÄVLEBORGS LÄN</t>
        </is>
      </c>
      <c r="G929" t="inlineStr">
        <is>
          <t>HUDIKSVALL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33176-2025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45840</v>
      </c>
      <c r="E930" s="1" t="n">
        <v>46320</v>
      </c>
      <c r="F930" t="inlineStr">
        <is>
          <t>GÄVLEBORGS LÄN</t>
        </is>
      </c>
      <c r="G930" t="inlineStr">
        <is>
          <t>HUDIKSVALL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33714-2025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45841</v>
      </c>
      <c r="E931" s="1" t="n">
        <v>46320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53967-2025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45961</v>
      </c>
      <c r="E932" s="1" t="n">
        <v>46320</v>
      </c>
      <c r="F932" t="inlineStr">
        <is>
          <t>GÄVLEBORGS LÄN</t>
        </is>
      </c>
      <c r="G932" t="inlineStr">
        <is>
          <t>HUDIKSVALL</t>
        </is>
      </c>
      <c r="H932" t="inlineStr">
        <is>
          <t>Naturvårdsverket</t>
        </is>
      </c>
      <c r="I932" t="n">
        <v>10.9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33965-2025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45842</v>
      </c>
      <c r="E933" s="1" t="n">
        <v>46320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32.2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13981-2026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46098</v>
      </c>
      <c r="E934" s="1" t="n">
        <v>46320</v>
      </c>
      <c r="F934" t="inlineStr">
        <is>
          <t>GÄVLEBORGS LÄN</t>
        </is>
      </c>
      <c r="G934" t="inlineStr">
        <is>
          <t>HUDIKSVALL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53966-2025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45961</v>
      </c>
      <c r="E935" s="1" t="n">
        <v>46320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17.5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13980-2026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46098</v>
      </c>
      <c r="E936" s="1" t="n">
        <v>46320</v>
      </c>
      <c r="F936" t="inlineStr">
        <is>
          <t>GÄVLEBORGS LÄN</t>
        </is>
      </c>
      <c r="G936" t="inlineStr">
        <is>
          <t>HUDIKSVALL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13959-2026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46098</v>
      </c>
      <c r="E937" s="1" t="n">
        <v>46320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46320</v>
      </c>
      <c r="F938" t="inlineStr">
        <is>
          <t>GÄVLEBORGS LÄN</t>
        </is>
      </c>
      <c r="G938" t="inlineStr">
        <is>
          <t>HUDIKSVALL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46101</v>
      </c>
      <c r="E939" s="1" t="n">
        <v>46320</v>
      </c>
      <c r="F939" t="inlineStr">
        <is>
          <t>GÄVLEBORGS LÄN</t>
        </is>
      </c>
      <c r="G939" t="inlineStr">
        <is>
          <t>HUDIKSVALL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14460-2026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46100</v>
      </c>
      <c r="E940" s="1" t="n">
        <v>46320</v>
      </c>
      <c r="F940" t="inlineStr">
        <is>
          <t>GÄVLEBORGS LÄN</t>
        </is>
      </c>
      <c r="G940" t="inlineStr">
        <is>
          <t>HUDIKSVALL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46320</v>
      </c>
      <c r="F941" t="inlineStr">
        <is>
          <t>GÄVLEBORGS LÄN</t>
        </is>
      </c>
      <c r="G941" t="inlineStr">
        <is>
          <t>HUDIKSVALL</t>
        </is>
      </c>
      <c r="I941" t="n">
        <v>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30982-2024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45499</v>
      </c>
      <c r="E942" s="1" t="n">
        <v>46320</v>
      </c>
      <c r="F942" t="inlineStr">
        <is>
          <t>GÄVLEBORGS LÄN</t>
        </is>
      </c>
      <c r="G942" t="inlineStr">
        <is>
          <t>HUDIKSVALL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26746-2026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46320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78.5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14803-2026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46103</v>
      </c>
      <c r="E944" s="1" t="n">
        <v>46320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8.9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34974-2026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46259</v>
      </c>
      <c r="E945" s="1" t="n">
        <v>46320</v>
      </c>
      <c r="F945" t="inlineStr">
        <is>
          <t>GÄVLEBORGS LÄN</t>
        </is>
      </c>
      <c r="G945" t="inlineStr">
        <is>
          <t>HUDIKSVALL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9852-2026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46072</v>
      </c>
      <c r="E946" s="1" t="n">
        <v>46320</v>
      </c>
      <c r="F946" t="inlineStr">
        <is>
          <t>GÄVLEBORGS LÄN</t>
        </is>
      </c>
      <c r="G946" t="inlineStr">
        <is>
          <t>HUDIKSVALL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4491-2026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46045</v>
      </c>
      <c r="E947" s="1" t="n">
        <v>46320</v>
      </c>
      <c r="F947" t="inlineStr">
        <is>
          <t>GÄVLEBORGS LÄN</t>
        </is>
      </c>
      <c r="G947" t="inlineStr">
        <is>
          <t>HUDIKSVALL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34625-2025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45847</v>
      </c>
      <c r="E948" s="1" t="n">
        <v>46320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15.7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41460-2026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46301</v>
      </c>
      <c r="E949" s="1" t="n">
        <v>46320</v>
      </c>
      <c r="F949" t="inlineStr">
        <is>
          <t>GÄVLEBORGS LÄN</t>
        </is>
      </c>
      <c r="G949" t="inlineStr">
        <is>
          <t>HUDIKSVALL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14805-2026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46103</v>
      </c>
      <c r="E950" s="1" t="n">
        <v>46320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41715-2026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46302</v>
      </c>
      <c r="E951" s="1" t="n">
        <v>46320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45179-2024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45575</v>
      </c>
      <c r="E952" s="1" t="n">
        <v>46320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46103</v>
      </c>
      <c r="E953" s="1" t="n">
        <v>46320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8.199999999999999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9813-2026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46072</v>
      </c>
      <c r="E954" s="1" t="n">
        <v>46320</v>
      </c>
      <c r="F954" t="inlineStr">
        <is>
          <t>GÄVLEBORGS LÄN</t>
        </is>
      </c>
      <c r="G954" t="inlineStr">
        <is>
          <t>HUDIKSVALL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41660-2026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46302</v>
      </c>
      <c r="E955" s="1" t="n">
        <v>46320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35100-2025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45852</v>
      </c>
      <c r="E956" s="1" t="n">
        <v>46320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30701-2024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45496</v>
      </c>
      <c r="E957" s="1" t="n">
        <v>46320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34836-2025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45849</v>
      </c>
      <c r="E958" s="1" t="n">
        <v>46320</v>
      </c>
      <c r="F958" t="inlineStr">
        <is>
          <t>GÄVLEBORGS LÄN</t>
        </is>
      </c>
      <c r="G958" t="inlineStr">
        <is>
          <t>HUDIKSVALL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34837-2025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45849</v>
      </c>
      <c r="E959" s="1" t="n">
        <v>46320</v>
      </c>
      <c r="F959" t="inlineStr">
        <is>
          <t>GÄVLEBORGS LÄN</t>
        </is>
      </c>
      <c r="G959" t="inlineStr">
        <is>
          <t>HUDIKSVALL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35067-2026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46259</v>
      </c>
      <c r="E960" s="1" t="n">
        <v>46320</v>
      </c>
      <c r="F960" t="inlineStr">
        <is>
          <t>GÄVLEBORGS LÄN</t>
        </is>
      </c>
      <c r="G960" t="inlineStr">
        <is>
          <t>HUDIKSVALL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35128-2025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45852</v>
      </c>
      <c r="E961" s="1" t="n">
        <v>46320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15473-2026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46320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15949-2026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46320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4.4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15719-2026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46107</v>
      </c>
      <c r="E964" s="1" t="n">
        <v>46320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15952-2026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46107</v>
      </c>
      <c r="E965" s="1" t="n">
        <v>46320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9026-2023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44979</v>
      </c>
      <c r="E966" s="1" t="n">
        <v>46320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46302</v>
      </c>
      <c r="E967" s="1" t="n">
        <v>46320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34853-2026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46258</v>
      </c>
      <c r="E968" s="1" t="n">
        <v>46320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15985-2025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45749</v>
      </c>
      <c r="E969" s="1" t="n">
        <v>46320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41554-2026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46301</v>
      </c>
      <c r="E970" s="1" t="n">
        <v>46320</v>
      </c>
      <c r="F970" t="inlineStr">
        <is>
          <t>GÄVLEBORGS LÄN</t>
        </is>
      </c>
      <c r="G970" t="inlineStr">
        <is>
          <t>HUDIKSVALL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6095-2024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45337</v>
      </c>
      <c r="E971" s="1" t="n">
        <v>46320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41323-2026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46301</v>
      </c>
      <c r="E972" s="1" t="n">
        <v>46320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41710-2026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46302</v>
      </c>
      <c r="E973" s="1" t="n">
        <v>46320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41707-2026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46302</v>
      </c>
      <c r="E974" s="1" t="n">
        <v>46320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28800-2026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46198</v>
      </c>
      <c r="E975" s="1" t="n">
        <v>46320</v>
      </c>
      <c r="F975" t="inlineStr">
        <is>
          <t>GÄVLEBORGS LÄN</t>
        </is>
      </c>
      <c r="G975" t="inlineStr">
        <is>
          <t>HUDIKSVALL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16221-2026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46320</v>
      </c>
      <c r="F976" t="inlineStr">
        <is>
          <t>GÄVLEBORGS LÄN</t>
        </is>
      </c>
      <c r="G976" t="inlineStr">
        <is>
          <t>HUDIKSVALL</t>
        </is>
      </c>
      <c r="H976" t="inlineStr">
        <is>
          <t>Naturvårdsverket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19682-2024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45432</v>
      </c>
      <c r="E977" s="1" t="n">
        <v>46320</v>
      </c>
      <c r="F977" t="inlineStr">
        <is>
          <t>GÄVLEBORGS LÄN</t>
        </is>
      </c>
      <c r="G977" t="inlineStr">
        <is>
          <t>HUDIKSVALL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46301</v>
      </c>
      <c r="E978" s="1" t="n">
        <v>46320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16848-2026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46113</v>
      </c>
      <c r="E979" s="1" t="n">
        <v>46320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13390-2026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46094</v>
      </c>
      <c r="E980" s="1" t="n">
        <v>46320</v>
      </c>
      <c r="F980" t="inlineStr">
        <is>
          <t>GÄVLEBORGS LÄN</t>
        </is>
      </c>
      <c r="G980" t="inlineStr">
        <is>
          <t>HUDIKSVALL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35825-2025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45861</v>
      </c>
      <c r="E981" s="1" t="n">
        <v>46320</v>
      </c>
      <c r="F981" t="inlineStr">
        <is>
          <t>GÄVLEBORGS LÄN</t>
        </is>
      </c>
      <c r="G981" t="inlineStr">
        <is>
          <t>HUDIKSVALL</t>
        </is>
      </c>
      <c r="I981" t="n">
        <v>5.9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46113</v>
      </c>
      <c r="E982" s="1" t="n">
        <v>46320</v>
      </c>
      <c r="F982" t="inlineStr">
        <is>
          <t>GÄVLEBORGS LÄN</t>
        </is>
      </c>
      <c r="G982" t="inlineStr">
        <is>
          <t>HUDIKSVALL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16683-2026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46320</v>
      </c>
      <c r="F983" t="inlineStr">
        <is>
          <t>GÄVLEBORGS LÄN</t>
        </is>
      </c>
      <c r="G983" t="inlineStr">
        <is>
          <t>HUDIKSVALL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35831-2025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45861</v>
      </c>
      <c r="E984" s="1" t="n">
        <v>46320</v>
      </c>
      <c r="F984" t="inlineStr">
        <is>
          <t>GÄVLEBORGS LÄN</t>
        </is>
      </c>
      <c r="G984" t="inlineStr">
        <is>
          <t>HUDIKSVALL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41466-2026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46301</v>
      </c>
      <c r="E985" s="1" t="n">
        <v>46320</v>
      </c>
      <c r="F985" t="inlineStr">
        <is>
          <t>GÄVLEBORGS LÄN</t>
        </is>
      </c>
      <c r="G985" t="inlineStr">
        <is>
          <t>HUDIKSVALL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24238-2025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45797</v>
      </c>
      <c r="E986" s="1" t="n">
        <v>46320</v>
      </c>
      <c r="F986" t="inlineStr">
        <is>
          <t>GÄVLEBORGS LÄN</t>
        </is>
      </c>
      <c r="G986" t="inlineStr">
        <is>
          <t>HUDIKSVALL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16842-2026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46113</v>
      </c>
      <c r="E987" s="1" t="n">
        <v>46320</v>
      </c>
      <c r="F987" t="inlineStr">
        <is>
          <t>GÄVLEBORGS LÄN</t>
        </is>
      </c>
      <c r="G987" t="inlineStr">
        <is>
          <t>HUDIKSVALL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14530-2026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46100</v>
      </c>
      <c r="E988" s="1" t="n">
        <v>46320</v>
      </c>
      <c r="F988" t="inlineStr">
        <is>
          <t>GÄVLEBORGS LÄN</t>
        </is>
      </c>
      <c r="G988" t="inlineStr">
        <is>
          <t>HUDIKSVALL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16738-2026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46113</v>
      </c>
      <c r="E989" s="1" t="n">
        <v>46320</v>
      </c>
      <c r="F989" t="inlineStr">
        <is>
          <t>GÄVLEBORGS LÄN</t>
        </is>
      </c>
      <c r="G989" t="inlineStr">
        <is>
          <t>HUDIKSVALL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16741-2026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46320</v>
      </c>
      <c r="F990" t="inlineStr">
        <is>
          <t>GÄVLEBORGS LÄN</t>
        </is>
      </c>
      <c r="G990" t="inlineStr">
        <is>
          <t>HUDIKSVALL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27477-2024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45474</v>
      </c>
      <c r="E991" s="1" t="n">
        <v>46320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10148-2026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46320</v>
      </c>
      <c r="F992" t="inlineStr">
        <is>
          <t>GÄVLEBORGS LÄN</t>
        </is>
      </c>
      <c r="G992" t="inlineStr">
        <is>
          <t>HUDIKSVALL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41842-2026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46303</v>
      </c>
      <c r="E993" s="1" t="n">
        <v>46320</v>
      </c>
      <c r="F993" t="inlineStr">
        <is>
          <t>GÄVLEBORGS LÄN</t>
        </is>
      </c>
      <c r="G993" t="inlineStr">
        <is>
          <t>HUDIKSVALL</t>
        </is>
      </c>
      <c r="H993" t="inlineStr">
        <is>
          <t>Sveaskog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41847-2026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46303</v>
      </c>
      <c r="E994" s="1" t="n">
        <v>46320</v>
      </c>
      <c r="F994" t="inlineStr">
        <is>
          <t>GÄVLEBORGS LÄN</t>
        </is>
      </c>
      <c r="G994" t="inlineStr">
        <is>
          <t>HUDIKSVALL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42110-2026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46304</v>
      </c>
      <c r="E995" s="1" t="n">
        <v>46320</v>
      </c>
      <c r="F995" t="inlineStr">
        <is>
          <t>GÄVLEBORGS LÄN</t>
        </is>
      </c>
      <c r="G995" t="inlineStr">
        <is>
          <t>HUDIKSVALL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16968-2026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46114</v>
      </c>
      <c r="E996" s="1" t="n">
        <v>46320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16972-2026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46114</v>
      </c>
      <c r="E997" s="1" t="n">
        <v>46320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32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45867</v>
      </c>
      <c r="E998" s="1" t="n">
        <v>46320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32109-2024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45511</v>
      </c>
      <c r="E999" s="1" t="n">
        <v>46320</v>
      </c>
      <c r="F999" t="inlineStr">
        <is>
          <t>GÄVLEBORGS LÄN</t>
        </is>
      </c>
      <c r="G999" t="inlineStr">
        <is>
          <t>HUDIKSVALL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36194-2025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45867</v>
      </c>
      <c r="E1000" s="1" t="n">
        <v>46320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36418-2025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45868</v>
      </c>
      <c r="E1001" s="1" t="n">
        <v>46320</v>
      </c>
      <c r="F1001" t="inlineStr">
        <is>
          <t>GÄVLEBORGS LÄN</t>
        </is>
      </c>
      <c r="G1001" t="inlineStr">
        <is>
          <t>HUDIKSVALL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36159-2025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45867</v>
      </c>
      <c r="E1002" s="1" t="n">
        <v>46320</v>
      </c>
      <c r="F1002" t="inlineStr">
        <is>
          <t>GÄVLEBORGS LÄN</t>
        </is>
      </c>
      <c r="G1002" t="inlineStr">
        <is>
          <t>HUDIKSVALL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17528-2026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46120</v>
      </c>
      <c r="E1003" s="1" t="n">
        <v>46320</v>
      </c>
      <c r="F1003" t="inlineStr">
        <is>
          <t>GÄVLEBORGS LÄN</t>
        </is>
      </c>
      <c r="G1003" t="inlineStr">
        <is>
          <t>HUDIKSVALL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17440-2026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46120</v>
      </c>
      <c r="E1004" s="1" t="n">
        <v>46320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Kommuner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41860-2026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46303</v>
      </c>
      <c r="E1005" s="1" t="n">
        <v>46320</v>
      </c>
      <c r="F1005" t="inlineStr">
        <is>
          <t>GÄVLEBORGS LÄN</t>
        </is>
      </c>
      <c r="G1005" t="inlineStr">
        <is>
          <t>HUDIKSVALL</t>
        </is>
      </c>
      <c r="I1005" t="n">
        <v>5.9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17662-2026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46121</v>
      </c>
      <c r="E1006" s="1" t="n">
        <v>46320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17566-2026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46121</v>
      </c>
      <c r="E1007" s="1" t="n">
        <v>46320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Naturvårdsverket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17800-2026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46122</v>
      </c>
      <c r="E1008" s="1" t="n">
        <v>46320</v>
      </c>
      <c r="F1008" t="inlineStr">
        <is>
          <t>GÄVLEBORGS LÄN</t>
        </is>
      </c>
      <c r="G1008" t="inlineStr">
        <is>
          <t>HUDIKSVALL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18100-2026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46125</v>
      </c>
      <c r="E1009" s="1" t="n">
        <v>46320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24240-2025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45797</v>
      </c>
      <c r="E1010" s="1" t="n">
        <v>46320</v>
      </c>
      <c r="F1010" t="inlineStr">
        <is>
          <t>GÄVLEBORGS LÄN</t>
        </is>
      </c>
      <c r="G1010" t="inlineStr">
        <is>
          <t>HUDIKSVALL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36647-2025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45872</v>
      </c>
      <c r="E1011" s="1" t="n">
        <v>46320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8.199999999999999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24239-2025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45797</v>
      </c>
      <c r="E1012" s="1" t="n">
        <v>46320</v>
      </c>
      <c r="F1012" t="inlineStr">
        <is>
          <t>GÄVLEBORGS LÄN</t>
        </is>
      </c>
      <c r="G1012" t="inlineStr">
        <is>
          <t>HUDIKSVALL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32367-2026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46238</v>
      </c>
      <c r="E1013" s="1" t="n">
        <v>46320</v>
      </c>
      <c r="F1013" t="inlineStr">
        <is>
          <t>GÄVLEBORGS LÄN</t>
        </is>
      </c>
      <c r="G1013" t="inlineStr">
        <is>
          <t>HUDIKSVALL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17921-2026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46122</v>
      </c>
      <c r="E1014" s="1" t="n">
        <v>46320</v>
      </c>
      <c r="F1014" t="inlineStr">
        <is>
          <t>GÄVLEBORGS LÄN</t>
        </is>
      </c>
      <c r="G1014" t="inlineStr">
        <is>
          <t>HUDIKSVALL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18154-2026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46125</v>
      </c>
      <c r="E1015" s="1" t="n">
        <v>46320</v>
      </c>
      <c r="F1015" t="inlineStr">
        <is>
          <t>GÄVLEBORGS LÄN</t>
        </is>
      </c>
      <c r="G1015" t="inlineStr">
        <is>
          <t>HUDIKSVALL</t>
        </is>
      </c>
      <c r="I1015" t="n">
        <v>6.1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18587-2026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46127</v>
      </c>
      <c r="E1016" s="1" t="n">
        <v>46320</v>
      </c>
      <c r="F1016" t="inlineStr">
        <is>
          <t>GÄVLEBORGS LÄN</t>
        </is>
      </c>
      <c r="G1016" t="inlineStr">
        <is>
          <t>HUDIKSVALL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18387-2026</t>
        </is>
      </c>
      <c r="B1017" t="inlineStr">
        <is>
          <t>avverkningsanmälan</t>
        </is>
      </c>
      <c r="C1017" t="inlineStr">
        <is>
          <t>Avverkning för att bevara och utveckla /försöksver</t>
        </is>
      </c>
      <c r="D1017" s="1" t="n">
        <v>46126</v>
      </c>
      <c r="E1017" s="1" t="n">
        <v>46320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18582-2026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46127</v>
      </c>
      <c r="E1018" s="1" t="n">
        <v>46320</v>
      </c>
      <c r="F1018" t="inlineStr">
        <is>
          <t>GÄVLEBORGS LÄN</t>
        </is>
      </c>
      <c r="G1018" t="inlineStr">
        <is>
          <t>HUDIKSVALL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18486-2026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46127</v>
      </c>
      <c r="E1019" s="1" t="n">
        <v>46320</v>
      </c>
      <c r="F1019" t="inlineStr">
        <is>
          <t>GÄVLEBORGS LÄN</t>
        </is>
      </c>
      <c r="G1019" t="inlineStr">
        <is>
          <t>HUDIKSVALL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18257-2026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46126</v>
      </c>
      <c r="E1020" s="1" t="n">
        <v>46320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35169-2026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46320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Kommuner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18256-2026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46126</v>
      </c>
      <c r="E1022" s="1" t="n">
        <v>46320</v>
      </c>
      <c r="F1022" t="inlineStr">
        <is>
          <t>GÄVLEBORGS LÄN</t>
        </is>
      </c>
      <c r="G1022" t="inlineStr">
        <is>
          <t>HUDIKSVALL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37213-2025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45875</v>
      </c>
      <c r="E1023" s="1" t="n">
        <v>46320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7.8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37082-2025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45875</v>
      </c>
      <c r="E1024" s="1" t="n">
        <v>46320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37208-2025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45875</v>
      </c>
      <c r="E1025" s="1" t="n">
        <v>46320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22466-2026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46155</v>
      </c>
      <c r="E1026" s="1" t="n">
        <v>46320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35170-2026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46260</v>
      </c>
      <c r="E1027" s="1" t="n">
        <v>46320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Kommuner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37083-2025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45875</v>
      </c>
      <c r="E1028" s="1" t="n">
        <v>46320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6.4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14108-2026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46099</v>
      </c>
      <c r="E1029" s="1" t="n">
        <v>46320</v>
      </c>
      <c r="F1029" t="inlineStr">
        <is>
          <t>GÄVLEBORGS LÄN</t>
        </is>
      </c>
      <c r="G1029" t="inlineStr">
        <is>
          <t>HUDIKSVALL</t>
        </is>
      </c>
      <c r="I1029" t="n">
        <v>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37355-2025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45876</v>
      </c>
      <c r="E1030" s="1" t="n">
        <v>46320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42367-2026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46307</v>
      </c>
      <c r="E1031" s="1" t="n">
        <v>46320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37645-2025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45880</v>
      </c>
      <c r="E1032" s="1" t="n">
        <v>46320</v>
      </c>
      <c r="F1032" t="inlineStr">
        <is>
          <t>GÄVLEBORGS LÄN</t>
        </is>
      </c>
      <c r="G1032" t="inlineStr">
        <is>
          <t>HUDIKSVALL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37725-2025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45880</v>
      </c>
      <c r="E1033" s="1" t="n">
        <v>46320</v>
      </c>
      <c r="F1033" t="inlineStr">
        <is>
          <t>GÄVLEBORGS LÄN</t>
        </is>
      </c>
      <c r="G1033" t="inlineStr">
        <is>
          <t>HUDIKSVALL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37701-2025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45880</v>
      </c>
      <c r="E1034" s="1" t="n">
        <v>46320</v>
      </c>
      <c r="F1034" t="inlineStr">
        <is>
          <t>GÄVLEBORGS LÄN</t>
        </is>
      </c>
      <c r="G1034" t="inlineStr">
        <is>
          <t>HUDIKSVALL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1409-2024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45303</v>
      </c>
      <c r="E1035" s="1" t="n">
        <v>46320</v>
      </c>
      <c r="F1035" t="inlineStr">
        <is>
          <t>GÄVLEBORGS LÄN</t>
        </is>
      </c>
      <c r="G1035" t="inlineStr">
        <is>
          <t>HUDIKSVALL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37616-2025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45880</v>
      </c>
      <c r="E1036" s="1" t="n">
        <v>46320</v>
      </c>
      <c r="F1036" t="inlineStr">
        <is>
          <t>GÄVLEBORGS LÄN</t>
        </is>
      </c>
      <c r="G1036" t="inlineStr">
        <is>
          <t>HUDIKSVALL</t>
        </is>
      </c>
      <c r="I1036" t="n">
        <v>6.9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15964-2025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45749</v>
      </c>
      <c r="E1037" s="1" t="n">
        <v>46320</v>
      </c>
      <c r="F1037" t="inlineStr">
        <is>
          <t>GÄVLEBORGS LÄN</t>
        </is>
      </c>
      <c r="G1037" t="inlineStr">
        <is>
          <t>HUDIKSVALL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37804-2025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45881</v>
      </c>
      <c r="E1038" s="1" t="n">
        <v>46320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25.3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60517-2022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44911</v>
      </c>
      <c r="E1039" s="1" t="n">
        <v>46320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30983-2024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45499</v>
      </c>
      <c r="E1040" s="1" t="n">
        <v>46320</v>
      </c>
      <c r="F1040" t="inlineStr">
        <is>
          <t>GÄVLEBORGS LÄN</t>
        </is>
      </c>
      <c r="G1040" t="inlineStr">
        <is>
          <t>HUDIKSVALL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19270-2026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46133</v>
      </c>
      <c r="E1041" s="1" t="n">
        <v>46320</v>
      </c>
      <c r="F1041" t="inlineStr">
        <is>
          <t>GÄVLEBORGS LÄN</t>
        </is>
      </c>
      <c r="G1041" t="inlineStr">
        <is>
          <t>HUDIKSVALL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38077-2025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45882</v>
      </c>
      <c r="E1042" s="1" t="n">
        <v>46320</v>
      </c>
      <c r="F1042" t="inlineStr">
        <is>
          <t>GÄVLEBORGS LÄN</t>
        </is>
      </c>
      <c r="G1042" t="inlineStr">
        <is>
          <t>HUDIKSVALL</t>
        </is>
      </c>
      <c r="I1042" t="n">
        <v>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72899-2021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44547</v>
      </c>
      <c r="E1043" s="1" t="n">
        <v>46320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46320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19705-2026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46134</v>
      </c>
      <c r="E1045" s="1" t="n">
        <v>46320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5.5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19535-2026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46134</v>
      </c>
      <c r="E1046" s="1" t="n">
        <v>46320</v>
      </c>
      <c r="F1046" t="inlineStr">
        <is>
          <t>GÄVLEBORGS LÄN</t>
        </is>
      </c>
      <c r="G1046" t="inlineStr">
        <is>
          <t>HUDIKSVALL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19348-2026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46320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Kommuner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19568-2026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46134</v>
      </c>
      <c r="E1048" s="1" t="n">
        <v>46320</v>
      </c>
      <c r="F1048" t="inlineStr">
        <is>
          <t>GÄVLEBORGS LÄN</t>
        </is>
      </c>
      <c r="G1048" t="inlineStr">
        <is>
          <t>HUDIKSVALL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16740-2026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46112</v>
      </c>
      <c r="E1049" s="1" t="n">
        <v>46320</v>
      </c>
      <c r="F1049" t="inlineStr">
        <is>
          <t>GÄVLEBORGS LÄN</t>
        </is>
      </c>
      <c r="G1049" t="inlineStr">
        <is>
          <t>HUDIKSVALL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38633-2025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45884</v>
      </c>
      <c r="E1050" s="1" t="n">
        <v>46320</v>
      </c>
      <c r="F1050" t="inlineStr">
        <is>
          <t>GÄVLEBORGS LÄN</t>
        </is>
      </c>
      <c r="G1050" t="inlineStr">
        <is>
          <t>HUDIKSVALL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958-2026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46030</v>
      </c>
      <c r="E1051" s="1" t="n">
        <v>46320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9.1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61579-2024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45646</v>
      </c>
      <c r="E1052" s="1" t="n">
        <v>46320</v>
      </c>
      <c r="F1052" t="inlineStr">
        <is>
          <t>GÄVLEBORGS LÄN</t>
        </is>
      </c>
      <c r="G1052" t="inlineStr">
        <is>
          <t>HUDIKSVALL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38535-2023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45162</v>
      </c>
      <c r="E1053" s="1" t="n">
        <v>46320</v>
      </c>
      <c r="F1053" t="inlineStr">
        <is>
          <t>GÄVLEBORGS LÄN</t>
        </is>
      </c>
      <c r="G1053" t="inlineStr">
        <is>
          <t>HUDIKSVALL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35769-2026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46265</v>
      </c>
      <c r="E1054" s="1" t="n">
        <v>46320</v>
      </c>
      <c r="F1054" t="inlineStr">
        <is>
          <t>GÄVLEBORGS LÄN</t>
        </is>
      </c>
      <c r="G1054" t="inlineStr">
        <is>
          <t>HUDIKSVALL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45664</v>
      </c>
      <c r="E1055" s="1" t="n">
        <v>46320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59326-2025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45989</v>
      </c>
      <c r="E1056" s="1" t="n">
        <v>46320</v>
      </c>
      <c r="F1056" t="inlineStr">
        <is>
          <t>GÄVLEBORGS LÄN</t>
        </is>
      </c>
      <c r="G1056" t="inlineStr">
        <is>
          <t>HUDIKSVALL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18434-2026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46127</v>
      </c>
      <c r="E1057" s="1" t="n">
        <v>46320</v>
      </c>
      <c r="F1057" t="inlineStr">
        <is>
          <t>GÄVLEBORGS LÄN</t>
        </is>
      </c>
      <c r="G1057" t="inlineStr">
        <is>
          <t>HUDIKSVALL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42523-2026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46308</v>
      </c>
      <c r="E1058" s="1" t="n">
        <v>46320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61977-2022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44918</v>
      </c>
      <c r="E1059" s="1" t="n">
        <v>46320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19790-2026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46135</v>
      </c>
      <c r="E1060" s="1" t="n">
        <v>46320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19946-2026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46136</v>
      </c>
      <c r="E1061" s="1" t="n">
        <v>46320</v>
      </c>
      <c r="F1061" t="inlineStr">
        <is>
          <t>GÄVLEBORGS LÄN</t>
        </is>
      </c>
      <c r="G1061" t="inlineStr">
        <is>
          <t>HUDIKSVALL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19947-2026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46136</v>
      </c>
      <c r="E1062" s="1" t="n">
        <v>46320</v>
      </c>
      <c r="F1062" t="inlineStr">
        <is>
          <t>GÄVLEBORGS LÄN</t>
        </is>
      </c>
      <c r="G1062" t="inlineStr">
        <is>
          <t>HUDIKSVALL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38201-2024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45545</v>
      </c>
      <c r="E1063" s="1" t="n">
        <v>46320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46320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42537-2026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46308</v>
      </c>
      <c r="E1065" s="1" t="n">
        <v>46320</v>
      </c>
      <c r="F1065" t="inlineStr">
        <is>
          <t>GÄVLEBORGS LÄN</t>
        </is>
      </c>
      <c r="G1065" t="inlineStr">
        <is>
          <t>HUDIKSVALL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20016-2026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46136</v>
      </c>
      <c r="E1066" s="1" t="n">
        <v>46320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25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8005-2022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44609</v>
      </c>
      <c r="E1067" s="1" t="n">
        <v>46320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33157-2025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45840</v>
      </c>
      <c r="E1068" s="1" t="n">
        <v>46320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19781-2026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46135</v>
      </c>
      <c r="E1069" s="1" t="n">
        <v>46320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32685-2025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45838</v>
      </c>
      <c r="E1070" s="1" t="n">
        <v>46320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58059-2025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45982</v>
      </c>
      <c r="E1071" s="1" t="n">
        <v>46320</v>
      </c>
      <c r="F1071" t="inlineStr">
        <is>
          <t>GÄVLEBORGS LÄN</t>
        </is>
      </c>
      <c r="G1071" t="inlineStr">
        <is>
          <t>HUDIKSVALL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19848-2026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46320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42942-2024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45567</v>
      </c>
      <c r="E1073" s="1" t="n">
        <v>46320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5.4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50637-2025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45945</v>
      </c>
      <c r="E1074" s="1" t="n">
        <v>46320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36042-2026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46267</v>
      </c>
      <c r="E1075" s="1" t="n">
        <v>46320</v>
      </c>
      <c r="F1075" t="inlineStr">
        <is>
          <t>GÄVLEBORGS LÄN</t>
        </is>
      </c>
      <c r="G1075" t="inlineStr">
        <is>
          <t>HUDIKSVALL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42922-2026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46310</v>
      </c>
      <c r="E1076" s="1" t="n">
        <v>46320</v>
      </c>
      <c r="F1076" t="inlineStr">
        <is>
          <t>GÄVLEBORGS LÄN</t>
        </is>
      </c>
      <c r="G1076" t="inlineStr">
        <is>
          <t>HUDIKSVALL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14653-2026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46101</v>
      </c>
      <c r="E1077" s="1" t="n">
        <v>46320</v>
      </c>
      <c r="F1077" t="inlineStr">
        <is>
          <t>GÄVLEBORGS LÄN</t>
        </is>
      </c>
      <c r="G1077" t="inlineStr">
        <is>
          <t>HUDIKSVALL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42931-2026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46310</v>
      </c>
      <c r="E1078" s="1" t="n">
        <v>46320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19864-2026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46135</v>
      </c>
      <c r="E1079" s="1" t="n">
        <v>46320</v>
      </c>
      <c r="F1079" t="inlineStr">
        <is>
          <t>GÄVLEBORGS LÄN</t>
        </is>
      </c>
      <c r="G1079" t="inlineStr">
        <is>
          <t>HUDIKSVALL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42870-2026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46310</v>
      </c>
      <c r="E1080" s="1" t="n">
        <v>46320</v>
      </c>
      <c r="F1080" t="inlineStr">
        <is>
          <t>GÄVLEBORGS LÄN</t>
        </is>
      </c>
      <c r="G1080" t="inlineStr">
        <is>
          <t>HUDIKSVALL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42951-2026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46310</v>
      </c>
      <c r="E1081" s="1" t="n">
        <v>46320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1255-2026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46031</v>
      </c>
      <c r="E1082" s="1" t="n">
        <v>46320</v>
      </c>
      <c r="F1082" t="inlineStr">
        <is>
          <t>GÄVLEBORGS LÄN</t>
        </is>
      </c>
      <c r="G1082" t="inlineStr">
        <is>
          <t>HUDIKSVALL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6732-2026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46320</v>
      </c>
      <c r="F1083" t="inlineStr">
        <is>
          <t>GÄVLEBORGS LÄN</t>
        </is>
      </c>
      <c r="G1083" t="inlineStr">
        <is>
          <t>HUDIKSVALL</t>
        </is>
      </c>
      <c r="I1083" t="n">
        <v>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9586-2026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46320</v>
      </c>
      <c r="F1084" t="inlineStr">
        <is>
          <t>GÄVLEBORGS LÄN</t>
        </is>
      </c>
      <c r="G1084" t="inlineStr">
        <is>
          <t>HUDIKSVALL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12511-2026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46090</v>
      </c>
      <c r="E1085" s="1" t="n">
        <v>46320</v>
      </c>
      <c r="F1085" t="inlineStr">
        <is>
          <t>GÄVLEBORGS LÄN</t>
        </is>
      </c>
      <c r="G1085" t="inlineStr">
        <is>
          <t>HUDIKSVALL</t>
        </is>
      </c>
      <c r="I1085" t="n">
        <v>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12580-2026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46320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42876-2026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46310</v>
      </c>
      <c r="E1087" s="1" t="n">
        <v>46320</v>
      </c>
      <c r="F1087" t="inlineStr">
        <is>
          <t>GÄVLEBORGS LÄN</t>
        </is>
      </c>
      <c r="G1087" t="inlineStr">
        <is>
          <t>HUDIKSVALL</t>
        </is>
      </c>
      <c r="I1087" t="n">
        <v>15.7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11735-2026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46320</v>
      </c>
      <c r="F1088" t="inlineStr">
        <is>
          <t>GÄVLEBORGS LÄN</t>
        </is>
      </c>
      <c r="G1088" t="inlineStr">
        <is>
          <t>HUDIKSVALL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11132-2026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46079</v>
      </c>
      <c r="E1089" s="1" t="n">
        <v>46320</v>
      </c>
      <c r="F1089" t="inlineStr">
        <is>
          <t>GÄVLEBORGS LÄN</t>
        </is>
      </c>
      <c r="G1089" t="inlineStr">
        <is>
          <t>HUDIKSVALL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45664</v>
      </c>
      <c r="E1090" s="1" t="n">
        <v>46320</v>
      </c>
      <c r="F1090" t="inlineStr">
        <is>
          <t>GÄVLEBORGS LÄN</t>
        </is>
      </c>
      <c r="G1090" t="inlineStr">
        <is>
          <t>HUDIKSVALL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36342-2025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45868</v>
      </c>
      <c r="E1091" s="1" t="n">
        <v>46320</v>
      </c>
      <c r="F1091" t="inlineStr">
        <is>
          <t>GÄVLEBORGS LÄN</t>
        </is>
      </c>
      <c r="G1091" t="inlineStr">
        <is>
          <t>HUDIKSVALL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10373-2026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46076</v>
      </c>
      <c r="E1092" s="1" t="n">
        <v>46320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43065-2026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46311</v>
      </c>
      <c r="E1093" s="1" t="n">
        <v>46320</v>
      </c>
      <c r="F1093" t="inlineStr">
        <is>
          <t>GÄVLEBORGS LÄN</t>
        </is>
      </c>
      <c r="G1093" t="inlineStr">
        <is>
          <t>HUDIKSVALL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8264-2026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46064</v>
      </c>
      <c r="E1094" s="1" t="n">
        <v>46320</v>
      </c>
      <c r="F1094" t="inlineStr">
        <is>
          <t>GÄVLEBORGS LÄN</t>
        </is>
      </c>
      <c r="G1094" t="inlineStr">
        <is>
          <t>HUDIKSVALL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38687-2024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45547</v>
      </c>
      <c r="E1095" s="1" t="n">
        <v>46320</v>
      </c>
      <c r="F1095" t="inlineStr">
        <is>
          <t>GÄVLEBORGS LÄN</t>
        </is>
      </c>
      <c r="G1095" t="inlineStr">
        <is>
          <t>HUDIKSVALL</t>
        </is>
      </c>
      <c r="I1095" t="n">
        <v>8.9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38703-2024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45547</v>
      </c>
      <c r="E1096" s="1" t="n">
        <v>46320</v>
      </c>
      <c r="F1096" t="inlineStr">
        <is>
          <t>GÄVLEBORGS LÄN</t>
        </is>
      </c>
      <c r="G1096" t="inlineStr">
        <is>
          <t>HUDIKSVALL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48448-2025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45935</v>
      </c>
      <c r="E1097" s="1" t="n">
        <v>46320</v>
      </c>
      <c r="F1097" t="inlineStr">
        <is>
          <t>GÄVLEBORGS LÄN</t>
        </is>
      </c>
      <c r="G1097" t="inlineStr">
        <is>
          <t>HUDIKSVALL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38220-2024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45545</v>
      </c>
      <c r="E1098" s="1" t="n">
        <v>46320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39232-2025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45889</v>
      </c>
      <c r="E1099" s="1" t="n">
        <v>46320</v>
      </c>
      <c r="F1099" t="inlineStr">
        <is>
          <t>GÄVLEBORGS LÄN</t>
        </is>
      </c>
      <c r="G1099" t="inlineStr">
        <is>
          <t>HUDIKSVALL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54171-2023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45232</v>
      </c>
      <c r="E1100" s="1" t="n">
        <v>46320</v>
      </c>
      <c r="F1100" t="inlineStr">
        <is>
          <t>GÄVLEBORGS LÄN</t>
        </is>
      </c>
      <c r="G1100" t="inlineStr">
        <is>
          <t>HUDIKSVALL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43137-2026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46311</v>
      </c>
      <c r="E1101" s="1" t="n">
        <v>46320</v>
      </c>
      <c r="F1101" t="inlineStr">
        <is>
          <t>GÄVLEBORGS LÄN</t>
        </is>
      </c>
      <c r="G1101" t="inlineStr">
        <is>
          <t>HUDIKSVALL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43020-2026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46311</v>
      </c>
      <c r="E1102" s="1" t="n">
        <v>46320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12880-2023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45001</v>
      </c>
      <c r="E1103" s="1" t="n">
        <v>46320</v>
      </c>
      <c r="F1103" t="inlineStr">
        <is>
          <t>GÄVLEBORGS LÄN</t>
        </is>
      </c>
      <c r="G1103" t="inlineStr">
        <is>
          <t>HUDIKSVALL</t>
        </is>
      </c>
      <c r="I1103" t="n">
        <v>11.4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4405-2026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46045</v>
      </c>
      <c r="E1104" s="1" t="n">
        <v>46320</v>
      </c>
      <c r="F1104" t="inlineStr">
        <is>
          <t>GÄVLEBORGS LÄN</t>
        </is>
      </c>
      <c r="G1104" t="inlineStr">
        <is>
          <t>HUDIKSVALL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43006-2026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46311</v>
      </c>
      <c r="E1105" s="1" t="n">
        <v>46320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9321-2026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46070</v>
      </c>
      <c r="E1106" s="1" t="n">
        <v>46320</v>
      </c>
      <c r="F1106" t="inlineStr">
        <is>
          <t>GÄVLEBORGS LÄN</t>
        </is>
      </c>
      <c r="G1106" t="inlineStr">
        <is>
          <t>HUDIKSVALL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4301-2023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44953</v>
      </c>
      <c r="E1107" s="1" t="n">
        <v>46320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45297</v>
      </c>
      <c r="E1108" s="1" t="n">
        <v>46320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8496-2024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45355</v>
      </c>
      <c r="E1109" s="1" t="n">
        <v>46320</v>
      </c>
      <c r="F1109" t="inlineStr">
        <is>
          <t>GÄVLEBORGS LÄN</t>
        </is>
      </c>
      <c r="G1109" t="inlineStr">
        <is>
          <t>HUDIKSVALL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16327-2023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45028</v>
      </c>
      <c r="E1110" s="1" t="n">
        <v>46320</v>
      </c>
      <c r="F1110" t="inlineStr">
        <is>
          <t>GÄVLEBORGS LÄN</t>
        </is>
      </c>
      <c r="G1110" t="inlineStr">
        <is>
          <t>HUDIKSVALL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43476-2025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45911</v>
      </c>
      <c r="E1111" s="1" t="n">
        <v>46320</v>
      </c>
      <c r="F1111" t="inlineStr">
        <is>
          <t>GÄVLEBORGS LÄN</t>
        </is>
      </c>
      <c r="G1111" t="inlineStr">
        <is>
          <t>HUDIKSVALL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25268-2024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45462</v>
      </c>
      <c r="E1112" s="1" t="n">
        <v>46320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9138-2026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46069</v>
      </c>
      <c r="E1113" s="1" t="n">
        <v>46320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7369-2023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44966</v>
      </c>
      <c r="E1114" s="1" t="n">
        <v>46320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32007-2024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45510</v>
      </c>
      <c r="E1115" s="1" t="n">
        <v>46320</v>
      </c>
      <c r="F1115" t="inlineStr">
        <is>
          <t>GÄVLEBORGS LÄN</t>
        </is>
      </c>
      <c r="G1115" t="inlineStr">
        <is>
          <t>HUDIKSVALL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30591-2022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44762</v>
      </c>
      <c r="E1116" s="1" t="n">
        <v>46320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Sveaskog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36318-2026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46268</v>
      </c>
      <c r="E1117" s="1" t="n">
        <v>46320</v>
      </c>
      <c r="F1117" t="inlineStr">
        <is>
          <t>GÄVLEBORGS LÄN</t>
        </is>
      </c>
      <c r="G1117" t="inlineStr">
        <is>
          <t>HUDIKSVALL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52438-2023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45225</v>
      </c>
      <c r="E1118" s="1" t="n">
        <v>46320</v>
      </c>
      <c r="F1118" t="inlineStr">
        <is>
          <t>GÄVLEBORGS LÄN</t>
        </is>
      </c>
      <c r="G1118" t="inlineStr">
        <is>
          <t>HUDIKSVALL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45944</v>
      </c>
      <c r="E1119" s="1" t="n">
        <v>46320</v>
      </c>
      <c r="F1119" t="inlineStr">
        <is>
          <t>GÄVLEBORGS LÄN</t>
        </is>
      </c>
      <c r="G1119" t="inlineStr">
        <is>
          <t>HUDIKSVALL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20411-2026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46140</v>
      </c>
      <c r="E1120" s="1" t="n">
        <v>46320</v>
      </c>
      <c r="F1120" t="inlineStr">
        <is>
          <t>GÄVLEBORGS LÄN</t>
        </is>
      </c>
      <c r="G1120" t="inlineStr">
        <is>
          <t>HUDIKSVALL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43091-2026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46311</v>
      </c>
      <c r="E1121" s="1" t="n">
        <v>46320</v>
      </c>
      <c r="F1121" t="inlineStr">
        <is>
          <t>GÄVLEBORGS LÄN</t>
        </is>
      </c>
      <c r="G1121" t="inlineStr">
        <is>
          <t>HUDIKSVALL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48645-2024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45593</v>
      </c>
      <c r="E1122" s="1" t="n">
        <v>46320</v>
      </c>
      <c r="F1122" t="inlineStr">
        <is>
          <t>GÄVLEBORGS LÄN</t>
        </is>
      </c>
      <c r="G1122" t="inlineStr">
        <is>
          <t>HUDIKSVALL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8041-2026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46063</v>
      </c>
      <c r="E1123" s="1" t="n">
        <v>46320</v>
      </c>
      <c r="F1123" t="inlineStr">
        <is>
          <t>GÄVLEBORGS LÄN</t>
        </is>
      </c>
      <c r="G1123" t="inlineStr">
        <is>
          <t>HUDIKSVALL</t>
        </is>
      </c>
      <c r="I1123" t="n">
        <v>5.2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46034</v>
      </c>
      <c r="E1124" s="1" t="n">
        <v>46320</v>
      </c>
      <c r="F1124" t="inlineStr">
        <is>
          <t>GÄVLEBORGS LÄN</t>
        </is>
      </c>
      <c r="G1124" t="inlineStr">
        <is>
          <t>HUDIKSVALL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19768-2025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45771</v>
      </c>
      <c r="E1125" s="1" t="n">
        <v>46320</v>
      </c>
      <c r="F1125" t="inlineStr">
        <is>
          <t>GÄVLEBORGS LÄN</t>
        </is>
      </c>
      <c r="G1125" t="inlineStr">
        <is>
          <t>HUDIKSVALL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20458-2026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46140</v>
      </c>
      <c r="E1126" s="1" t="n">
        <v>46320</v>
      </c>
      <c r="F1126" t="inlineStr">
        <is>
          <t>GÄVLEBORGS LÄN</t>
        </is>
      </c>
      <c r="G1126" t="inlineStr">
        <is>
          <t>HUDIKSVALL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13853-2025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45737</v>
      </c>
      <c r="E1127" s="1" t="n">
        <v>46320</v>
      </c>
      <c r="F1127" t="inlineStr">
        <is>
          <t>GÄVLEBORGS LÄN</t>
        </is>
      </c>
      <c r="G1127" t="inlineStr">
        <is>
          <t>HUDIKSVALL</t>
        </is>
      </c>
      <c r="I1127" t="n">
        <v>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7295-2026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46320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36357-2026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46268</v>
      </c>
      <c r="E1129" s="1" t="n">
        <v>46320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10379-2026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46076</v>
      </c>
      <c r="E1130" s="1" t="n">
        <v>46320</v>
      </c>
      <c r="F1130" t="inlineStr">
        <is>
          <t>GÄVLEBORGS LÄN</t>
        </is>
      </c>
      <c r="G1130" t="inlineStr">
        <is>
          <t>HUDIKSVALL</t>
        </is>
      </c>
      <c r="I1130" t="n">
        <v>3.3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13085-2023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45002</v>
      </c>
      <c r="E1131" s="1" t="n">
        <v>46320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43683-2026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46316</v>
      </c>
      <c r="E1132" s="1" t="n">
        <v>46320</v>
      </c>
      <c r="F1132" t="inlineStr">
        <is>
          <t>GÄVLEBORGS LÄN</t>
        </is>
      </c>
      <c r="G1132" t="inlineStr">
        <is>
          <t>HUDIKSVALL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14383-2026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46100</v>
      </c>
      <c r="E1133" s="1" t="n">
        <v>46320</v>
      </c>
      <c r="F1133" t="inlineStr">
        <is>
          <t>GÄVLEBORGS LÄN</t>
        </is>
      </c>
      <c r="G1133" t="inlineStr">
        <is>
          <t>HUDIKSVALL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36664-2026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46272</v>
      </c>
      <c r="E1134" s="1" t="n">
        <v>46320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4.3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37009-2026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46273</v>
      </c>
      <c r="E1135" s="1" t="n">
        <v>46320</v>
      </c>
      <c r="F1135" t="inlineStr">
        <is>
          <t>GÄVLEBORGS LÄN</t>
        </is>
      </c>
      <c r="G1135" t="inlineStr">
        <is>
          <t>HUDIKSVALL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54219-2023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45232</v>
      </c>
      <c r="E1136" s="1" t="n">
        <v>46320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36894-2026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46273</v>
      </c>
      <c r="E1137" s="1" t="n">
        <v>46320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43749-2026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46316</v>
      </c>
      <c r="E1138" s="1" t="n">
        <v>46320</v>
      </c>
      <c r="F1138" t="inlineStr">
        <is>
          <t>GÄVLEBORGS LÄN</t>
        </is>
      </c>
      <c r="G1138" t="inlineStr">
        <is>
          <t>HUDIKSVALL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12429-2026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46090</v>
      </c>
      <c r="E1139" s="1" t="n">
        <v>46320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28472-2025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45819</v>
      </c>
      <c r="E1140" s="1" t="n">
        <v>46320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46024</v>
      </c>
      <c r="E1141" s="1" t="n">
        <v>46320</v>
      </c>
      <c r="F1141" t="inlineStr">
        <is>
          <t>GÄVLEBORGS LÄN</t>
        </is>
      </c>
      <c r="G1141" t="inlineStr">
        <is>
          <t>HUDIKSVALL</t>
        </is>
      </c>
      <c r="I1141" t="n">
        <v>7.3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63933-2025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46020</v>
      </c>
      <c r="E1142" s="1" t="n">
        <v>46320</v>
      </c>
      <c r="F1142" t="inlineStr">
        <is>
          <t>GÄVLEBORGS LÄN</t>
        </is>
      </c>
      <c r="G1142" t="inlineStr">
        <is>
          <t>HUDIKSVALL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7973-2026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46320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61536-2022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44916</v>
      </c>
      <c r="E1144" s="1" t="n">
        <v>46320</v>
      </c>
      <c r="F1144" t="inlineStr">
        <is>
          <t>GÄVLEBORGS LÄN</t>
        </is>
      </c>
      <c r="G1144" t="inlineStr">
        <is>
          <t>HUDIKSVALL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43497-2026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46315</v>
      </c>
      <c r="E1145" s="1" t="n">
        <v>46320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6.7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43708-2026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46316</v>
      </c>
      <c r="E1146" s="1" t="n">
        <v>46320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27.2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43718-2026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46316</v>
      </c>
      <c r="E1147" s="1" t="n">
        <v>46320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5.6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41521-2024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45560</v>
      </c>
      <c r="E1148" s="1" t="n">
        <v>46320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58040-2025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45982</v>
      </c>
      <c r="E1149" s="1" t="n">
        <v>46320</v>
      </c>
      <c r="F1149" t="inlineStr">
        <is>
          <t>GÄVLEBORGS LÄN</t>
        </is>
      </c>
      <c r="G1149" t="inlineStr">
        <is>
          <t>HUDIKSVALL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46028</v>
      </c>
      <c r="E1150" s="1" t="n">
        <v>46320</v>
      </c>
      <c r="F1150" t="inlineStr">
        <is>
          <t>GÄVLEBORGS LÄN</t>
        </is>
      </c>
      <c r="G1150" t="inlineStr">
        <is>
          <t>HUDIKSVALL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31707-2024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45508</v>
      </c>
      <c r="E1151" s="1" t="n">
        <v>46320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4312-2026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46045</v>
      </c>
      <c r="E1152" s="1" t="n">
        <v>46320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4075-2025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45684</v>
      </c>
      <c r="E1153" s="1" t="n">
        <v>46320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4279-2026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46045</v>
      </c>
      <c r="E1154" s="1" t="n">
        <v>46320</v>
      </c>
      <c r="F1154" t="inlineStr">
        <is>
          <t>GÄVLEBORGS LÄN</t>
        </is>
      </c>
      <c r="G1154" t="inlineStr">
        <is>
          <t>HUDIKSVALL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20204-2026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46139</v>
      </c>
      <c r="E1155" s="1" t="n">
        <v>46320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16745-2025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45754</v>
      </c>
      <c r="E1156" s="1" t="n">
        <v>46320</v>
      </c>
      <c r="F1156" t="inlineStr">
        <is>
          <t>GÄVLEBORGS LÄN</t>
        </is>
      </c>
      <c r="G1156" t="inlineStr">
        <is>
          <t>HUDIKSVALL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12873-2026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46092</v>
      </c>
      <c r="E1157" s="1" t="n">
        <v>46320</v>
      </c>
      <c r="F1157" t="inlineStr">
        <is>
          <t>GÄVLEBORGS LÄN</t>
        </is>
      </c>
      <c r="G1157" t="inlineStr">
        <is>
          <t>HUDIKSVALL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44014-2026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46317</v>
      </c>
      <c r="E1158" s="1" t="n">
        <v>46320</v>
      </c>
      <c r="F1158" t="inlineStr">
        <is>
          <t>GÄVLEBORGS LÄN</t>
        </is>
      </c>
      <c r="G1158" t="inlineStr">
        <is>
          <t>HUDIKSVALL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58339-2024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45632</v>
      </c>
      <c r="E1159" s="1" t="n">
        <v>46320</v>
      </c>
      <c r="F1159" t="inlineStr">
        <is>
          <t>GÄVLEBORGS LÄN</t>
        </is>
      </c>
      <c r="G1159" t="inlineStr">
        <is>
          <t>HUDIKSVALL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845-2026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46030</v>
      </c>
      <c r="E1160" s="1" t="n">
        <v>46320</v>
      </c>
      <c r="F1160" t="inlineStr">
        <is>
          <t>GÄVLEBORGS LÄN</t>
        </is>
      </c>
      <c r="G1160" t="inlineStr">
        <is>
          <t>HUDIKSVALL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44122-2026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46318</v>
      </c>
      <c r="E1161" s="1" t="n">
        <v>46320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44143-2026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46318</v>
      </c>
      <c r="E1162" s="1" t="n">
        <v>46320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12551-2026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46090</v>
      </c>
      <c r="E1163" s="1" t="n">
        <v>46320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43070-2024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45567</v>
      </c>
      <c r="E1164" s="1" t="n">
        <v>46320</v>
      </c>
      <c r="F1164" t="inlineStr">
        <is>
          <t>GÄVLEBORGS LÄN</t>
        </is>
      </c>
      <c r="G1164" t="inlineStr">
        <is>
          <t>HUDIKSVALL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20920-2026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46142</v>
      </c>
      <c r="E1165" s="1" t="n">
        <v>46320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20743-2026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46141</v>
      </c>
      <c r="E1166" s="1" t="n">
        <v>46320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7749-2026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46062</v>
      </c>
      <c r="E1167" s="1" t="n">
        <v>46320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46320</v>
      </c>
      <c r="F1168" t="inlineStr">
        <is>
          <t>GÄVLEBORGS LÄN</t>
        </is>
      </c>
      <c r="G1168" t="inlineStr">
        <is>
          <t>HUDIKSVALL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59875-2023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45257</v>
      </c>
      <c r="E1169" s="1" t="n">
        <v>46320</v>
      </c>
      <c r="F1169" t="inlineStr">
        <is>
          <t>GÄVLEBORGS LÄN</t>
        </is>
      </c>
      <c r="G1169" t="inlineStr">
        <is>
          <t>HUDIKSVALL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45297</v>
      </c>
      <c r="E1170" s="1" t="n">
        <v>46320</v>
      </c>
      <c r="F1170" t="inlineStr">
        <is>
          <t>GÄVLEBORGS LÄN</t>
        </is>
      </c>
      <c r="G1170" t="inlineStr">
        <is>
          <t>HUDIKSVALL</t>
        </is>
      </c>
      <c r="I1170" t="n">
        <v>43.2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46590-2024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45582</v>
      </c>
      <c r="E1171" s="1" t="n">
        <v>46320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46593-2024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45582</v>
      </c>
      <c r="E1172" s="1" t="n">
        <v>46320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5.3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46598-2024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45582</v>
      </c>
      <c r="E1173" s="1" t="n">
        <v>46320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11478-2026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46083</v>
      </c>
      <c r="E1174" s="1" t="n">
        <v>46320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35000-2024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45527</v>
      </c>
      <c r="E1175" s="1" t="n">
        <v>46320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9140-2023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44980</v>
      </c>
      <c r="E1176" s="1" t="n">
        <v>46320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9163-2023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44980</v>
      </c>
      <c r="E1177" s="1" t="n">
        <v>46320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12392-2026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46090</v>
      </c>
      <c r="E1178" s="1" t="n">
        <v>46320</v>
      </c>
      <c r="F1178" t="inlineStr">
        <is>
          <t>GÄVLEBORGS LÄN</t>
        </is>
      </c>
      <c r="G1178" t="inlineStr">
        <is>
          <t>HUDIKSVALL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36730-2026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46272</v>
      </c>
      <c r="E1179" s="1" t="n">
        <v>46320</v>
      </c>
      <c r="F1179" t="inlineStr">
        <is>
          <t>GÄVLEBORGS LÄN</t>
        </is>
      </c>
      <c r="G1179" t="inlineStr">
        <is>
          <t>HUDIKSVALL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20728-2026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46320</v>
      </c>
      <c r="F1180" t="inlineStr">
        <is>
          <t>GÄVLEBORGS LÄN</t>
        </is>
      </c>
      <c r="G1180" t="inlineStr">
        <is>
          <t>HUDIKSVALL</t>
        </is>
      </c>
      <c r="I1180" t="n">
        <v>6.1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43496-2025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45911</v>
      </c>
      <c r="E1181" s="1" t="n">
        <v>46320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Naturvårdsverket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37154-2026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46274</v>
      </c>
      <c r="E1182" s="1" t="n">
        <v>46320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37693-2024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45541</v>
      </c>
      <c r="E1183" s="1" t="n">
        <v>46320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Kommuner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37697-2024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45541</v>
      </c>
      <c r="E1184" s="1" t="n">
        <v>46320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Kommuner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8778-2026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46066</v>
      </c>
      <c r="E1185" s="1" t="n">
        <v>46320</v>
      </c>
      <c r="F1185" t="inlineStr">
        <is>
          <t>GÄVLEBORGS LÄN</t>
        </is>
      </c>
      <c r="G1185" t="inlineStr">
        <is>
          <t>HUDIKSVALL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12312-2026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46087</v>
      </c>
      <c r="E1186" s="1" t="n">
        <v>46320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Kyrkan</t>
        </is>
      </c>
      <c r="I1186" t="n">
        <v>4.6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9894-2026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46073</v>
      </c>
      <c r="E1187" s="1" t="n">
        <v>46320</v>
      </c>
      <c r="F1187" t="inlineStr">
        <is>
          <t>GÄVLEBORGS LÄN</t>
        </is>
      </c>
      <c r="G1187" t="inlineStr">
        <is>
          <t>HUDIKSVALL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20921-2026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46142</v>
      </c>
      <c r="E1188" s="1" t="n">
        <v>46320</v>
      </c>
      <c r="F1188" t="inlineStr">
        <is>
          <t>GÄVLEBORGS LÄN</t>
        </is>
      </c>
      <c r="G1188" t="inlineStr">
        <is>
          <t>HUDIKSVALL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4217-2026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46044</v>
      </c>
      <c r="E1189" s="1" t="n">
        <v>46320</v>
      </c>
      <c r="F1189" t="inlineStr">
        <is>
          <t>GÄVLEBORGS LÄN</t>
        </is>
      </c>
      <c r="G1189" t="inlineStr">
        <is>
          <t>HUDIKSVALL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10157-2026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46076</v>
      </c>
      <c r="E1190" s="1" t="n">
        <v>46320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20638-2026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46320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9582-2026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46071</v>
      </c>
      <c r="E1192" s="1" t="n">
        <v>46320</v>
      </c>
      <c r="F1192" t="inlineStr">
        <is>
          <t>GÄVLEBORGS LÄN</t>
        </is>
      </c>
      <c r="G1192" t="inlineStr">
        <is>
          <t>HUDIKSVALL</t>
        </is>
      </c>
      <c r="I1192" t="n">
        <v>6.2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10426-2025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45720</v>
      </c>
      <c r="E1193" s="1" t="n">
        <v>46320</v>
      </c>
      <c r="F1193" t="inlineStr">
        <is>
          <t>GÄVLEBORGS LÄN</t>
        </is>
      </c>
      <c r="G1193" t="inlineStr">
        <is>
          <t>HUDIKSVALL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59571-2022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44907</v>
      </c>
      <c r="E1194" s="1" t="n">
        <v>46320</v>
      </c>
      <c r="F1194" t="inlineStr">
        <is>
          <t>GÄVLEBORGS LÄN</t>
        </is>
      </c>
      <c r="G1194" t="inlineStr">
        <is>
          <t>HUDIKSVALL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7054-2026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46057</v>
      </c>
      <c r="E1195" s="1" t="n">
        <v>46320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20964-2026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46142</v>
      </c>
      <c r="E1196" s="1" t="n">
        <v>46320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7298-2026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46058</v>
      </c>
      <c r="E1197" s="1" t="n">
        <v>46320</v>
      </c>
      <c r="F1197" t="inlineStr">
        <is>
          <t>GÄVLEBORGS LÄN</t>
        </is>
      </c>
      <c r="G1197" t="inlineStr">
        <is>
          <t>HUDIKSVALL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63862-2025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46020</v>
      </c>
      <c r="E1198" s="1" t="n">
        <v>46320</v>
      </c>
      <c r="F1198" t="inlineStr">
        <is>
          <t>GÄVLEBORGS LÄN</t>
        </is>
      </c>
      <c r="G1198" t="inlineStr">
        <is>
          <t>HUDIKSVALL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53977-2025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45961</v>
      </c>
      <c r="E1199" s="1" t="n">
        <v>46320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Naturvårdsverket</t>
        </is>
      </c>
      <c r="I1199" t="n">
        <v>9.5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46024</v>
      </c>
      <c r="E1200" s="1" t="n">
        <v>46320</v>
      </c>
      <c r="F1200" t="inlineStr">
        <is>
          <t>GÄVLEBORGS LÄN</t>
        </is>
      </c>
      <c r="G1200" t="inlineStr">
        <is>
          <t>HUDIKSVALL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22588-2023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45071</v>
      </c>
      <c r="E1201" s="1" t="n">
        <v>46320</v>
      </c>
      <c r="F1201" t="inlineStr">
        <is>
          <t>GÄVLEBORGS LÄN</t>
        </is>
      </c>
      <c r="G1201" t="inlineStr">
        <is>
          <t>HUDIKSVALL</t>
        </is>
      </c>
      <c r="I1201" t="n">
        <v>8.4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8137-2023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44974</v>
      </c>
      <c r="E1202" s="1" t="n">
        <v>46320</v>
      </c>
      <c r="F1202" t="inlineStr">
        <is>
          <t>GÄVLEBORGS LÄN</t>
        </is>
      </c>
      <c r="G1202" t="inlineStr">
        <is>
          <t>HUDIKSVALL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8124-2026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46063</v>
      </c>
      <c r="E1203" s="1" t="n">
        <v>46320</v>
      </c>
      <c r="F1203" t="inlineStr">
        <is>
          <t>GÄVLEBORGS LÄN</t>
        </is>
      </c>
      <c r="G1203" t="inlineStr">
        <is>
          <t>HUDIKSVALL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20825-2026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46141</v>
      </c>
      <c r="E1204" s="1" t="n">
        <v>46320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20816-2026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46141</v>
      </c>
      <c r="E1205" s="1" t="n">
        <v>46320</v>
      </c>
      <c r="F1205" t="inlineStr">
        <is>
          <t>GÄVLEBORGS LÄN</t>
        </is>
      </c>
      <c r="G1205" t="inlineStr">
        <is>
          <t>HUDIKSVALL</t>
        </is>
      </c>
      <c r="I1205" t="n">
        <v>2.8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56738-2023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45244</v>
      </c>
      <c r="E1206" s="1" t="n">
        <v>46320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56755-2023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45244</v>
      </c>
      <c r="E1207" s="1" t="n">
        <v>46320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6895-2026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46057</v>
      </c>
      <c r="E1208" s="1" t="n">
        <v>46320</v>
      </c>
      <c r="F1208" t="inlineStr">
        <is>
          <t>GÄVLEBORGS LÄN</t>
        </is>
      </c>
      <c r="G1208" t="inlineStr">
        <is>
          <t>HUDIKSVALL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21094-2026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46320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21097-2026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46146</v>
      </c>
      <c r="E1210" s="1" t="n">
        <v>46320</v>
      </c>
      <c r="F1210" t="inlineStr">
        <is>
          <t>GÄVLEBORGS LÄN</t>
        </is>
      </c>
      <c r="G1210" t="inlineStr">
        <is>
          <t>HUDIKSVALL</t>
        </is>
      </c>
      <c r="I1210" t="n">
        <v>6.6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21105-2026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46320</v>
      </c>
      <c r="F1211" t="inlineStr">
        <is>
          <t>GÄVLEBORGS LÄN</t>
        </is>
      </c>
      <c r="G1211" t="inlineStr">
        <is>
          <t>HUDIKSVALL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46827-2024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45583</v>
      </c>
      <c r="E1212" s="1" t="n">
        <v>46320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Sveaskog</t>
        </is>
      </c>
      <c r="I1212" t="n">
        <v>5.9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4758-2026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46048</v>
      </c>
      <c r="E1213" s="1" t="n">
        <v>46320</v>
      </c>
      <c r="F1213" t="inlineStr">
        <is>
          <t>GÄVLEBORGS LÄN</t>
        </is>
      </c>
      <c r="G1213" t="inlineStr">
        <is>
          <t>HUDIKSVALL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37281-2026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46274</v>
      </c>
      <c r="E1214" s="1" t="n">
        <v>46320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21159-2026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46320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4881-2026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46048</v>
      </c>
      <c r="E1216" s="1" t="n">
        <v>46320</v>
      </c>
      <c r="F1216" t="inlineStr">
        <is>
          <t>GÄVLEBORGS LÄN</t>
        </is>
      </c>
      <c r="G1216" t="inlineStr">
        <is>
          <t>HUDIKSVALL</t>
        </is>
      </c>
      <c r="I1216" t="n">
        <v>8.1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20805-2026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46141</v>
      </c>
      <c r="E1217" s="1" t="n">
        <v>46320</v>
      </c>
      <c r="F1217" t="inlineStr">
        <is>
          <t>GÄVLEBORGS LÄN</t>
        </is>
      </c>
      <c r="G1217" t="inlineStr">
        <is>
          <t>HUDIKSVALL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21089-2026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46146</v>
      </c>
      <c r="E1218" s="1" t="n">
        <v>46320</v>
      </c>
      <c r="F1218" t="inlineStr">
        <is>
          <t>GÄVLEBORGS LÄN</t>
        </is>
      </c>
      <c r="G1218" t="inlineStr">
        <is>
          <t>HUDIKSVALL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40588-2026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46295</v>
      </c>
      <c r="E1219" s="1" t="n">
        <v>46320</v>
      </c>
      <c r="F1219" t="inlineStr">
        <is>
          <t>GÄVLEBORGS LÄN</t>
        </is>
      </c>
      <c r="G1219" t="inlineStr">
        <is>
          <t>HUDIKSVALL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17586-2026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46121</v>
      </c>
      <c r="E1220" s="1" t="n">
        <v>46320</v>
      </c>
      <c r="F1220" t="inlineStr">
        <is>
          <t>GÄVLEBORGS LÄN</t>
        </is>
      </c>
      <c r="G1220" t="inlineStr">
        <is>
          <t>HUDIKSVALL</t>
        </is>
      </c>
      <c r="I1220" t="n">
        <v>5.6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37457-2026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46275</v>
      </c>
      <c r="E1221" s="1" t="n">
        <v>46320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  <c r="Z1221">
        <f>HYPERLINK("https://klasma.github.io/Logging_2184/knärot/A 37457-2026 karta knärot.png", "A 37457-2026")</f>
        <v/>
      </c>
      <c r="AA1221">
        <f>HYPERLINK("https://klasma.github.io/Logging_2184/klagomål/A 37457-2026 FSC-klagomål.docx", "A 37457-2026")</f>
        <v/>
      </c>
      <c r="AB1221">
        <f>HYPERLINK("https://klasma.github.io/Logging_2184/klagomålsmail/A 37457-2026 FSC-klagomål mail.docx", "A 37457-2026")</f>
        <v/>
      </c>
      <c r="AC1221">
        <f>HYPERLINK("https://klasma.github.io/Logging_2184/tillsyn/A 37457-2026 tillsynsbegäran.docx", "A 37457-2026")</f>
        <v/>
      </c>
      <c r="AD1221">
        <f>HYPERLINK("https://klasma.github.io/Logging_2184/tillsynsmail/A 37457-2026 tillsynsbegäran mail.docx", "A 37457-2026")</f>
        <v/>
      </c>
    </row>
    <row r="1222" ht="15" customHeight="1">
      <c r="A1222" t="inlineStr">
        <is>
          <t>A 47314-2024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45587</v>
      </c>
      <c r="E1222" s="1" t="n">
        <v>46320</v>
      </c>
      <c r="F1222" t="inlineStr">
        <is>
          <t>GÄVLEBORGS LÄN</t>
        </is>
      </c>
      <c r="G1222" t="inlineStr">
        <is>
          <t>HUDIKSVALL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12529-2026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46090</v>
      </c>
      <c r="E1223" s="1" t="n">
        <v>46320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46207-2024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45581</v>
      </c>
      <c r="E1224" s="1" t="n">
        <v>46320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21243-2026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46147</v>
      </c>
      <c r="E1225" s="1" t="n">
        <v>46320</v>
      </c>
      <c r="F1225" t="inlineStr">
        <is>
          <t>GÄVLEBORGS LÄN</t>
        </is>
      </c>
      <c r="G1225" t="inlineStr">
        <is>
          <t>HUDIKSVALL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46148</v>
      </c>
      <c r="E1226" s="1" t="n">
        <v>46320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Kyrkan</t>
        </is>
      </c>
      <c r="I1226" t="n">
        <v>8.800000000000001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22641-2024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45447</v>
      </c>
      <c r="E1227" s="1" t="n">
        <v>46320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21249-2026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46147</v>
      </c>
      <c r="E1228" s="1" t="n">
        <v>46320</v>
      </c>
      <c r="F1228" t="inlineStr">
        <is>
          <t>GÄVLEBORGS LÄN</t>
        </is>
      </c>
      <c r="G1228" t="inlineStr">
        <is>
          <t>HUDIKSVALL</t>
        </is>
      </c>
      <c r="I1228" t="n">
        <v>13.8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21546-2026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46148</v>
      </c>
      <c r="E1229" s="1" t="n">
        <v>46320</v>
      </c>
      <c r="F1229" t="inlineStr">
        <is>
          <t>GÄVLEBORGS LÄN</t>
        </is>
      </c>
      <c r="G1229" t="inlineStr">
        <is>
          <t>HUDIKSVALL</t>
        </is>
      </c>
      <c r="I1229" t="n">
        <v>3.9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21508-2026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46320</v>
      </c>
      <c r="F1230" t="inlineStr">
        <is>
          <t>GÄVLEBORGS LÄN</t>
        </is>
      </c>
      <c r="G1230" t="inlineStr">
        <is>
          <t>HUDIKSVALL</t>
        </is>
      </c>
      <c r="I1230" t="n">
        <v>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21574-2026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46148</v>
      </c>
      <c r="E1231" s="1" t="n">
        <v>46320</v>
      </c>
      <c r="F1231" t="inlineStr">
        <is>
          <t>GÄVLEBORGS LÄN</t>
        </is>
      </c>
      <c r="G1231" t="inlineStr">
        <is>
          <t>HUDIKSVALL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35002-2023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45142</v>
      </c>
      <c r="E1232" s="1" t="n">
        <v>46320</v>
      </c>
      <c r="F1232" t="inlineStr">
        <is>
          <t>GÄVLEBORGS LÄN</t>
        </is>
      </c>
      <c r="G1232" t="inlineStr">
        <is>
          <t>HUDIKSVALL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21473-2026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46320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Kyrkan</t>
        </is>
      </c>
      <c r="I1233" t="n">
        <v>6.9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21318-2026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46147</v>
      </c>
      <c r="E1234" s="1" t="n">
        <v>46320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Kyrkan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21568-2026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46148</v>
      </c>
      <c r="E1235" s="1" t="n">
        <v>46320</v>
      </c>
      <c r="F1235" t="inlineStr">
        <is>
          <t>GÄVLEBORGS LÄN</t>
        </is>
      </c>
      <c r="G1235" t="inlineStr">
        <is>
          <t>HUDIKSVALL</t>
        </is>
      </c>
      <c r="I1235" t="n">
        <v>2.7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21557-2026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46148</v>
      </c>
      <c r="E1236" s="1" t="n">
        <v>46320</v>
      </c>
      <c r="F1236" t="inlineStr">
        <is>
          <t>GÄVLEBORGS LÄN</t>
        </is>
      </c>
      <c r="G1236" t="inlineStr">
        <is>
          <t>HUDIKSVALL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21323-2026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46147</v>
      </c>
      <c r="E1237" s="1" t="n">
        <v>46320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Kyrkan</t>
        </is>
      </c>
      <c r="I1237" t="n">
        <v>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21353-2026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46147</v>
      </c>
      <c r="E1238" s="1" t="n">
        <v>46320</v>
      </c>
      <c r="F1238" t="inlineStr">
        <is>
          <t>GÄVLEBORGS LÄN</t>
        </is>
      </c>
      <c r="G1238" t="inlineStr">
        <is>
          <t>HUDIKSVALL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45096-2023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45191</v>
      </c>
      <c r="E1239" s="1" t="n">
        <v>46320</v>
      </c>
      <c r="F1239" t="inlineStr">
        <is>
          <t>GÄVLEBORGS LÄN</t>
        </is>
      </c>
      <c r="G1239" t="inlineStr">
        <is>
          <t>HUDIKSVALL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17082-2026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46114</v>
      </c>
      <c r="E1240" s="1" t="n">
        <v>46320</v>
      </c>
      <c r="F1240" t="inlineStr">
        <is>
          <t>GÄVLEBORGS LÄN</t>
        </is>
      </c>
      <c r="G1240" t="inlineStr">
        <is>
          <t>HUDIKSVALL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14700-2024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45397</v>
      </c>
      <c r="E1241" s="1" t="n">
        <v>46320</v>
      </c>
      <c r="F1241" t="inlineStr">
        <is>
          <t>GÄVLEBORGS LÄN</t>
        </is>
      </c>
      <c r="G1241" t="inlineStr">
        <is>
          <t>HUDIKSVALL</t>
        </is>
      </c>
      <c r="I1241" t="n">
        <v>3.8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21792-2026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46320</v>
      </c>
      <c r="F1242" t="inlineStr">
        <is>
          <t>GÄVLEBORGS LÄN</t>
        </is>
      </c>
      <c r="G1242" t="inlineStr">
        <is>
          <t>HUDIKSVALL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21622-2026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46149</v>
      </c>
      <c r="E1243" s="1" t="n">
        <v>46320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16.9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34284-2024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45524</v>
      </c>
      <c r="E1244" s="1" t="n">
        <v>46320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14863-2024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45398</v>
      </c>
      <c r="E1245" s="1" t="n">
        <v>46320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24445-2023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45082</v>
      </c>
      <c r="E1246" s="1" t="n">
        <v>46320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44736-2024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46320</v>
      </c>
      <c r="F1247" t="inlineStr">
        <is>
          <t>GÄVLEBORGS LÄN</t>
        </is>
      </c>
      <c r="G1247" t="inlineStr">
        <is>
          <t>HUDIKSVALL</t>
        </is>
      </c>
      <c r="I1247" t="n">
        <v>43.7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17919-2026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46122</v>
      </c>
      <c r="E1248" s="1" t="n">
        <v>46320</v>
      </c>
      <c r="F1248" t="inlineStr">
        <is>
          <t>GÄVLEBORGS LÄN</t>
        </is>
      </c>
      <c r="G1248" t="inlineStr">
        <is>
          <t>HUDIKSVALL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11639-2026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46084</v>
      </c>
      <c r="E1249" s="1" t="n">
        <v>46320</v>
      </c>
      <c r="F1249" t="inlineStr">
        <is>
          <t>GÄVLEBORGS LÄN</t>
        </is>
      </c>
      <c r="G1249" t="inlineStr">
        <is>
          <t>HUDIKSVALL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1733-2026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46034</v>
      </c>
      <c r="E1250" s="1" t="n">
        <v>46320</v>
      </c>
      <c r="F1250" t="inlineStr">
        <is>
          <t>GÄVLEBORGS LÄN</t>
        </is>
      </c>
      <c r="G1250" t="inlineStr">
        <is>
          <t>HUDIKSVALL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27051-2022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44741</v>
      </c>
      <c r="E1251" s="1" t="n">
        <v>46320</v>
      </c>
      <c r="F1251" t="inlineStr">
        <is>
          <t>GÄVLEBORGS LÄN</t>
        </is>
      </c>
      <c r="G1251" t="inlineStr">
        <is>
          <t>HUDIKSVALL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13608-2026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46097</v>
      </c>
      <c r="E1252" s="1" t="n">
        <v>46320</v>
      </c>
      <c r="F1252" t="inlineStr">
        <is>
          <t>GÄVLEBORGS LÄN</t>
        </is>
      </c>
      <c r="G1252" t="inlineStr">
        <is>
          <t>HUDIKSVALL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16112-2026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46108</v>
      </c>
      <c r="E1253" s="1" t="n">
        <v>46320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19605-2025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45770</v>
      </c>
      <c r="E1254" s="1" t="n">
        <v>46320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9.5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37485-2025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45877</v>
      </c>
      <c r="E1255" s="1" t="n">
        <v>46320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13246-2026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46093</v>
      </c>
      <c r="E1256" s="1" t="n">
        <v>46320</v>
      </c>
      <c r="F1256" t="inlineStr">
        <is>
          <t>GÄVLEBORGS LÄN</t>
        </is>
      </c>
      <c r="G1256" t="inlineStr">
        <is>
          <t>HUDIKSVALL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6312-2026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46320</v>
      </c>
      <c r="F1257" t="inlineStr">
        <is>
          <t>GÄVLEBORGS LÄN</t>
        </is>
      </c>
      <c r="G1257" t="inlineStr">
        <is>
          <t>HUDIKSVALL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5901-2025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45695</v>
      </c>
      <c r="E1258" s="1" t="n">
        <v>46320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5940-2025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45695</v>
      </c>
      <c r="E1259" s="1" t="n">
        <v>46320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5946-2025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45695</v>
      </c>
      <c r="E1260" s="1" t="n">
        <v>46320</v>
      </c>
      <c r="F1260" t="inlineStr">
        <is>
          <t>GÄVLEBORGS LÄN</t>
        </is>
      </c>
      <c r="G1260" t="inlineStr">
        <is>
          <t>HUDIKSVALL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30590-2022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44762</v>
      </c>
      <c r="E1261" s="1" t="n">
        <v>46320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Sveaskog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12474-2026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46090</v>
      </c>
      <c r="E1262" s="1" t="n">
        <v>46320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Naturvårdsverket</t>
        </is>
      </c>
      <c r="I1262" t="n">
        <v>6.3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40060-2023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45168</v>
      </c>
      <c r="E1263" s="1" t="n">
        <v>46320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4.3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9834-2026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46072</v>
      </c>
      <c r="E1264" s="1" t="n">
        <v>46320</v>
      </c>
      <c r="F1264" t="inlineStr">
        <is>
          <t>GÄVLEBORGS LÄN</t>
        </is>
      </c>
      <c r="G1264" t="inlineStr">
        <is>
          <t>HUDIKSVALL</t>
        </is>
      </c>
      <c r="I1264" t="n">
        <v>2.4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3296-2026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46041</v>
      </c>
      <c r="E1265" s="1" t="n">
        <v>46320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4471-2026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46045</v>
      </c>
      <c r="E1266" s="1" t="n">
        <v>46320</v>
      </c>
      <c r="F1266" t="inlineStr">
        <is>
          <t>GÄVLEBORGS LÄN</t>
        </is>
      </c>
      <c r="G1266" t="inlineStr">
        <is>
          <t>HUDIKSVALL</t>
        </is>
      </c>
      <c r="I1266" t="n">
        <v>16.1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41254-2024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45559</v>
      </c>
      <c r="E1267" s="1" t="n">
        <v>46320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6.4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22427-2026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46154</v>
      </c>
      <c r="E1268" s="1" t="n">
        <v>46320</v>
      </c>
      <c r="F1268" t="inlineStr">
        <is>
          <t>GÄVLEBORGS LÄN</t>
        </is>
      </c>
      <c r="G1268" t="inlineStr">
        <is>
          <t>HUDIKSVALL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22332-2026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46154</v>
      </c>
      <c r="E1269" s="1" t="n">
        <v>46320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7.3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22330-2026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46154</v>
      </c>
      <c r="E1270" s="1" t="n">
        <v>46320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47472-2023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45202</v>
      </c>
      <c r="E1271" s="1" t="n">
        <v>46320</v>
      </c>
      <c r="F1271" t="inlineStr">
        <is>
          <t>GÄVLEBORGS LÄN</t>
        </is>
      </c>
      <c r="G1271" t="inlineStr">
        <is>
          <t>HUDIKSVALL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2280-2022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44578</v>
      </c>
      <c r="E1272" s="1" t="n">
        <v>46320</v>
      </c>
      <c r="F1272" t="inlineStr">
        <is>
          <t>GÄVLEBORGS LÄN</t>
        </is>
      </c>
      <c r="G1272" t="inlineStr">
        <is>
          <t>HUDIKSVALL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62674-2023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45271</v>
      </c>
      <c r="E1273" s="1" t="n">
        <v>46320</v>
      </c>
      <c r="F1273" t="inlineStr">
        <is>
          <t>GÄVLEBORGS LÄN</t>
        </is>
      </c>
      <c r="G1273" t="inlineStr">
        <is>
          <t>HUDIKSVALL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7065-2023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44969</v>
      </c>
      <c r="E1274" s="1" t="n">
        <v>46320</v>
      </c>
      <c r="F1274" t="inlineStr">
        <is>
          <t>GÄVLEBORGS LÄN</t>
        </is>
      </c>
      <c r="G1274" t="inlineStr">
        <is>
          <t>HUDIKSVALL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11432-2023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44993</v>
      </c>
      <c r="E1275" s="1" t="n">
        <v>46320</v>
      </c>
      <c r="F1275" t="inlineStr">
        <is>
          <t>GÄVLEBORGS LÄN</t>
        </is>
      </c>
      <c r="G1275" t="inlineStr">
        <is>
          <t>HUDIKSVALL</t>
        </is>
      </c>
      <c r="I1275" t="n">
        <v>6.3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22553-2026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46155</v>
      </c>
      <c r="E1276" s="1" t="n">
        <v>46320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67.5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22455-2026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46155</v>
      </c>
      <c r="E1277" s="1" t="n">
        <v>46320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4.4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56754-2022</t>
        </is>
      </c>
      <c r="B1278" t="inlineStr">
        <is>
          <t>avverkningsanmälan</t>
        </is>
      </c>
      <c r="C1278" t="inlineStr">
        <is>
          <t>Avverkning för annat ändamål</t>
        </is>
      </c>
      <c r="D1278" s="1" t="n">
        <v>44894</v>
      </c>
      <c r="E1278" s="1" t="n">
        <v>46320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3297-2024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45317</v>
      </c>
      <c r="E1279" s="1" t="n">
        <v>46320</v>
      </c>
      <c r="F1279" t="inlineStr">
        <is>
          <t>GÄVLEBORGS LÄN</t>
        </is>
      </c>
      <c r="G1279" t="inlineStr">
        <is>
          <t>HUDIKSVALL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22673-2026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46155</v>
      </c>
      <c r="E1280" s="1" t="n">
        <v>46320</v>
      </c>
      <c r="F1280" t="inlineStr">
        <is>
          <t>GÄVLEBORGS LÄN</t>
        </is>
      </c>
      <c r="G1280" t="inlineStr">
        <is>
          <t>HUDIKSVALL</t>
        </is>
      </c>
      <c r="I1280" t="n">
        <v>4.3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60789-2023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45260</v>
      </c>
      <c r="E1281" s="1" t="n">
        <v>46320</v>
      </c>
      <c r="F1281" t="inlineStr">
        <is>
          <t>GÄVLEBORGS LÄN</t>
        </is>
      </c>
      <c r="G1281" t="inlineStr">
        <is>
          <t>HUDIKSVALL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56256-2025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45974</v>
      </c>
      <c r="E1282" s="1" t="n">
        <v>46320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65363-2021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44515</v>
      </c>
      <c r="E1283" s="1" t="n">
        <v>46320</v>
      </c>
      <c r="F1283" t="inlineStr">
        <is>
          <t>GÄVLEBORGS LÄN</t>
        </is>
      </c>
      <c r="G1283" t="inlineStr">
        <is>
          <t>HUDIKSVALL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22783-2026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46157</v>
      </c>
      <c r="E1284" s="1" t="n">
        <v>46320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9392-2025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45715</v>
      </c>
      <c r="E1285" s="1" t="n">
        <v>46320</v>
      </c>
      <c r="F1285" t="inlineStr">
        <is>
          <t>GÄVLEBORGS LÄN</t>
        </is>
      </c>
      <c r="G1285" t="inlineStr">
        <is>
          <t>HUDIKSVALL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22996-2026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46160</v>
      </c>
      <c r="E1286" s="1" t="n">
        <v>46320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14647-2026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46320</v>
      </c>
      <c r="F1287" t="inlineStr">
        <is>
          <t>GÄVLEBORGS LÄN</t>
        </is>
      </c>
      <c r="G1287" t="inlineStr">
        <is>
          <t>HUDIKSVALL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22828-2026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46160</v>
      </c>
      <c r="E1288" s="1" t="n">
        <v>46320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Kyrkan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22893-2026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46160</v>
      </c>
      <c r="E1289" s="1" t="n">
        <v>46320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Kyrkan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22936-2026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46160</v>
      </c>
      <c r="E1290" s="1" t="n">
        <v>46320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Naturvårdsverket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44720-2024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45574</v>
      </c>
      <c r="E1291" s="1" t="n">
        <v>46320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9.1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35433-2022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44798</v>
      </c>
      <c r="E1292" s="1" t="n">
        <v>46320</v>
      </c>
      <c r="F1292" t="inlineStr">
        <is>
          <t>GÄVLEBORGS LÄN</t>
        </is>
      </c>
      <c r="G1292" t="inlineStr">
        <is>
          <t>HUDIKSVALL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19887-2025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45771</v>
      </c>
      <c r="E1293" s="1" t="n">
        <v>46320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60188-2023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45258</v>
      </c>
      <c r="E1294" s="1" t="n">
        <v>46320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0.2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52221-2024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45608</v>
      </c>
      <c r="E1295" s="1" t="n">
        <v>46320</v>
      </c>
      <c r="F1295" t="inlineStr">
        <is>
          <t>GÄVLEBORGS LÄN</t>
        </is>
      </c>
      <c r="G1295" t="inlineStr">
        <is>
          <t>HUDIKSVALL</t>
        </is>
      </c>
      <c r="I1295" t="n">
        <v>4.5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24119-2024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45456</v>
      </c>
      <c r="E1296" s="1" t="n">
        <v>46320</v>
      </c>
      <c r="F1296" t="inlineStr">
        <is>
          <t>GÄVLEBORGS LÄN</t>
        </is>
      </c>
      <c r="G1296" t="inlineStr">
        <is>
          <t>HUDIKSVALL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56805-2022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44894</v>
      </c>
      <c r="E1297" s="1" t="n">
        <v>46320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64632-2021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44511</v>
      </c>
      <c r="E1298" s="1" t="n">
        <v>46320</v>
      </c>
      <c r="F1298" t="inlineStr">
        <is>
          <t>GÄVLEBORGS LÄN</t>
        </is>
      </c>
      <c r="G1298" t="inlineStr">
        <is>
          <t>HUDIKSVALL</t>
        </is>
      </c>
      <c r="I1298" t="n">
        <v>4.2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405-2025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45663</v>
      </c>
      <c r="E1299" s="1" t="n">
        <v>46320</v>
      </c>
      <c r="F1299" t="inlineStr">
        <is>
          <t>GÄVLEBORGS LÄN</t>
        </is>
      </c>
      <c r="G1299" t="inlineStr">
        <is>
          <t>HUDIKSVALL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35303-2023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45146</v>
      </c>
      <c r="E1300" s="1" t="n">
        <v>46320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27418-2024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45474</v>
      </c>
      <c r="E1301" s="1" t="n">
        <v>46320</v>
      </c>
      <c r="F1301" t="inlineStr">
        <is>
          <t>GÄVLEBORGS LÄN</t>
        </is>
      </c>
      <c r="G1301" t="inlineStr">
        <is>
          <t>HUDIKSVALL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27302-2023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45096</v>
      </c>
      <c r="E1302" s="1" t="n">
        <v>46320</v>
      </c>
      <c r="F1302" t="inlineStr">
        <is>
          <t>GÄVLEBORGS LÄN</t>
        </is>
      </c>
      <c r="G1302" t="inlineStr">
        <is>
          <t>HUDIKSVALL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27467-2024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45474</v>
      </c>
      <c r="E1303" s="1" t="n">
        <v>46320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8.6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53156-2024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45611</v>
      </c>
      <c r="E1304" s="1" t="n">
        <v>46320</v>
      </c>
      <c r="F1304" t="inlineStr">
        <is>
          <t>GÄVLEBORGS LÄN</t>
        </is>
      </c>
      <c r="G1304" t="inlineStr">
        <is>
          <t>HUDIKSVALL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13039-2023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45002</v>
      </c>
      <c r="E1305" s="1" t="n">
        <v>46320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45678</v>
      </c>
      <c r="E1306" s="1" t="n">
        <v>46320</v>
      </c>
      <c r="F1306" t="inlineStr">
        <is>
          <t>GÄVLEBORGS LÄN</t>
        </is>
      </c>
      <c r="G1306" t="inlineStr">
        <is>
          <t>HUDIKSVALL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52986-2024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45611</v>
      </c>
      <c r="E1307" s="1" t="n">
        <v>46320</v>
      </c>
      <c r="F1307" t="inlineStr">
        <is>
          <t>GÄVLEBORGS LÄN</t>
        </is>
      </c>
      <c r="G1307" t="inlineStr">
        <is>
          <t>HUDIKSVALL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36086-2024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45533</v>
      </c>
      <c r="E1308" s="1" t="n">
        <v>46320</v>
      </c>
      <c r="F1308" t="inlineStr">
        <is>
          <t>GÄVLEBORGS LÄN</t>
        </is>
      </c>
      <c r="G1308" t="inlineStr">
        <is>
          <t>HUDIKSVALL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41555-2024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45560</v>
      </c>
      <c r="E1309" s="1" t="n">
        <v>46320</v>
      </c>
      <c r="F1309" t="inlineStr">
        <is>
          <t>GÄVLEBORGS LÄN</t>
        </is>
      </c>
      <c r="G1309" t="inlineStr">
        <is>
          <t>HUDIKSVALL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45697</v>
      </c>
      <c r="E1310" s="1" t="n">
        <v>46320</v>
      </c>
      <c r="F1310" t="inlineStr">
        <is>
          <t>GÄVLEBORGS LÄN</t>
        </is>
      </c>
      <c r="G1310" t="inlineStr">
        <is>
          <t>HUDIKSVALL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60872-2024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45644</v>
      </c>
      <c r="E1311" s="1" t="n">
        <v>46320</v>
      </c>
      <c r="F1311" t="inlineStr">
        <is>
          <t>GÄVLEBORGS LÄN</t>
        </is>
      </c>
      <c r="G1311" t="inlineStr">
        <is>
          <t>HUDIKSVALL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18991-2025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45764</v>
      </c>
      <c r="E1312" s="1" t="n">
        <v>46320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6.8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18997-2025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45764</v>
      </c>
      <c r="E1313" s="1" t="n">
        <v>46320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44229-2024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45573</v>
      </c>
      <c r="E1314" s="1" t="n">
        <v>46320</v>
      </c>
      <c r="F1314" t="inlineStr">
        <is>
          <t>GÄVLEBORGS LÄN</t>
        </is>
      </c>
      <c r="G1314" t="inlineStr">
        <is>
          <t>HUDIKSVALL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43929-2023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45187</v>
      </c>
      <c r="E1315" s="1" t="n">
        <v>46320</v>
      </c>
      <c r="F1315" t="inlineStr">
        <is>
          <t>GÄVLEBORGS LÄN</t>
        </is>
      </c>
      <c r="G1315" t="inlineStr">
        <is>
          <t>HUDIKSVALL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35679-2023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45147</v>
      </c>
      <c r="E1316" s="1" t="n">
        <v>46320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6.5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10994-2025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45723</v>
      </c>
      <c r="E1317" s="1" t="n">
        <v>46320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5.7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35268-2022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44798</v>
      </c>
      <c r="E1318" s="1" t="n">
        <v>46320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40136-2023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45169</v>
      </c>
      <c r="E1319" s="1" t="n">
        <v>46320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45666</v>
      </c>
      <c r="E1320" s="1" t="n">
        <v>46320</v>
      </c>
      <c r="F1320" t="inlineStr">
        <is>
          <t>GÄVLEBORGS LÄN</t>
        </is>
      </c>
      <c r="G1320" t="inlineStr">
        <is>
          <t>HUDIKSVALL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43469-2023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45184</v>
      </c>
      <c r="E1321" s="1" t="n">
        <v>46320</v>
      </c>
      <c r="F1321" t="inlineStr">
        <is>
          <t>GÄVLEBORGS LÄN</t>
        </is>
      </c>
      <c r="G1321" t="inlineStr">
        <is>
          <t>HUDIKSVALL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35593-2023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45147</v>
      </c>
      <c r="E1322" s="1" t="n">
        <v>46320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4.8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24885-2023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45085</v>
      </c>
      <c r="E1323" s="1" t="n">
        <v>46320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5942-2025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45695</v>
      </c>
      <c r="E1324" s="1" t="n">
        <v>46320</v>
      </c>
      <c r="F1324" t="inlineStr">
        <is>
          <t>GÄVLEBORGS LÄN</t>
        </is>
      </c>
      <c r="G1324" t="inlineStr">
        <is>
          <t>HUDIKSVALL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7538-2025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45705</v>
      </c>
      <c r="E1325" s="1" t="n">
        <v>46320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44084-2023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45188</v>
      </c>
      <c r="E1326" s="1" t="n">
        <v>46320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2889-2025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45677</v>
      </c>
      <c r="E1327" s="1" t="n">
        <v>46320</v>
      </c>
      <c r="F1327" t="inlineStr">
        <is>
          <t>GÄVLEBORGS LÄN</t>
        </is>
      </c>
      <c r="G1327" t="inlineStr">
        <is>
          <t>HUDIKSVALL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8732-2023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44978</v>
      </c>
      <c r="E1328" s="1" t="n">
        <v>46320</v>
      </c>
      <c r="F1328" t="inlineStr">
        <is>
          <t>GÄVLEBORGS LÄN</t>
        </is>
      </c>
      <c r="G1328" t="inlineStr">
        <is>
          <t>HUDIKSVALL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21772-2023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45065</v>
      </c>
      <c r="E1329" s="1" t="n">
        <v>46320</v>
      </c>
      <c r="F1329" t="inlineStr">
        <is>
          <t>GÄVLEBORGS LÄN</t>
        </is>
      </c>
      <c r="G1329" t="inlineStr">
        <is>
          <t>HUDIKSVALL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35302-2024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45530</v>
      </c>
      <c r="E1330" s="1" t="n">
        <v>46320</v>
      </c>
      <c r="F1330" t="inlineStr">
        <is>
          <t>GÄVLEBORGS LÄN</t>
        </is>
      </c>
      <c r="G1330" t="inlineStr">
        <is>
          <t>HUDIKSVALL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17206-2025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45756</v>
      </c>
      <c r="E1331" s="1" t="n">
        <v>46320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15.7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2906-2025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45677</v>
      </c>
      <c r="E1332" s="1" t="n">
        <v>46320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30116-2024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45489</v>
      </c>
      <c r="E1333" s="1" t="n">
        <v>46320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19894-2025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45771</v>
      </c>
      <c r="E1334" s="1" t="n">
        <v>46320</v>
      </c>
      <c r="F1334" t="inlineStr">
        <is>
          <t>GÄVLEBORGS LÄN</t>
        </is>
      </c>
      <c r="G1334" t="inlineStr">
        <is>
          <t>HUDIKSVALL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41735-2023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45176</v>
      </c>
      <c r="E1335" s="1" t="n">
        <v>46320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41745-2023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45176</v>
      </c>
      <c r="E1336" s="1" t="n">
        <v>46320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9462-2025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45715</v>
      </c>
      <c r="E1337" s="1" t="n">
        <v>46320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24.3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5861-2025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45695</v>
      </c>
      <c r="E1338" s="1" t="n">
        <v>46320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3.2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68342-2021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44528</v>
      </c>
      <c r="E1339" s="1" t="n">
        <v>46320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68659-2021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44529</v>
      </c>
      <c r="E1340" s="1" t="n">
        <v>46320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2754-2025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45677</v>
      </c>
      <c r="E1341" s="1" t="n">
        <v>46320</v>
      </c>
      <c r="F1341" t="inlineStr">
        <is>
          <t>GÄVLEBORGS LÄN</t>
        </is>
      </c>
      <c r="G1341" t="inlineStr">
        <is>
          <t>HUDIKSVALL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60356-2024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45643</v>
      </c>
      <c r="E1342" s="1" t="n">
        <v>46320</v>
      </c>
      <c r="F1342" t="inlineStr">
        <is>
          <t>GÄVLEBORGS LÄN</t>
        </is>
      </c>
      <c r="G1342" t="inlineStr">
        <is>
          <t>HUDIKSVALL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14771-2025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45742</v>
      </c>
      <c r="E1343" s="1" t="n">
        <v>46320</v>
      </c>
      <c r="F1343" t="inlineStr">
        <is>
          <t>GÄVLEBORGS LÄN</t>
        </is>
      </c>
      <c r="G1343" t="inlineStr">
        <is>
          <t>HUDIKSVALL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23187-2023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45075</v>
      </c>
      <c r="E1344" s="1" t="n">
        <v>46320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Kommuner</t>
        </is>
      </c>
      <c r="I1344" t="n">
        <v>0.3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7532-2025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45705</v>
      </c>
      <c r="E1345" s="1" t="n">
        <v>46320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4.8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63414-2023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45274</v>
      </c>
      <c r="E1346" s="1" t="n">
        <v>46320</v>
      </c>
      <c r="F1346" t="inlineStr">
        <is>
          <t>GÄVLEBORGS LÄN</t>
        </is>
      </c>
      <c r="G1346" t="inlineStr">
        <is>
          <t>HUDIKSVALL</t>
        </is>
      </c>
      <c r="I1346" t="n">
        <v>9.1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47059-2024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45586</v>
      </c>
      <c r="E1347" s="1" t="n">
        <v>46320</v>
      </c>
      <c r="F1347" t="inlineStr">
        <is>
          <t>GÄVLEBORGS LÄN</t>
        </is>
      </c>
      <c r="G1347" t="inlineStr">
        <is>
          <t>HUDIKSVALL</t>
        </is>
      </c>
      <c r="I1347" t="n">
        <v>18.2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18657-2023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45043</v>
      </c>
      <c r="E1348" s="1" t="n">
        <v>46320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9546-2025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45715</v>
      </c>
      <c r="E1349" s="1" t="n">
        <v>46320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29.4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35805-2024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45532</v>
      </c>
      <c r="E1350" s="1" t="n">
        <v>46320</v>
      </c>
      <c r="F1350" t="inlineStr">
        <is>
          <t>GÄVLEBORGS LÄN</t>
        </is>
      </c>
      <c r="G1350" t="inlineStr">
        <is>
          <t>HUDIKSVALL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22136-2022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44712</v>
      </c>
      <c r="E1351" s="1" t="n">
        <v>46320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42128-2023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45177</v>
      </c>
      <c r="E1352" s="1" t="n">
        <v>46320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9.1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2418-2024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45310</v>
      </c>
      <c r="E1353" s="1" t="n">
        <v>46320</v>
      </c>
      <c r="F1353" t="inlineStr">
        <is>
          <t>GÄVLEBORGS LÄN</t>
        </is>
      </c>
      <c r="G1353" t="inlineStr">
        <is>
          <t>HUDIKSVALL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60283-2022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44910</v>
      </c>
      <c r="E1354" s="1" t="n">
        <v>46320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68730-2021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44529</v>
      </c>
      <c r="E1355" s="1" t="n">
        <v>46320</v>
      </c>
      <c r="F1355" t="inlineStr">
        <is>
          <t>GÄVLEBORGS LÄN</t>
        </is>
      </c>
      <c r="G1355" t="inlineStr">
        <is>
          <t>HUDIKSVALL</t>
        </is>
      </c>
      <c r="I1355" t="n">
        <v>4.4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816-2022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44571</v>
      </c>
      <c r="E1356" s="1" t="n">
        <v>46320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18985-2025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45764</v>
      </c>
      <c r="E1357" s="1" t="n">
        <v>46320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8.1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43216-2024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45567</v>
      </c>
      <c r="E1358" s="1" t="n">
        <v>46320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22.4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18825-2024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45426</v>
      </c>
      <c r="E1359" s="1" t="n">
        <v>46320</v>
      </c>
      <c r="F1359" t="inlineStr">
        <is>
          <t>GÄVLEBORGS LÄN</t>
        </is>
      </c>
      <c r="G1359" t="inlineStr">
        <is>
          <t>HUDIKSVALL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18832-2024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45426</v>
      </c>
      <c r="E1360" s="1" t="n">
        <v>46320</v>
      </c>
      <c r="F1360" t="inlineStr">
        <is>
          <t>GÄVLEBORGS LÄN</t>
        </is>
      </c>
      <c r="G1360" t="inlineStr">
        <is>
          <t>HUDIKSVALL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56813-2022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44894</v>
      </c>
      <c r="E1361" s="1" t="n">
        <v>46320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Kommuner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59741-2022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44908</v>
      </c>
      <c r="E1362" s="1" t="n">
        <v>46320</v>
      </c>
      <c r="F1362" t="inlineStr">
        <is>
          <t>GÄVLEBORGS LÄN</t>
        </is>
      </c>
      <c r="G1362" t="inlineStr">
        <is>
          <t>HUDIKSVALL</t>
        </is>
      </c>
      <c r="I1362" t="n">
        <v>7.3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39440-2024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45551</v>
      </c>
      <c r="E1363" s="1" t="n">
        <v>46320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3.5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59742-2022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44908</v>
      </c>
      <c r="E1364" s="1" t="n">
        <v>46320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8595-2023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44977</v>
      </c>
      <c r="E1365" s="1" t="n">
        <v>46320</v>
      </c>
      <c r="F1365" t="inlineStr">
        <is>
          <t>GÄVLEBORGS LÄN</t>
        </is>
      </c>
      <c r="G1365" t="inlineStr">
        <is>
          <t>HUDIKSVALL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57967-2022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44900</v>
      </c>
      <c r="E1366" s="1" t="n">
        <v>46320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30122-2023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45110</v>
      </c>
      <c r="E1367" s="1" t="n">
        <v>46320</v>
      </c>
      <c r="F1367" t="inlineStr">
        <is>
          <t>GÄVLEBORGS LÄN</t>
        </is>
      </c>
      <c r="G1367" t="inlineStr">
        <is>
          <t>HUDIKSVALL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59798-2022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44908</v>
      </c>
      <c r="E1368" s="1" t="n">
        <v>46320</v>
      </c>
      <c r="F1368" t="inlineStr">
        <is>
          <t>GÄVLEBORGS LÄN</t>
        </is>
      </c>
      <c r="G1368" t="inlineStr">
        <is>
          <t>HUDIKSVALL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57716-2022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44897</v>
      </c>
      <c r="E1369" s="1" t="n">
        <v>46320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24201-2023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45079</v>
      </c>
      <c r="E1370" s="1" t="n">
        <v>46320</v>
      </c>
      <c r="F1370" t="inlineStr">
        <is>
          <t>GÄVLEBORGS LÄN</t>
        </is>
      </c>
      <c r="G1370" t="inlineStr">
        <is>
          <t>HUDIKSVALL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54625-2023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45234</v>
      </c>
      <c r="E1371" s="1" t="n">
        <v>46320</v>
      </c>
      <c r="F1371" t="inlineStr">
        <is>
          <t>GÄVLEBORGS LÄN</t>
        </is>
      </c>
      <c r="G1371" t="inlineStr">
        <is>
          <t>HUDIKSVALL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44168-2022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44839</v>
      </c>
      <c r="E1372" s="1" t="n">
        <v>46320</v>
      </c>
      <c r="F1372" t="inlineStr">
        <is>
          <t>GÄVLEBORGS LÄN</t>
        </is>
      </c>
      <c r="G1372" t="inlineStr">
        <is>
          <t>HUDIKSVALL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59856-2022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44908</v>
      </c>
      <c r="E1373" s="1" t="n">
        <v>46320</v>
      </c>
      <c r="F1373" t="inlineStr">
        <is>
          <t>GÄVLEBORGS LÄN</t>
        </is>
      </c>
      <c r="G1373" t="inlineStr">
        <is>
          <t>HUDIKSVALL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47995-2024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45589</v>
      </c>
      <c r="E1374" s="1" t="n">
        <v>46320</v>
      </c>
      <c r="F1374" t="inlineStr">
        <is>
          <t>GÄVLEBORGS LÄN</t>
        </is>
      </c>
      <c r="G1374" t="inlineStr">
        <is>
          <t>HUDIKSVALL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23928-2023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45078</v>
      </c>
      <c r="E1375" s="1" t="n">
        <v>46320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5.7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61207-2022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44915</v>
      </c>
      <c r="E1376" s="1" t="n">
        <v>46320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4.2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28174-2023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45099</v>
      </c>
      <c r="E1377" s="1" t="n">
        <v>46320</v>
      </c>
      <c r="F1377" t="inlineStr">
        <is>
          <t>GÄVLEBORGS LÄN</t>
        </is>
      </c>
      <c r="G1377" t="inlineStr">
        <is>
          <t>HUDIKSVALL</t>
        </is>
      </c>
      <c r="I1377" t="n">
        <v>3.3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59064-2022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44904</v>
      </c>
      <c r="E1378" s="1" t="n">
        <v>46320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Kyrkan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30697-2024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45496</v>
      </c>
      <c r="E1379" s="1" t="n">
        <v>46320</v>
      </c>
      <c r="F1379" t="inlineStr">
        <is>
          <t>GÄVLEBORGS LÄN</t>
        </is>
      </c>
      <c r="G1379" t="inlineStr">
        <is>
          <t>HUDIKSVALL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36407-2024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45535</v>
      </c>
      <c r="E1380" s="1" t="n">
        <v>46320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7.7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19600-2024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45431</v>
      </c>
      <c r="E1381" s="1" t="n">
        <v>46320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36405-2024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45535</v>
      </c>
      <c r="E1382" s="1" t="n">
        <v>46320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16.8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20612-2024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45436</v>
      </c>
      <c r="E1383" s="1" t="n">
        <v>46320</v>
      </c>
      <c r="F1383" t="inlineStr">
        <is>
          <t>GÄVLEBORGS LÄN</t>
        </is>
      </c>
      <c r="G1383" t="inlineStr">
        <is>
          <t>HUDIKSVALL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17764-2025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45758</v>
      </c>
      <c r="E1384" s="1" t="n">
        <v>46320</v>
      </c>
      <c r="F1384" t="inlineStr">
        <is>
          <t>GÄVLEBORGS LÄN</t>
        </is>
      </c>
      <c r="G1384" t="inlineStr">
        <is>
          <t>HUDIKSVALL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2215-2023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44942</v>
      </c>
      <c r="E1385" s="1" t="n">
        <v>46320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41249-2024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45559</v>
      </c>
      <c r="E1386" s="1" t="n">
        <v>46320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16.3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41258-2024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45559</v>
      </c>
      <c r="E1387" s="1" t="n">
        <v>46320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8.4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11082-2023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44992</v>
      </c>
      <c r="E1388" s="1" t="n">
        <v>46320</v>
      </c>
      <c r="F1388" t="inlineStr">
        <is>
          <t>GÄVLEBORGS LÄN</t>
        </is>
      </c>
      <c r="G1388" t="inlineStr">
        <is>
          <t>HUDIKSVALL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16073-2023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45027</v>
      </c>
      <c r="E1389" s="1" t="n">
        <v>46320</v>
      </c>
      <c r="F1389" t="inlineStr">
        <is>
          <t>GÄVLEBORGS LÄN</t>
        </is>
      </c>
      <c r="G1389" t="inlineStr">
        <is>
          <t>HUDIKSVALL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38295-2024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45545</v>
      </c>
      <c r="E1390" s="1" t="n">
        <v>46320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30562-2023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45111</v>
      </c>
      <c r="E1391" s="1" t="n">
        <v>46320</v>
      </c>
      <c r="F1391" t="inlineStr">
        <is>
          <t>GÄVLEBORGS LÄN</t>
        </is>
      </c>
      <c r="G1391" t="inlineStr">
        <is>
          <t>HUDIKSVALL</t>
        </is>
      </c>
      <c r="I1391" t="n">
        <v>11.5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5230-2024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45330</v>
      </c>
      <c r="E1392" s="1" t="n">
        <v>46320</v>
      </c>
      <c r="F1392" t="inlineStr">
        <is>
          <t>GÄVLEBORGS LÄN</t>
        </is>
      </c>
      <c r="G1392" t="inlineStr">
        <is>
          <t>HUDIKSVALL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45663</v>
      </c>
      <c r="E1393" s="1" t="n">
        <v>46320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44070-2023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45188</v>
      </c>
      <c r="E1394" s="1" t="n">
        <v>46320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35590-2023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45147</v>
      </c>
      <c r="E1395" s="1" t="n">
        <v>46320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8434-2024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45353</v>
      </c>
      <c r="E1396" s="1" t="n">
        <v>46320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10.1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16594-2024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45408</v>
      </c>
      <c r="E1397" s="1" t="n">
        <v>46320</v>
      </c>
      <c r="F1397" t="inlineStr">
        <is>
          <t>GÄVLEBORGS LÄN</t>
        </is>
      </c>
      <c r="G1397" t="inlineStr">
        <is>
          <t>HUDIKSVALL</t>
        </is>
      </c>
      <c r="I1397" t="n">
        <v>11.8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60190-2023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45258</v>
      </c>
      <c r="E1398" s="1" t="n">
        <v>46320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60192-2023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45258</v>
      </c>
      <c r="E1399" s="1" t="n">
        <v>46320</v>
      </c>
      <c r="F1399" t="inlineStr">
        <is>
          <t>GÄVLEBORGS LÄN</t>
        </is>
      </c>
      <c r="G1399" t="inlineStr">
        <is>
          <t>HUDIKSVALL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57949-2023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45244</v>
      </c>
      <c r="E1400" s="1" t="n">
        <v>46320</v>
      </c>
      <c r="F1400" t="inlineStr">
        <is>
          <t>GÄVLEBORGS LÄN</t>
        </is>
      </c>
      <c r="G1400" t="inlineStr">
        <is>
          <t>HUDIKSVALL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58423-2022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44901</v>
      </c>
      <c r="E1401" s="1" t="n">
        <v>46320</v>
      </c>
      <c r="F1401" t="inlineStr">
        <is>
          <t>GÄVLEBORGS LÄN</t>
        </is>
      </c>
      <c r="G1401" t="inlineStr">
        <is>
          <t>HUDIKSVALL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45309</v>
      </c>
      <c r="E1402" s="1" t="n">
        <v>46320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61938-2022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44918</v>
      </c>
      <c r="E1403" s="1" t="n">
        <v>46320</v>
      </c>
      <c r="F1403" t="inlineStr">
        <is>
          <t>GÄVLEBORGS LÄN</t>
        </is>
      </c>
      <c r="G1403" t="inlineStr">
        <is>
          <t>HUDIKSVALL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18538-2024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45425</v>
      </c>
      <c r="E1404" s="1" t="n">
        <v>46320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26456-2023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45092</v>
      </c>
      <c r="E1405" s="1" t="n">
        <v>46320</v>
      </c>
      <c r="F1405" t="inlineStr">
        <is>
          <t>GÄVLEBORGS LÄN</t>
        </is>
      </c>
      <c r="G1405" t="inlineStr">
        <is>
          <t>HUDIKSVALL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38667-2023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45162</v>
      </c>
      <c r="E1406" s="1" t="n">
        <v>46320</v>
      </c>
      <c r="F1406" t="inlineStr">
        <is>
          <t>GÄVLEBORGS LÄN</t>
        </is>
      </c>
      <c r="G1406" t="inlineStr">
        <is>
          <t>HUDIKSVALL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60847-2022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44914</v>
      </c>
      <c r="E1407" s="1" t="n">
        <v>46320</v>
      </c>
      <c r="F1407" t="inlineStr">
        <is>
          <t>GÄVLEBORGS LÄN</t>
        </is>
      </c>
      <c r="G1407" t="inlineStr">
        <is>
          <t>HUDIKSVALL</t>
        </is>
      </c>
      <c r="I1407" t="n">
        <v>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45181-2024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45575</v>
      </c>
      <c r="E1408" s="1" t="n">
        <v>46320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8.300000000000001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38701-2024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45547</v>
      </c>
      <c r="E1409" s="1" t="n">
        <v>46320</v>
      </c>
      <c r="F1409" t="inlineStr">
        <is>
          <t>GÄVLEBORGS LÄN</t>
        </is>
      </c>
      <c r="G1409" t="inlineStr">
        <is>
          <t>HUDIKSVALL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2127-2024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45309</v>
      </c>
      <c r="E1410" s="1" t="n">
        <v>46320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3.1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27956-2024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45476</v>
      </c>
      <c r="E1411" s="1" t="n">
        <v>46320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11101-2024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45371</v>
      </c>
      <c r="E1412" s="1" t="n">
        <v>46320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9.800000000000001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53721-2024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45615</v>
      </c>
      <c r="E1413" s="1" t="n">
        <v>46320</v>
      </c>
      <c r="F1413" t="inlineStr">
        <is>
          <t>GÄVLEBORGS LÄN</t>
        </is>
      </c>
      <c r="G1413" t="inlineStr">
        <is>
          <t>HUDIKSVALL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2652-2024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45314</v>
      </c>
      <c r="E1414" s="1" t="n">
        <v>46320</v>
      </c>
      <c r="F1414" t="inlineStr">
        <is>
          <t>GÄVLEBORGS LÄN</t>
        </is>
      </c>
      <c r="G1414" t="inlineStr">
        <is>
          <t>HUDIKSVALL</t>
        </is>
      </c>
      <c r="I1414" t="n">
        <v>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2685-2024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45314</v>
      </c>
      <c r="E1415" s="1" t="n">
        <v>46320</v>
      </c>
      <c r="F1415" t="inlineStr">
        <is>
          <t>GÄVLEBORGS LÄN</t>
        </is>
      </c>
      <c r="G1415" t="inlineStr">
        <is>
          <t>HUDIKSVALL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3162-2023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44946</v>
      </c>
      <c r="E1416" s="1" t="n">
        <v>46320</v>
      </c>
      <c r="F1416" t="inlineStr">
        <is>
          <t>GÄVLEBORGS LÄN</t>
        </is>
      </c>
      <c r="G1416" t="inlineStr">
        <is>
          <t>HUDIKSVALL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22977-2024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45449</v>
      </c>
      <c r="E1417" s="1" t="n">
        <v>46320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50790-2024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45602</v>
      </c>
      <c r="E1418" s="1" t="n">
        <v>46320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35061-2024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45527</v>
      </c>
      <c r="E1419" s="1" t="n">
        <v>46320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42657-2024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45566</v>
      </c>
      <c r="E1420" s="1" t="n">
        <v>46320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45664</v>
      </c>
      <c r="E1421" s="1" t="n">
        <v>46320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48649-2024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45593</v>
      </c>
      <c r="E1422" s="1" t="n">
        <v>46320</v>
      </c>
      <c r="F1422" t="inlineStr">
        <is>
          <t>GÄVLEBORGS LÄN</t>
        </is>
      </c>
      <c r="G1422" t="inlineStr">
        <is>
          <t>HUDIKSVALL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70264-2021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44536</v>
      </c>
      <c r="E1423" s="1" t="n">
        <v>46320</v>
      </c>
      <c r="F1423" t="inlineStr">
        <is>
          <t>GÄVLEBORGS LÄN</t>
        </is>
      </c>
      <c r="G1423" t="inlineStr">
        <is>
          <t>HUDIKSVALL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66418-2021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44518</v>
      </c>
      <c r="E1424" s="1" t="n">
        <v>46320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72083-2021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44544</v>
      </c>
      <c r="E1425" s="1" t="n">
        <v>46320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13670-2024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45390</v>
      </c>
      <c r="E1426" s="1" t="n">
        <v>46320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4565-2024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45327</v>
      </c>
      <c r="E1427" s="1" t="n">
        <v>46320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34.7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39858-2023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45168</v>
      </c>
      <c r="E1428" s="1" t="n">
        <v>46320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35164-2023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45145</v>
      </c>
      <c r="E1429" s="1" t="n">
        <v>46320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8.800000000000001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30398-2023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45111</v>
      </c>
      <c r="E1430" s="1" t="n">
        <v>46320</v>
      </c>
      <c r="F1430" t="inlineStr">
        <is>
          <t>GÄVLEBORGS LÄN</t>
        </is>
      </c>
      <c r="G1430" t="inlineStr">
        <is>
          <t>HUDIKSVALL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18568-2023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45043</v>
      </c>
      <c r="E1431" s="1" t="n">
        <v>46320</v>
      </c>
      <c r="F1431" t="inlineStr">
        <is>
          <t>GÄVLEBORGS LÄN</t>
        </is>
      </c>
      <c r="G1431" t="inlineStr">
        <is>
          <t>HUDIKSVALL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8486-2024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45355</v>
      </c>
      <c r="E1432" s="1" t="n">
        <v>46320</v>
      </c>
      <c r="F1432" t="inlineStr">
        <is>
          <t>GÄVLEBORGS LÄN</t>
        </is>
      </c>
      <c r="G1432" t="inlineStr">
        <is>
          <t>HUDIKSVALL</t>
        </is>
      </c>
      <c r="I1432" t="n">
        <v>4.7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46828-2024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45583</v>
      </c>
      <c r="E1433" s="1" t="n">
        <v>46320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19.1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14796-2023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45014</v>
      </c>
      <c r="E1434" s="1" t="n">
        <v>46320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64344-2021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44511</v>
      </c>
      <c r="E1435" s="1" t="n">
        <v>46320</v>
      </c>
      <c r="F1435" t="inlineStr">
        <is>
          <t>GÄVLEBORGS LÄN</t>
        </is>
      </c>
      <c r="G1435" t="inlineStr">
        <is>
          <t>HUDIKSVALL</t>
        </is>
      </c>
      <c r="I1435" t="n">
        <v>5.2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34873-2024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45527</v>
      </c>
      <c r="E1436" s="1" t="n">
        <v>46320</v>
      </c>
      <c r="F1436" t="inlineStr">
        <is>
          <t>GÄVLEBORGS LÄN</t>
        </is>
      </c>
      <c r="G1436" t="inlineStr">
        <is>
          <t>HUDIKSVALL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20383-2025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45775</v>
      </c>
      <c r="E1437" s="1" t="n">
        <v>46320</v>
      </c>
      <c r="F1437" t="inlineStr">
        <is>
          <t>GÄVLEBORGS LÄN</t>
        </is>
      </c>
      <c r="G1437" t="inlineStr">
        <is>
          <t>HUDIKSVALL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50242-2024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45600</v>
      </c>
      <c r="E1438" s="1" t="n">
        <v>46320</v>
      </c>
      <c r="F1438" t="inlineStr">
        <is>
          <t>GÄVLEBORGS LÄN</t>
        </is>
      </c>
      <c r="G1438" t="inlineStr">
        <is>
          <t>HUDIKSVALL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31691-2024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45507</v>
      </c>
      <c r="E1439" s="1" t="n">
        <v>46320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44182-2023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45188</v>
      </c>
      <c r="E1440" s="1" t="n">
        <v>46320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14.6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27955-2024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45476</v>
      </c>
      <c r="E1441" s="1" t="n">
        <v>46320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45318-2023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45191</v>
      </c>
      <c r="E1442" s="1" t="n">
        <v>46320</v>
      </c>
      <c r="F1442" t="inlineStr">
        <is>
          <t>GÄVLEBORGS LÄN</t>
        </is>
      </c>
      <c r="G1442" t="inlineStr">
        <is>
          <t>HUDIKSVALL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69851-2021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44532</v>
      </c>
      <c r="E1443" s="1" t="n">
        <v>46320</v>
      </c>
      <c r="F1443" t="inlineStr">
        <is>
          <t>GÄVLEBORGS LÄN</t>
        </is>
      </c>
      <c r="G1443" t="inlineStr">
        <is>
          <t>HUDIKSVALL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51424-2024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45604</v>
      </c>
      <c r="E1444" s="1" t="n">
        <v>46320</v>
      </c>
      <c r="F1444" t="inlineStr">
        <is>
          <t>GÄVLEBORGS LÄN</t>
        </is>
      </c>
      <c r="G1444" t="inlineStr">
        <is>
          <t>HUDIKSVALL</t>
        </is>
      </c>
      <c r="I1444" t="n">
        <v>8.800000000000001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42629-2024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45565</v>
      </c>
      <c r="E1445" s="1" t="n">
        <v>46320</v>
      </c>
      <c r="F1445" t="inlineStr">
        <is>
          <t>GÄVLEBORGS LÄN</t>
        </is>
      </c>
      <c r="G1445" t="inlineStr">
        <is>
          <t>HUDIKSVALL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67049-2021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44522</v>
      </c>
      <c r="E1446" s="1" t="n">
        <v>46320</v>
      </c>
      <c r="F1446" t="inlineStr">
        <is>
          <t>GÄVLEBORGS LÄN</t>
        </is>
      </c>
      <c r="G1446" t="inlineStr">
        <is>
          <t>HUDIKSVALL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74009-2021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44557</v>
      </c>
      <c r="E1447" s="1" t="n">
        <v>46320</v>
      </c>
      <c r="F1447" t="inlineStr">
        <is>
          <t>GÄVLEBORGS LÄN</t>
        </is>
      </c>
      <c r="G1447" t="inlineStr">
        <is>
          <t>HUDIKSVALL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22945-2023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45072</v>
      </c>
      <c r="E1448" s="1" t="n">
        <v>46320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40321-2024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45554</v>
      </c>
      <c r="E1449" s="1" t="n">
        <v>46320</v>
      </c>
      <c r="F1449" t="inlineStr">
        <is>
          <t>GÄVLEBORGS LÄN</t>
        </is>
      </c>
      <c r="G1449" t="inlineStr">
        <is>
          <t>HUDIKSVALL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58005-2024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45631</v>
      </c>
      <c r="E1450" s="1" t="n">
        <v>46320</v>
      </c>
      <c r="F1450" t="inlineStr">
        <is>
          <t>GÄVLEBORGS LÄN</t>
        </is>
      </c>
      <c r="G1450" t="inlineStr">
        <is>
          <t>HUDIKSVALL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37689-2024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45541</v>
      </c>
      <c r="E1451" s="1" t="n">
        <v>46320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Kommuner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19942-2025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46320</v>
      </c>
      <c r="F1452" t="inlineStr">
        <is>
          <t>GÄVLEBORGS LÄN</t>
        </is>
      </c>
      <c r="G1452" t="inlineStr">
        <is>
          <t>HUDIKSVALL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60904-2024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45645</v>
      </c>
      <c r="E1453" s="1" t="n">
        <v>46320</v>
      </c>
      <c r="F1453" t="inlineStr">
        <is>
          <t>GÄVLEBORGS LÄN</t>
        </is>
      </c>
      <c r="G1453" t="inlineStr">
        <is>
          <t>HUDIKSVALL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8096-2024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45351</v>
      </c>
      <c r="E1454" s="1" t="n">
        <v>46320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28810-2023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45104</v>
      </c>
      <c r="E1455" s="1" t="n">
        <v>46320</v>
      </c>
      <c r="F1455" t="inlineStr">
        <is>
          <t>GÄVLEBORGS LÄN</t>
        </is>
      </c>
      <c r="G1455" t="inlineStr">
        <is>
          <t>HUDIKSVALL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23924-2023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45078</v>
      </c>
      <c r="E1456" s="1" t="n">
        <v>46320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4.6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8269-2022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44610</v>
      </c>
      <c r="E1457" s="1" t="n">
        <v>46320</v>
      </c>
      <c r="F1457" t="inlineStr">
        <is>
          <t>GÄVLEBORGS LÄN</t>
        </is>
      </c>
      <c r="G1457" t="inlineStr">
        <is>
          <t>HUDIKSVALL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11629-2024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45373</v>
      </c>
      <c r="E1458" s="1" t="n">
        <v>46320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1468-2025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45670</v>
      </c>
      <c r="E1459" s="1" t="n">
        <v>46320</v>
      </c>
      <c r="F1459" t="inlineStr">
        <is>
          <t>GÄVLEBORGS LÄN</t>
        </is>
      </c>
      <c r="G1459" t="inlineStr">
        <is>
          <t>HUDIKSVALL</t>
        </is>
      </c>
      <c r="I1459" t="n">
        <v>11.8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19014-2024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45427</v>
      </c>
      <c r="E1460" s="1" t="n">
        <v>46320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17.7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40965-2023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45173</v>
      </c>
      <c r="E1461" s="1" t="n">
        <v>46320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5905-2025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45695</v>
      </c>
      <c r="E1462" s="1" t="n">
        <v>46320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7.6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2720-2025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45677</v>
      </c>
      <c r="E1463" s="1" t="n">
        <v>46320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11475-2024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45372</v>
      </c>
      <c r="E1464" s="1" t="n">
        <v>46320</v>
      </c>
      <c r="F1464" t="inlineStr">
        <is>
          <t>GÄVLEBORGS LÄN</t>
        </is>
      </c>
      <c r="G1464" t="inlineStr">
        <is>
          <t>HUDIKSVALL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13759-2022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44649</v>
      </c>
      <c r="E1465" s="1" t="n">
        <v>46320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9918-2025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45717</v>
      </c>
      <c r="E1466" s="1" t="n">
        <v>46320</v>
      </c>
      <c r="F1466" t="inlineStr">
        <is>
          <t>GÄVLEBORGS LÄN</t>
        </is>
      </c>
      <c r="G1466" t="inlineStr">
        <is>
          <t>HUDIKSVALL</t>
        </is>
      </c>
      <c r="I1466" t="n">
        <v>2.4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59823-2024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46320</v>
      </c>
      <c r="F1467" t="inlineStr">
        <is>
          <t>GÄVLEBORGS LÄN</t>
        </is>
      </c>
      <c r="G1467" t="inlineStr">
        <is>
          <t>HUDIKSVALL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56858-2024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45628</v>
      </c>
      <c r="E1468" s="1" t="n">
        <v>46320</v>
      </c>
      <c r="F1468" t="inlineStr">
        <is>
          <t>GÄVLEBORGS LÄN</t>
        </is>
      </c>
      <c r="G1468" t="inlineStr">
        <is>
          <t>HUDIKSVALL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54225-2023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45232</v>
      </c>
      <c r="E1469" s="1" t="n">
        <v>46320</v>
      </c>
      <c r="F1469" t="inlineStr">
        <is>
          <t>GÄVLEBORGS LÄN</t>
        </is>
      </c>
      <c r="G1469" t="inlineStr">
        <is>
          <t>HUDIKSVALL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10843-2022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44627</v>
      </c>
      <c r="E1470" s="1" t="n">
        <v>46320</v>
      </c>
      <c r="F1470" t="inlineStr">
        <is>
          <t>GÄVLEBORGS LÄN</t>
        </is>
      </c>
      <c r="G1470" t="inlineStr">
        <is>
          <t>HUDIKSVALL</t>
        </is>
      </c>
      <c r="I1470" t="n">
        <v>15.4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41535-2024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45560</v>
      </c>
      <c r="E1471" s="1" t="n">
        <v>46320</v>
      </c>
      <c r="F1471" t="inlineStr">
        <is>
          <t>GÄVLEBORGS LÄN</t>
        </is>
      </c>
      <c r="G1471" t="inlineStr">
        <is>
          <t>HUDIKSVALL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22892-2023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45072</v>
      </c>
      <c r="E1472" s="1" t="n">
        <v>46320</v>
      </c>
      <c r="F1472" t="inlineStr">
        <is>
          <t>GÄVLEBORGS LÄN</t>
        </is>
      </c>
      <c r="G1472" t="inlineStr">
        <is>
          <t>HUDIKSVALL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18828-2024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45426</v>
      </c>
      <c r="E1473" s="1" t="n">
        <v>46320</v>
      </c>
      <c r="F1473" t="inlineStr">
        <is>
          <t>GÄVLEBORGS LÄN</t>
        </is>
      </c>
      <c r="G1473" t="inlineStr">
        <is>
          <t>HUDIKSVALL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9905-2024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45363</v>
      </c>
      <c r="E1474" s="1" t="n">
        <v>46320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16.5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2528-2025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45674</v>
      </c>
      <c r="E1475" s="1" t="n">
        <v>46320</v>
      </c>
      <c r="F1475" t="inlineStr">
        <is>
          <t>GÄVLEBORGS LÄN</t>
        </is>
      </c>
      <c r="G1475" t="inlineStr">
        <is>
          <t>HUDIKSVALL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2663-2025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45676</v>
      </c>
      <c r="E1476" s="1" t="n">
        <v>46320</v>
      </c>
      <c r="F1476" t="inlineStr">
        <is>
          <t>GÄVLEBORGS LÄN</t>
        </is>
      </c>
      <c r="G1476" t="inlineStr">
        <is>
          <t>HUDIKSVALL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34757-2023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45141</v>
      </c>
      <c r="E1477" s="1" t="n">
        <v>46320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19601-2024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45431</v>
      </c>
      <c r="E1478" s="1" t="n">
        <v>46320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15486-2024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45401</v>
      </c>
      <c r="E1479" s="1" t="n">
        <v>46320</v>
      </c>
      <c r="F1479" t="inlineStr">
        <is>
          <t>GÄVLEBORGS LÄN</t>
        </is>
      </c>
      <c r="G1479" t="inlineStr">
        <is>
          <t>HUDIKSVALL</t>
        </is>
      </c>
      <c r="I1479" t="n">
        <v>2.8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27204-2023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45096</v>
      </c>
      <c r="E1480" s="1" t="n">
        <v>46320</v>
      </c>
      <c r="F1480" t="inlineStr">
        <is>
          <t>GÄVLEBORGS LÄN</t>
        </is>
      </c>
      <c r="G1480" t="inlineStr">
        <is>
          <t>HUDIKSVALL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20017-2022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44697</v>
      </c>
      <c r="E1481" s="1" t="n">
        <v>46320</v>
      </c>
      <c r="F1481" t="inlineStr">
        <is>
          <t>GÄVLEBORGS LÄN</t>
        </is>
      </c>
      <c r="G1481" t="inlineStr">
        <is>
          <t>HUDIKSVALL</t>
        </is>
      </c>
      <c r="I1481" t="n">
        <v>5.5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6730-2025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45700</v>
      </c>
      <c r="E1482" s="1" t="n">
        <v>46320</v>
      </c>
      <c r="F1482" t="inlineStr">
        <is>
          <t>GÄVLEBORGS LÄN</t>
        </is>
      </c>
      <c r="G1482" t="inlineStr">
        <is>
          <t>HUDIKSVALL</t>
        </is>
      </c>
      <c r="I1482" t="n">
        <v>25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35737-2023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45147</v>
      </c>
      <c r="E1483" s="1" t="n">
        <v>46320</v>
      </c>
      <c r="F1483" t="inlineStr">
        <is>
          <t>GÄVLEBORGS LÄN</t>
        </is>
      </c>
      <c r="G1483" t="inlineStr">
        <is>
          <t>HUDIKSVALL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6990-2025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45701</v>
      </c>
      <c r="E1484" s="1" t="n">
        <v>46320</v>
      </c>
      <c r="F1484" t="inlineStr">
        <is>
          <t>GÄVLEBORGS LÄN</t>
        </is>
      </c>
      <c r="G1484" t="inlineStr">
        <is>
          <t>HUDIKSVALL</t>
        </is>
      </c>
      <c r="I1484" t="n">
        <v>7.2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21525-2022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44706</v>
      </c>
      <c r="E1485" s="1" t="n">
        <v>46320</v>
      </c>
      <c r="F1485" t="inlineStr">
        <is>
          <t>GÄVLEBORGS LÄN</t>
        </is>
      </c>
      <c r="G1485" t="inlineStr">
        <is>
          <t>HUDIKSVALL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57871-2023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45247</v>
      </c>
      <c r="E1486" s="1" t="n">
        <v>46320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5892-2025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45695</v>
      </c>
      <c r="E1487" s="1" t="n">
        <v>46320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24890-2023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45085</v>
      </c>
      <c r="E1488" s="1" t="n">
        <v>46320</v>
      </c>
      <c r="F1488" t="inlineStr">
        <is>
          <t>GÄVLEBORGS LÄN</t>
        </is>
      </c>
      <c r="G1488" t="inlineStr">
        <is>
          <t>HUDIKSVALL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36125-2023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45149</v>
      </c>
      <c r="E1489" s="1" t="n">
        <v>46320</v>
      </c>
      <c r="F1489" t="inlineStr">
        <is>
          <t>GÄVLEBORGS LÄN</t>
        </is>
      </c>
      <c r="G1489" t="inlineStr">
        <is>
          <t>HUDIKSVALL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47415-2023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45202</v>
      </c>
      <c r="E1490" s="1" t="n">
        <v>46320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4428-2025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45686</v>
      </c>
      <c r="E1491" s="1" t="n">
        <v>46320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39669-2022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44818</v>
      </c>
      <c r="E1492" s="1" t="n">
        <v>46320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58088-2022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44900</v>
      </c>
      <c r="E1493" s="1" t="n">
        <v>46320</v>
      </c>
      <c r="F1493" t="inlineStr">
        <is>
          <t>GÄVLEBORGS LÄN</t>
        </is>
      </c>
      <c r="G1493" t="inlineStr">
        <is>
          <t>HUDIKSVALL</t>
        </is>
      </c>
      <c r="I1493" t="n">
        <v>7.5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22165-2022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44712</v>
      </c>
      <c r="E1494" s="1" t="n">
        <v>46320</v>
      </c>
      <c r="F1494" t="inlineStr">
        <is>
          <t>GÄVLEBORGS LÄN</t>
        </is>
      </c>
      <c r="G1494" t="inlineStr">
        <is>
          <t>HUDIKSVALL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43659-2023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45187</v>
      </c>
      <c r="E1495" s="1" t="n">
        <v>46320</v>
      </c>
      <c r="F1495" t="inlineStr">
        <is>
          <t>GÄVLEBORGS LÄN</t>
        </is>
      </c>
      <c r="G1495" t="inlineStr">
        <is>
          <t>HUDIKSVALL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9477-2025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45715</v>
      </c>
      <c r="E1496" s="1" t="n">
        <v>46320</v>
      </c>
      <c r="F1496" t="inlineStr">
        <is>
          <t>GÄVLEBORGS LÄN</t>
        </is>
      </c>
      <c r="G1496" t="inlineStr">
        <is>
          <t>HUDIKSVALL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43930-2023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45187</v>
      </c>
      <c r="E1497" s="1" t="n">
        <v>46320</v>
      </c>
      <c r="F1497" t="inlineStr">
        <is>
          <t>GÄVLEBORGS LÄN</t>
        </is>
      </c>
      <c r="G1497" t="inlineStr">
        <is>
          <t>HUDIKSVALL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34370-2022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44792</v>
      </c>
      <c r="E1498" s="1" t="n">
        <v>46320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17345-2024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45414</v>
      </c>
      <c r="E1499" s="1" t="n">
        <v>46320</v>
      </c>
      <c r="F1499" t="inlineStr">
        <is>
          <t>GÄVLEBORGS LÄN</t>
        </is>
      </c>
      <c r="G1499" t="inlineStr">
        <is>
          <t>HUDIKSVALL</t>
        </is>
      </c>
      <c r="I1499" t="n">
        <v>3.2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43665-2023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45187</v>
      </c>
      <c r="E1500" s="1" t="n">
        <v>46320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6019-2025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45695</v>
      </c>
      <c r="E1501" s="1" t="n">
        <v>46320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60938-2023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45261</v>
      </c>
      <c r="E1502" s="1" t="n">
        <v>46320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53434-2023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45229</v>
      </c>
      <c r="E1503" s="1" t="n">
        <v>46320</v>
      </c>
      <c r="F1503" t="inlineStr">
        <is>
          <t>GÄVLEBORGS LÄN</t>
        </is>
      </c>
      <c r="G1503" t="inlineStr">
        <is>
          <t>HUDIKSVALL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16633-2024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45408</v>
      </c>
      <c r="E1504" s="1" t="n">
        <v>46320</v>
      </c>
      <c r="F1504" t="inlineStr">
        <is>
          <t>GÄVLEBORGS LÄN</t>
        </is>
      </c>
      <c r="G1504" t="inlineStr">
        <is>
          <t>HUDIKSVALL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25349-2022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44732</v>
      </c>
      <c r="E1505" s="1" t="n">
        <v>46320</v>
      </c>
      <c r="F1505" t="inlineStr">
        <is>
          <t>GÄVLEBORGS LÄN</t>
        </is>
      </c>
      <c r="G1505" t="inlineStr">
        <is>
          <t>HUDIKSVALL</t>
        </is>
      </c>
      <c r="I1505" t="n">
        <v>5.4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2760-2024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45314</v>
      </c>
      <c r="E1506" s="1" t="n">
        <v>46320</v>
      </c>
      <c r="F1506" t="inlineStr">
        <is>
          <t>GÄVLEBORGS LÄN</t>
        </is>
      </c>
      <c r="G1506" t="inlineStr">
        <is>
          <t>HUDIKSVALL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2707-2024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45314</v>
      </c>
      <c r="E1507" s="1" t="n">
        <v>46320</v>
      </c>
      <c r="F1507" t="inlineStr">
        <is>
          <t>GÄVLEBORGS LÄN</t>
        </is>
      </c>
      <c r="G1507" t="inlineStr">
        <is>
          <t>HUDIKSVALL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1297-2024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45303</v>
      </c>
      <c r="E1508" s="1" t="n">
        <v>46320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11093-2025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45723</v>
      </c>
      <c r="E1509" s="1" t="n">
        <v>46320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21561-2022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44706</v>
      </c>
      <c r="E1510" s="1" t="n">
        <v>46320</v>
      </c>
      <c r="F1510" t="inlineStr">
        <is>
          <t>GÄVLEBORGS LÄN</t>
        </is>
      </c>
      <c r="G1510" t="inlineStr">
        <is>
          <t>HUDIKSVALL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64015-2023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45278</v>
      </c>
      <c r="E1511" s="1" t="n">
        <v>46320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62439-2023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45268</v>
      </c>
      <c r="E1512" s="1" t="n">
        <v>46320</v>
      </c>
      <c r="F1512" t="inlineStr">
        <is>
          <t>GÄVLEBORGS LÄN</t>
        </is>
      </c>
      <c r="G1512" t="inlineStr">
        <is>
          <t>HUDIKSVALL</t>
        </is>
      </c>
      <c r="I1512" t="n">
        <v>13.3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19509-2025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45770</v>
      </c>
      <c r="E1513" s="1" t="n">
        <v>46320</v>
      </c>
      <c r="F1513" t="inlineStr">
        <is>
          <t>GÄVLEBORGS LÄN</t>
        </is>
      </c>
      <c r="G1513" t="inlineStr">
        <is>
          <t>HUDIKSVALL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2645-2024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45314</v>
      </c>
      <c r="E1514" s="1" t="n">
        <v>46320</v>
      </c>
      <c r="F1514" t="inlineStr">
        <is>
          <t>GÄVLEBORGS LÄN</t>
        </is>
      </c>
      <c r="G1514" t="inlineStr">
        <is>
          <t>HUDIKSVALL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2654-2024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45314</v>
      </c>
      <c r="E1515" s="1" t="n">
        <v>46320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11315-2025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45726</v>
      </c>
      <c r="E1516" s="1" t="n">
        <v>46320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9.6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4504-2024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45327</v>
      </c>
      <c r="E1517" s="1" t="n">
        <v>46320</v>
      </c>
      <c r="F1517" t="inlineStr">
        <is>
          <t>GÄVLEBORGS LÄN</t>
        </is>
      </c>
      <c r="G1517" t="inlineStr">
        <is>
          <t>HUDIKSVALL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59851-2023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45257</v>
      </c>
      <c r="E1518" s="1" t="n">
        <v>46320</v>
      </c>
      <c r="F1518" t="inlineStr">
        <is>
          <t>GÄVLEBORGS LÄN</t>
        </is>
      </c>
      <c r="G1518" t="inlineStr">
        <is>
          <t>HUDIKSVALL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55201-2023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45237</v>
      </c>
      <c r="E1519" s="1" t="n">
        <v>46320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47530-2023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45203</v>
      </c>
      <c r="E1520" s="1" t="n">
        <v>46320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37.8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60899-2023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45261</v>
      </c>
      <c r="E1521" s="1" t="n">
        <v>46320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60901-2023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45261</v>
      </c>
      <c r="E1522" s="1" t="n">
        <v>46320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67082-2021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44522</v>
      </c>
      <c r="E1523" s="1" t="n">
        <v>46320</v>
      </c>
      <c r="F1523" t="inlineStr">
        <is>
          <t>GÄVLEBORGS LÄN</t>
        </is>
      </c>
      <c r="G1523" t="inlineStr">
        <is>
          <t>HUDIKSVALL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34427-2022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44792</v>
      </c>
      <c r="E1524" s="1" t="n">
        <v>46320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35964-2024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46320</v>
      </c>
      <c r="F1525" t="inlineStr">
        <is>
          <t>GÄVLEBORGS LÄN</t>
        </is>
      </c>
      <c r="G1525" t="inlineStr">
        <is>
          <t>HUDIKSVALL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35985-2024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45533</v>
      </c>
      <c r="E1526" s="1" t="n">
        <v>46320</v>
      </c>
      <c r="F1526" t="inlineStr">
        <is>
          <t>GÄVLEBORGS LÄN</t>
        </is>
      </c>
      <c r="G1526" t="inlineStr">
        <is>
          <t>HUDIKSVALL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8522-2024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45355</v>
      </c>
      <c r="E1527" s="1" t="n">
        <v>46320</v>
      </c>
      <c r="F1527" t="inlineStr">
        <is>
          <t>GÄVLEBORGS LÄN</t>
        </is>
      </c>
      <c r="G1527" t="inlineStr">
        <is>
          <t>HUDIKSVALL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10108-2024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45364</v>
      </c>
      <c r="E1528" s="1" t="n">
        <v>46320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19156-2023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46320</v>
      </c>
      <c r="F1529" t="inlineStr">
        <is>
          <t>GÄVLEBORGS LÄN</t>
        </is>
      </c>
      <c r="G1529" t="inlineStr">
        <is>
          <t>HUDIKSVALL</t>
        </is>
      </c>
      <c r="I1529" t="n">
        <v>3.7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62628-2023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45271</v>
      </c>
      <c r="E1530" s="1" t="n">
        <v>46320</v>
      </c>
      <c r="F1530" t="inlineStr">
        <is>
          <t>GÄVLEBORGS LÄN</t>
        </is>
      </c>
      <c r="G1530" t="inlineStr">
        <is>
          <t>HUDIKSVALL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61234-2023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46320</v>
      </c>
      <c r="F1531" t="inlineStr">
        <is>
          <t>GÄVLEBORGS LÄN</t>
        </is>
      </c>
      <c r="G1531" t="inlineStr">
        <is>
          <t>HUDIKSVALL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70258-2021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44536</v>
      </c>
      <c r="E1532" s="1" t="n">
        <v>46320</v>
      </c>
      <c r="F1532" t="inlineStr">
        <is>
          <t>GÄVLEBORGS LÄN</t>
        </is>
      </c>
      <c r="G1532" t="inlineStr">
        <is>
          <t>HUDIKSVALL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32201-2022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44781</v>
      </c>
      <c r="E1533" s="1" t="n">
        <v>46320</v>
      </c>
      <c r="F1533" t="inlineStr">
        <is>
          <t>GÄVLEBORGS LÄN</t>
        </is>
      </c>
      <c r="G1533" t="inlineStr">
        <is>
          <t>HUDIKSVALL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63643-2023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45275</v>
      </c>
      <c r="E1534" s="1" t="n">
        <v>46320</v>
      </c>
      <c r="F1534" t="inlineStr">
        <is>
          <t>GÄVLEBORGS LÄN</t>
        </is>
      </c>
      <c r="G1534" t="inlineStr">
        <is>
          <t>HUDIKSVALL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35026-2024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45527</v>
      </c>
      <c r="E1535" s="1" t="n">
        <v>46320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14059-2025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45740</v>
      </c>
      <c r="E1536" s="1" t="n">
        <v>46320</v>
      </c>
      <c r="F1536" t="inlineStr">
        <is>
          <t>GÄVLEBORGS LÄN</t>
        </is>
      </c>
      <c r="G1536" t="inlineStr">
        <is>
          <t>HUDIKSVALL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33968-2024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45523</v>
      </c>
      <c r="E1537" s="1" t="n">
        <v>46320</v>
      </c>
      <c r="F1537" t="inlineStr">
        <is>
          <t>GÄVLEBORGS LÄN</t>
        </is>
      </c>
      <c r="G1537" t="inlineStr">
        <is>
          <t>HUDIKSVALL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58723-2022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44902</v>
      </c>
      <c r="E1538" s="1" t="n">
        <v>46320</v>
      </c>
      <c r="F1538" t="inlineStr">
        <is>
          <t>GÄVLEBORGS LÄN</t>
        </is>
      </c>
      <c r="G1538" t="inlineStr">
        <is>
          <t>HUDIKSVALL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10858-2025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45722</v>
      </c>
      <c r="E1539" s="1" t="n">
        <v>46320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35201-2024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45530</v>
      </c>
      <c r="E1540" s="1" t="n">
        <v>46320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63798-2021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44509</v>
      </c>
      <c r="E1541" s="1" t="n">
        <v>46320</v>
      </c>
      <c r="F1541" t="inlineStr">
        <is>
          <t>GÄVLEBORGS LÄN</t>
        </is>
      </c>
      <c r="G1541" t="inlineStr">
        <is>
          <t>HUDIKSVALL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18939-2025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45764</v>
      </c>
      <c r="E1542" s="1" t="n">
        <v>46320</v>
      </c>
      <c r="F1542" t="inlineStr">
        <is>
          <t>GÄVLEBORGS LÄN</t>
        </is>
      </c>
      <c r="G1542" t="inlineStr">
        <is>
          <t>HUDIKSVALL</t>
        </is>
      </c>
      <c r="I1542" t="n">
        <v>10.4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44687-2024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45574</v>
      </c>
      <c r="E1543" s="1" t="n">
        <v>46320</v>
      </c>
      <c r="F1543" t="inlineStr">
        <is>
          <t>GÄVLEBORGS LÄN</t>
        </is>
      </c>
      <c r="G1543" t="inlineStr">
        <is>
          <t>HUDIKSVALL</t>
        </is>
      </c>
      <c r="I1543" t="n">
        <v>17.3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24834-2024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45461</v>
      </c>
      <c r="E1544" s="1" t="n">
        <v>46320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3.4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36084-2024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45533</v>
      </c>
      <c r="E1545" s="1" t="n">
        <v>46320</v>
      </c>
      <c r="F1545" t="inlineStr">
        <is>
          <t>GÄVLEBORGS LÄN</t>
        </is>
      </c>
      <c r="G1545" t="inlineStr">
        <is>
          <t>HUDIKSVALL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18493-2024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45425</v>
      </c>
      <c r="E1546" s="1" t="n">
        <v>46320</v>
      </c>
      <c r="F1546" t="inlineStr">
        <is>
          <t>GÄVLEBORGS LÄN</t>
        </is>
      </c>
      <c r="G1546" t="inlineStr">
        <is>
          <t>HUDIKSVALL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50898-2023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45218</v>
      </c>
      <c r="E1547" s="1" t="n">
        <v>46320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6.5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60796-2023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45260</v>
      </c>
      <c r="E1548" s="1" t="n">
        <v>46320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60801-2023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45260</v>
      </c>
      <c r="E1549" s="1" t="n">
        <v>46320</v>
      </c>
      <c r="F1549" t="inlineStr">
        <is>
          <t>GÄVLEBORGS LÄN</t>
        </is>
      </c>
      <c r="G1549" t="inlineStr">
        <is>
          <t>HUDIKSVALL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15242-2023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45019</v>
      </c>
      <c r="E1550" s="1" t="n">
        <v>46320</v>
      </c>
      <c r="F1550" t="inlineStr">
        <is>
          <t>GÄVLEBORGS LÄN</t>
        </is>
      </c>
      <c r="G1550" t="inlineStr">
        <is>
          <t>HUDIKSVALL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32959-2024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45517</v>
      </c>
      <c r="E1551" s="1" t="n">
        <v>46320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55434-2022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44887</v>
      </c>
      <c r="E1552" s="1" t="n">
        <v>46320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40876-2022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44825</v>
      </c>
      <c r="E1553" s="1" t="n">
        <v>46320</v>
      </c>
      <c r="F1553" t="inlineStr">
        <is>
          <t>GÄVLEBORGS LÄN</t>
        </is>
      </c>
      <c r="G1553" t="inlineStr">
        <is>
          <t>HUDIKSVALL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15306-2023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45019</v>
      </c>
      <c r="E1554" s="1" t="n">
        <v>46320</v>
      </c>
      <c r="F1554" t="inlineStr">
        <is>
          <t>GÄVLEBORGS LÄN</t>
        </is>
      </c>
      <c r="G1554" t="inlineStr">
        <is>
          <t>HUDIKSVALL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62639-2023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45271</v>
      </c>
      <c r="E1555" s="1" t="n">
        <v>46320</v>
      </c>
      <c r="F1555" t="inlineStr">
        <is>
          <t>GÄVLEBORGS LÄN</t>
        </is>
      </c>
      <c r="G1555" t="inlineStr">
        <is>
          <t>HUDIKSVALL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2232-2022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44578</v>
      </c>
      <c r="E1556" s="1" t="n">
        <v>46320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8.699999999999999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63619-2023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45275</v>
      </c>
      <c r="E1557" s="1" t="n">
        <v>46320</v>
      </c>
      <c r="F1557" t="inlineStr">
        <is>
          <t>GÄVLEBORGS LÄN</t>
        </is>
      </c>
      <c r="G1557" t="inlineStr">
        <is>
          <t>HUDIKSVALL</t>
        </is>
      </c>
      <c r="I1557" t="n">
        <v>6.4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21805-2024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45442</v>
      </c>
      <c r="E1558" s="1" t="n">
        <v>46320</v>
      </c>
      <c r="F1558" t="inlineStr">
        <is>
          <t>GÄVLEBORGS LÄN</t>
        </is>
      </c>
      <c r="G1558" t="inlineStr">
        <is>
          <t>HUDIKSVALL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161-2025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46320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39.3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1025-2024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45387</v>
      </c>
      <c r="E1560" s="1" t="n">
        <v>46320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117.6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4009-2023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46320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4008-2023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46320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42.8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10198-2021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44543</v>
      </c>
      <c r="E1563" s="1" t="n">
        <v>46320</v>
      </c>
      <c r="F1563" t="inlineStr">
        <is>
          <t>GÄVLEBORGS LÄN</t>
        </is>
      </c>
      <c r="G1563" t="inlineStr">
        <is>
          <t>HUDIKSVALL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5089-2024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45639</v>
      </c>
      <c r="E1564" s="1" t="n">
        <v>46320</v>
      </c>
      <c r="F1564" t="inlineStr">
        <is>
          <t>GÄVLEBORGS LÄN</t>
        </is>
      </c>
      <c r="G1564" t="inlineStr">
        <is>
          <t>HUDIKSVALL</t>
        </is>
      </c>
      <c r="I1564" t="n">
        <v>17.2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125-2025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46320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29.4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126-2025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46320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4021-2023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45237</v>
      </c>
      <c r="E1567" s="1" t="n">
        <v>46320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29.1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  <c r="Z1567">
        <f>HYPERLINK("https://klasma.github.io/Logging_2184/knärot/S 4021-2023 karta knärot.png", "S 4021-2023")</f>
        <v/>
      </c>
      <c r="AA1567">
        <f>HYPERLINK("https://klasma.github.io/Logging_2184/klagomål/S 4021-2023 FSC-klagomål.docx", "S 4021-2023")</f>
        <v/>
      </c>
      <c r="AB1567">
        <f>HYPERLINK("https://klasma.github.io/Logging_2184/klagomålsmail/S 4021-2023 FSC-klagomål mail.docx", "S 4021-2023")</f>
        <v/>
      </c>
      <c r="AC1567">
        <f>HYPERLINK("https://klasma.github.io/Logging_2184/tillsyn/S 4021-2023 tillsynsbegäran.docx", "S 4021-2023")</f>
        <v/>
      </c>
      <c r="AD1567">
        <f>HYPERLINK("https://klasma.github.io/Logging_2184/tillsynsmail/S 4021-2023 tillsynsbegäran mail.docx", "S 4021-2023")</f>
        <v/>
      </c>
    </row>
    <row r="1568" ht="15" customHeight="1">
      <c r="A1568" t="inlineStr">
        <is>
          <t>S 130-2025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45670</v>
      </c>
      <c r="E1568" s="1" t="n">
        <v>46320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18.8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4013-2023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45237</v>
      </c>
      <c r="E1569" s="1" t="n">
        <v>46320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7.9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1023-2024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45387</v>
      </c>
      <c r="E1570" s="1" t="n">
        <v>46320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153.3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115-2025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46320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47.1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124-2025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46320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74.09999999999999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45670</v>
      </c>
      <c r="E1573" s="1" t="n">
        <v>46320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216.9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45670</v>
      </c>
      <c r="E1574" s="1" t="n">
        <v>46320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103.8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4017-2023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46320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99.90000000000001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109-2025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46320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24.9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4011-2023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45237</v>
      </c>
      <c r="E1577" s="1" t="n">
        <v>46320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97.90000000000001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123-2025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46320</v>
      </c>
      <c r="F1578" t="inlineStr">
        <is>
          <t>GÄVLEBORGS LÄN</t>
        </is>
      </c>
      <c r="G1578" t="inlineStr">
        <is>
          <t>HUDIKSVALL</t>
        </is>
      </c>
      <c r="I1578" t="n">
        <v>39.6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121-2025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45670</v>
      </c>
      <c r="E1579" s="1" t="n">
        <v>46320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30.5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373-2023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44959</v>
      </c>
      <c r="E1580" s="1" t="n">
        <v>46320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256.4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4016-2023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45237</v>
      </c>
      <c r="E1581" s="1" t="n">
        <v>46320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172.2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129-2025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45670</v>
      </c>
      <c r="E1582" s="1" t="n">
        <v>46320</v>
      </c>
      <c r="F1582" t="inlineStr">
        <is>
          <t>GÄVLEBORGS LÄN</t>
        </is>
      </c>
      <c r="G1582" t="inlineStr">
        <is>
          <t>HUDIKSVALL</t>
        </is>
      </c>
      <c r="H1582" t="inlineStr">
        <is>
          <t>Holmen skog AB</t>
        </is>
      </c>
      <c r="I1582" t="n">
        <v>97.3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110-2025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45670</v>
      </c>
      <c r="E1583" s="1" t="n">
        <v>46320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206.1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1310-2025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45770</v>
      </c>
      <c r="E1584" s="1" t="n">
        <v>46320</v>
      </c>
      <c r="F1584" t="inlineStr">
        <is>
          <t>GÄVLEBORGS LÄN</t>
        </is>
      </c>
      <c r="G1584" t="inlineStr">
        <is>
          <t>HUDIKSVALL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1899-2025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45825</v>
      </c>
      <c r="E1585" s="1" t="n">
        <v>46320</v>
      </c>
      <c r="F1585" t="inlineStr">
        <is>
          <t>GÄVLEBORGS LÄN</t>
        </is>
      </c>
      <c r="G1585" t="inlineStr">
        <is>
          <t>HUDIKSVALL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3428-2025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45995</v>
      </c>
      <c r="E1586" s="1" t="n">
        <v>46320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55.4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695-2026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46091</v>
      </c>
      <c r="E1587" s="1" t="n">
        <v>46320</v>
      </c>
      <c r="F1587" t="inlineStr">
        <is>
          <t>GÄVLEBORGS LÄN</t>
        </is>
      </c>
      <c r="G1587" t="inlineStr">
        <is>
          <t>HUDIKSVALL</t>
        </is>
      </c>
      <c r="I1587" t="n">
        <v>12.2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1968-2026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46210</v>
      </c>
      <c r="E1588" s="1" t="n">
        <v>46320</v>
      </c>
      <c r="F1588" t="inlineStr">
        <is>
          <t>GÄVLEBORGS LÄN</t>
        </is>
      </c>
      <c r="G1588" t="inlineStr">
        <is>
          <t>HUDIKSVALL</t>
        </is>
      </c>
      <c r="I1588" t="n">
        <v>0.2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1969-2026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46210</v>
      </c>
      <c r="E1589" s="1" t="n">
        <v>46320</v>
      </c>
      <c r="F1589" t="inlineStr">
        <is>
          <t>GÄVLEBORGS LÄN</t>
        </is>
      </c>
      <c r="G1589" t="inlineStr">
        <is>
          <t>HUDIKSVALL</t>
        </is>
      </c>
      <c r="I1589" t="n">
        <v>0.1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1971-2026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46210</v>
      </c>
      <c r="E1590" s="1" t="n">
        <v>46320</v>
      </c>
      <c r="F1590" t="inlineStr">
        <is>
          <t>GÄVLEBORGS LÄN</t>
        </is>
      </c>
      <c r="G1590" t="inlineStr">
        <is>
          <t>HUDIKSVALL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246-2026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46050</v>
      </c>
      <c r="E1591" s="1" t="n">
        <v>46320</v>
      </c>
      <c r="F1591" t="inlineStr">
        <is>
          <t>GÄVLEBORGS LÄN</t>
        </is>
      </c>
      <c r="G1591" t="inlineStr">
        <is>
          <t>HUDIKSVALL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>
      <c r="A1592" t="inlineStr">
        <is>
          <t>S 1533-2026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46164</v>
      </c>
      <c r="E1592" s="1" t="n">
        <v>46320</v>
      </c>
      <c r="F1592" t="inlineStr">
        <is>
          <t>GÄVLEBORGS LÄN</t>
        </is>
      </c>
      <c r="G1592" t="inlineStr">
        <is>
          <t>HUDIKSVALL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2026-10-25T02:02:37Z</dcterms:created>
  <dcterms:modified xmlns:dcterms="http://purl.org/dc/terms/" xmlns:xsi="http://www.w3.org/2001/XMLSchema-instance" xsi:type="dcterms:W3CDTF">2026-10-25T02:02:39Z</dcterms:modified>
</cp:coreProperties>
</file>