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45659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45659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45659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45659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45659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45659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45659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45659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45659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45659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45659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45659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45659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45659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45659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45659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45659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45659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45659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45659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45659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45659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45659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45659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45659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45659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45659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45659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45659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45659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45659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45659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45659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45659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45659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45659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45659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45659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45659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45659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45659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45659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45659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45659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45659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45659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45659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45659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45659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45659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45659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45659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45659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45659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45659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45659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45659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45659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45659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45659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45659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45659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45659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45659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45659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45659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45659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45659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45659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45659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45659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45659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45659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45659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45659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45659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45659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45659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45659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45659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45659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45659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45659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45659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45659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45659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45659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45659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45659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45659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45659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45659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58332-2024</t>
        </is>
      </c>
      <c r="B94" s="1" t="n">
        <v>45632</v>
      </c>
      <c r="C94" s="1" t="n">
        <v>45659</v>
      </c>
      <c r="D94" t="inlineStr">
        <is>
          <t>GÄVLEBORGS LÄN</t>
        </is>
      </c>
      <c r="E94" t="inlineStr">
        <is>
          <t>HUDIKSVALL</t>
        </is>
      </c>
      <c r="G94" t="n">
        <v>2.2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HYPERLINK("https://klasma.github.io/Logging_2184/artfynd/A 58332-2024 artfynd.xlsx", "A 58332-2024")</f>
        <v/>
      </c>
      <c r="T94">
        <f>HYPERLINK("https://klasma.github.io/Logging_2184/kartor/A 58332-2024 karta.png", "A 58332-2024")</f>
        <v/>
      </c>
      <c r="V94">
        <f>HYPERLINK("https://klasma.github.io/Logging_2184/klagomål/A 58332-2024 FSC-klagomål.docx", "A 58332-2024")</f>
        <v/>
      </c>
      <c r="W94">
        <f>HYPERLINK("https://klasma.github.io/Logging_2184/klagomålsmail/A 58332-2024 FSC-klagomål mail.docx", "A 58332-2024")</f>
        <v/>
      </c>
      <c r="X94">
        <f>HYPERLINK("https://klasma.github.io/Logging_2184/tillsyn/A 58332-2024 tillsynsbegäran.docx", "A 58332-2024")</f>
        <v/>
      </c>
      <c r="Y94">
        <f>HYPERLINK("https://klasma.github.io/Logging_2184/tillsynsmail/A 58332-2024 tillsynsbegäran mail.docx", "A 58332-2024")</f>
        <v/>
      </c>
    </row>
    <row r="95" ht="15" customHeight="1">
      <c r="A95" t="inlineStr">
        <is>
          <t>A 58239-2024</t>
        </is>
      </c>
      <c r="B95" s="1" t="n">
        <v>45632</v>
      </c>
      <c r="C95" s="1" t="n">
        <v>45659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4.3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Kungsörn</t>
        </is>
      </c>
      <c r="S95">
        <f>HYPERLINK("https://klasma.github.io/Logging_2184/artfynd/A 58239-2024 artfynd.xlsx", "A 58239-2024")</f>
        <v/>
      </c>
      <c r="T95">
        <f>HYPERLINK("https://klasma.github.io/Logging_2184/kartor/A 58239-2024 karta.png", "A 58239-2024")</f>
        <v/>
      </c>
      <c r="V95">
        <f>HYPERLINK("https://klasma.github.io/Logging_2184/klagomål/A 58239-2024 FSC-klagomål.docx", "A 58239-2024")</f>
        <v/>
      </c>
      <c r="W95">
        <f>HYPERLINK("https://klasma.github.io/Logging_2184/klagomålsmail/A 58239-2024 FSC-klagomål mail.docx", "A 58239-2024")</f>
        <v/>
      </c>
      <c r="X95">
        <f>HYPERLINK("https://klasma.github.io/Logging_2184/tillsyn/A 58239-2024 tillsynsbegäran.docx", "A 58239-2024")</f>
        <v/>
      </c>
      <c r="Y95">
        <f>HYPERLINK("https://klasma.github.io/Logging_2184/tillsynsmail/A 58239-2024 tillsynsbegäran mail.docx", "A 58239-2024")</f>
        <v/>
      </c>
      <c r="Z95">
        <f>HYPERLINK("https://klasma.github.io/Logging_2184/fåglar/A 58239-2024 prioriterade fågelarter.docx", "A 58239-2024")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45659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45659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45659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45659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45659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45659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45659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45659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45659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45659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45659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45659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45659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45659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45659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45659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45659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45659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45659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45659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45659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45659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45659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45659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45659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45659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45659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45659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45659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45659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45659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45659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45659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45659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45659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45659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45659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45659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45659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45659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45659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45659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45659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45659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45659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45659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45659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45659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45659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45659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45659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45659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45659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45659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45659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45659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45659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45659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45659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45659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45659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45659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45659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45659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45659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45659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45659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45659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45659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45659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45659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45659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45659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45659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45659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45659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45659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45659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45659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45659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45659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45659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45659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45659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45659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45659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45659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45659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45659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45659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45659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45659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45659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45659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45659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45659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45659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45659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45659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45659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45659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45659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45659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45659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45659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45659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45659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45659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45659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45659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45659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45659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45659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45659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45659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45659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45659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45659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45659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45659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45659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45659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45659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45659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45659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45659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45659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45659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45659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45659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45659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45659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45659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45659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45659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45659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45659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45659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45659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45659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45659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45659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45659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45659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45659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45659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45659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45659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45659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45659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45659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45659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45659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45659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45659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45659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45659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45659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45659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45659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45659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45659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45659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45659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45659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45659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45659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45659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45659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45659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45659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45659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45659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45659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45659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45659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45659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45659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45659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45659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45659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45659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45659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45659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45659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45659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45659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45659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45659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45659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45659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45659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45659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45659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45659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45659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45659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45659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45659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45659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45659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45659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45659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45659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45659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45659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45659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45659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45659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45659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45659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45659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45659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45659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45659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45659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45659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45659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45659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45659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45659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45659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45659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45659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45659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45659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45659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45659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45659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45659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45659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45659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45659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45659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45659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45659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45659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45659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45659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45659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45659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45659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45659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45659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45659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45659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45659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45659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45659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45659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45659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45659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45659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45659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45659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45659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45659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45659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45659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45659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45659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45659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45659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45659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45659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45659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45659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45659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45659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45659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45659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45659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45659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45659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45659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45659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45659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45659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45659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45659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45659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45659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45659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45659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45659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45659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45659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45659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45659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45659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45659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45659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45659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45659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45659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45659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45659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45659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45659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45659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45659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45659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45659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45659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45659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45659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45659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45659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45659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45659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45659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45659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45659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45659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45659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45659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45659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45659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45659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45659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45659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45659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45659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45659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45659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45659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45659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45659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45659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45659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45659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45659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45659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45659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45659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45659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45659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45659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45659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45659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45659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45659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45659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45659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45659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45659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45659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45659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45659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45659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45659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45659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45659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45659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45659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45659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45659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45659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45659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45659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45659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45659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45659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45659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45659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45659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45659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45659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45659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45659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45659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45659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45659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45659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45659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45659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45659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45659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45659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45659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45659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45659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45659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45659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45659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45659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45659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45659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45659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45659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45659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45659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45659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45659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45659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45659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45659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45659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45659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45659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45659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45659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45659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45659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45659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45659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45659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45659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45659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45659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45659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45659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45659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45659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45659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45659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45659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45659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45659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45659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45659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45659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45659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45659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45659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45659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45659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45659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45659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45659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45659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45659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45659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45659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45659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45659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45659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45659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45659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45659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45659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45659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45659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45659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45659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45659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45659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45659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45659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45659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45659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45659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45659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45659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45659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45659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45659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45659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45659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45659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45659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45659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45659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45659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45659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45659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45659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45659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45659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45659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45659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45659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45659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45659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45659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45659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45659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45659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45659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45659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45659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45659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45659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45659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45659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45659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45659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45659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45659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45659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45659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45659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45659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45659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45659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45659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45659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45659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45659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45659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45659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45659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45659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45659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45659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45659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45659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45659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45659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45659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45659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45659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45659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45659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45659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45659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45659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45659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45659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45659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45659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45659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45659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45659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45659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45659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45659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45659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45659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45659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45659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45659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45659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45659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45659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45659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45659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45659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45659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45659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45659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45659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45659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45659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45659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45659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45659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45659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45659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45659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45659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45659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45659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45659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45659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45659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45659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45659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45659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45659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45659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45659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45659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45659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45659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45659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45659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45659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45659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45659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45659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45659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45659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45659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45659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45659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45659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45659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45659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45659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45659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45659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45659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45659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45659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45659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45659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45659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45659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45659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45659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45659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45659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45659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45659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45659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45659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45659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45659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45659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45659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45659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45659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45659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45659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45659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45659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45659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45659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45659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45659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45659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45659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45659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45659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45659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45659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45659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45659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45659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45659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45659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45659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45659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45659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45659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45659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45659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45659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45659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45659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45659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45659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45659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45659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45659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45659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45659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45659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45659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45659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45659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45659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45659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45659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45659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45659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45659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45659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45659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45659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45659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45659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45659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45659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45659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45659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45659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45659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45659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45659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45659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45659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45659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45659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45659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45659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45659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45659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45659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45659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45659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45659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45659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45659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45659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45659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45659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45659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45659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45659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45659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45659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45659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45659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45659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45659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45659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45659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45659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45659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45659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45659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45659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45659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45659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45659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45659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45659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45659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45659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45659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45659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45659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45659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45659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45659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45659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45659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45659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45659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45659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45659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45659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45659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45659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45659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45659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45659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45659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45659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45659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45659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45659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45659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45659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45659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45659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45659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45659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45659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45659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45659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45659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45659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45659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45659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45659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45659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45659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45659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45659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45659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45659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45659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45659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45659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45659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45659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45659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45659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45659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45659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45659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45659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45659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45659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45659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45659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45659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45659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45659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45659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45659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45659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45659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45659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45659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45659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45659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45659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45659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45659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45659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45659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45659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45659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45659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45659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45659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45659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45659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45659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45659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45659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45659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45659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45659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45659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45659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45659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45659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45659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45659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45659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45659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45659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45659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45659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45659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45659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45659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45659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45659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45659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45659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45659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45659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45659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45659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45659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45659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45659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45659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45659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45659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45659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45659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45659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45659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45659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45659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45659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45659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45659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45659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45659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45659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45659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45659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45659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45659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45659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45659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45659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45659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45659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45659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45659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45659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45659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45659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45659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45659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45659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45659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45659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45659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45659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45659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45659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45659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45659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45659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45659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45659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45659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45659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45659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45659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45659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45659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45659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45659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45659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45659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45659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45659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45659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45659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45659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45659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45659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45659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45659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45659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45659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45659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45659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45659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45659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45659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45659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45659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45659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45659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45659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45659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45659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45659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45659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45659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45659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45659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45659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45659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45659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45659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45659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45659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45659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45659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45659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45659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45659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45659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45659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45659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45659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45659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45659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45659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45659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45659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45659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45659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45659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45659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45659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45659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45659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45659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45659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45659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45659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45659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45659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45659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45659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45659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45659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45659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45659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45659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45659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45659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45659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45659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45659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45659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45659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45659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45659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45659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45659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45659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45659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45659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45659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45659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45659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45659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45659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45659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45659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45659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45659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45659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45659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45659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45659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45659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45659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45659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45659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45659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45659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45659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45659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45659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45659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45659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45659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45659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45659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45659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45659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45659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45659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45659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45659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45659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45659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45659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45659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45659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45659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45659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45659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45659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45659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45659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45659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45659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45659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45659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45659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45659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45659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45659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45659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45659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45659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45659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45659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45659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45659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45659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45659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45659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45659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45659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45659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45659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45659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45659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45659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45659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45659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45659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45659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45659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45659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45659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45659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45659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45659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45659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45659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45659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45659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45659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45659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45659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45659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45659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45659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45659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45659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45659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45659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45659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45659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45659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45659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45659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45659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45659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45659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45659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45659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45659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45659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45659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45659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45659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45659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45659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45659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45659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45659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45659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45659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45659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45659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45659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45659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45659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45659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45659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45659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45659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45659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45659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45659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45659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45659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45659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45659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45659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45659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45659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45659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45659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45659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45659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45659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45659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45659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45659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45659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45659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45659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45659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45659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45659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45659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45659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45659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45659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45659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45659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45659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45659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45659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45659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45659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45659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45659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45659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45659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45659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45659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45659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45659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45659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45659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45659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45659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45659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45659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45659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45659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45659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45659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45659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45659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45659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45659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45659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45659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45659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45659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45659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45659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45659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45659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45659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45659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45659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45659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45659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45659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45659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45659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45659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45659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45659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45659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45659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45659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45659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45659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45659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45659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45659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45659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45659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45659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45659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45659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45659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45659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45659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45659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45659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45659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45659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45659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45659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45659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45659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45659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45659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45659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45659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45659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45659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45659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45659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45659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45659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45659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45659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45659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45659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45659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45659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45659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45659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45659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45659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45659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45659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45659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45659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45659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45659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45659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45659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45659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45659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45659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45659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45659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45659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45659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45659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45659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45659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45659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45659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45659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45659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45659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45659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45659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45659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45659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45659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45659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45659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45659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45659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45659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45659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45659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45659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45659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45659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45659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45659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45659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45659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45659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45659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45659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45659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45659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45659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45659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45659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45659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45659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45659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45659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45659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45659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45659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45659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45659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45659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45659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45659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45659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45659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45659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45659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45659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45659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45659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45659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45659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45659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45659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45659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45659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45659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45659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45659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45659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45659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45659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45659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45659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45659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45659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45659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45659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45659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45659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45659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45659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45659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45659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45659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45659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45659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45659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45659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45659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45659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45659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45659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45659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45659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45659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45659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45659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45659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45659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45659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45659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45659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45659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45659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45659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45659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45659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45659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45659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45659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45659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45659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45659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45659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45659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45659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45659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45659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45659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45659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45659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45659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45659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45659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45659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45659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45659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45659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45659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45659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45659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45659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45659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45659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45659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45659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45659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45659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45659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45659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45659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45659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45659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45659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45659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45659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45659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45659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45659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45659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45659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45659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45659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45659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45659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45659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45659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45659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45659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45659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45659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45659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45659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45659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45659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45659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45659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45659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45659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45659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45659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45659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45659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45659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45659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45659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45659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45659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45659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45659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45659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45659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45659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45659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45659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45659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45659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45659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45659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45659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45659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45659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45659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45659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45659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45659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45659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45659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45659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45659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45659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45659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45659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45659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45659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45659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45659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45659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45659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45659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45659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45659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45659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45659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45659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45659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45659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45659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45659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45659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45659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45659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45659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45659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45659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45659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45659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45659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45659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45659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45659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45659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45659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45659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45659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45659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45659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45659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45659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45659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45659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45659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45659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45659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45659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45659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45659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45659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45659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45659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45659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45659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45659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45659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45659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45659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45659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45659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45659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45659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45659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45659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45659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45659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45659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45659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45659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45659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45659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45659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45659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45659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45659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45659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45659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45659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45659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45659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45659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45659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45659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45659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45659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45659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45659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45659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45659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45659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45659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45659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45659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45659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45659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45659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45659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45659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45659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45659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45659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45659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45659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45659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45659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45659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45659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45659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45659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45659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45659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45659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45659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45659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45659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45659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45659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45659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45659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45659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45659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45659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45659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45659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45659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45659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45659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45659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45659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45659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45659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45659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45659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45659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45659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45659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45659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45659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45659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45659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45659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45659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45659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45659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45659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45659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45659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45659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45659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45659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45659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45659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45659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45659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45659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45659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45659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45659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45659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45659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45659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45659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45659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45659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45659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45659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45659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45659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45659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45659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45659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45659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45659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45659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45659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45659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45659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45659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45659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45659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45659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45659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45659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45659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45659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45659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45659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45659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45659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45659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45659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45659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45659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45659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45659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45659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45659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45659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45659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45659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45659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45659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45659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45659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45659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45659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45659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45659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45659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45659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45659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45659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45659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45659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45659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45659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45659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45659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45659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45659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45659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45659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45659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45659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45659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45659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45659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45659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45659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45659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45659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45659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45659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45659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45659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45659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45659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45659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45659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45659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45659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45659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45659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45659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45659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45659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45659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45659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45659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45659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45659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45659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45659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45659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45659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45659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45659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45659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45659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45659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45659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45659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45659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45659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45659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45659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45659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45659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45659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45659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45659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45659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45659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45659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45659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45659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45659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45659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45659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45659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45659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45659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45659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45659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45659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45659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45659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45659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45659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45659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45659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45659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45659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45659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45659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45659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45659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45659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45659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45659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45659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45659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45659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45659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45659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45659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45659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45659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45659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45659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45659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45659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45659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45659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45659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45659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45659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45659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45659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45659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45659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45659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45659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45659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45659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45659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45659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45659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45659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45659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45659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45659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45659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45659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45659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45659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45659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45659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45659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45659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45659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45659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45659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45659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45659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45659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45659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45659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45659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45659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45659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45659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45659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45659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45659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45659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45659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45659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45659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45659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45659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45659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45659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45659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45659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45659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45659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45659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45659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45659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45659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45659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45659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45659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45659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45659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45659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45659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45659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45659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45659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45659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45659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45659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45659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45659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45659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45659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45659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45659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45659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45659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45659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45659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45659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45659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45659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45659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45659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45659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45659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45659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45659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45659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45659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45659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45659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45659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45659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45659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45659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45659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45659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45659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45659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45659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45659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45659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45659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45659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45659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45659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45659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45659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45659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45659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45659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45659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45659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45659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45659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45659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45659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45659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45659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45659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45659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45659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45659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45659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45659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45659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45659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45659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45659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45659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45659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45659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45659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45659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45659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45659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45659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45659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45659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45659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45659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45659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45659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45659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45659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45659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45659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45659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45659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45659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45659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45659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45659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45659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45659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45659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45659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45659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45659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45659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45659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45659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45659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45659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45659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45659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45659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45659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45659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45659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45659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45659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45659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45659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45659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45659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45659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45659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45659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45659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45659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45659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45659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45659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45659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45659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45659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45659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45659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45659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45659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45659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45659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45659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45659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45659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45659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45659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45659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45659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45659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45659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45659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45659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45659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45659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45659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45659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45659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45659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45659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45659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45659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45659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45659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45659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45659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45659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45659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45659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45659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45659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45659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45659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45659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45659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45659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45659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45659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45659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45659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45659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45659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45659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45659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45659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45659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45659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45659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45659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45659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45659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45659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45659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45659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45659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45659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45659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45659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45659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45659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45659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45659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45659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45659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45659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45659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45659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45659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45659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45659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45659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45659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45659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45659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45659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45659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45659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45659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45659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45659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45659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45659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45659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57724-2024</t>
        </is>
      </c>
      <c r="B2086" s="1" t="n">
        <v>45630</v>
      </c>
      <c r="C2086" s="1" t="n">
        <v>45659</v>
      </c>
      <c r="D2086" t="inlineStr">
        <is>
          <t>GÄVLEBORGS LÄN</t>
        </is>
      </c>
      <c r="E2086" t="inlineStr">
        <is>
          <t>HUDIKSVALL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45659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45659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45659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45659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58538-2024</t>
        </is>
      </c>
      <c r="B2091" s="1" t="n">
        <v>45635</v>
      </c>
      <c r="C2091" s="1" t="n">
        <v>45659</v>
      </c>
      <c r="D2091" t="inlineStr">
        <is>
          <t>GÄVLEBORGS LÄN</t>
        </is>
      </c>
      <c r="E2091" t="inlineStr">
        <is>
          <t>HUDIKSVALL</t>
        </is>
      </c>
      <c r="G2091" t="n">
        <v>6.3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45659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58512-2024</t>
        </is>
      </c>
      <c r="B2093" s="1" t="n">
        <v>45635</v>
      </c>
      <c r="C2093" s="1" t="n">
        <v>45659</v>
      </c>
      <c r="D2093" t="inlineStr">
        <is>
          <t>GÄVLEBORGS LÄN</t>
        </is>
      </c>
      <c r="E2093" t="inlineStr">
        <is>
          <t>HUDIKSVALL</t>
        </is>
      </c>
      <c r="F2093" t="inlineStr">
        <is>
          <t>Holmen skog AB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45659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45659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45659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60220-2024</t>
        </is>
      </c>
      <c r="B2097" s="1" t="n">
        <v>45642</v>
      </c>
      <c r="C2097" s="1" t="n">
        <v>45659</v>
      </c>
      <c r="D2097" t="inlineStr">
        <is>
          <t>GÄVLEBORGS LÄN</t>
        </is>
      </c>
      <c r="E2097" t="inlineStr">
        <is>
          <t>HUDIKSVALL</t>
        </is>
      </c>
      <c r="G2097" t="n">
        <v>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60186-2024</t>
        </is>
      </c>
      <c r="B2098" s="1" t="n">
        <v>45642</v>
      </c>
      <c r="C2098" s="1" t="n">
        <v>45659</v>
      </c>
      <c r="D2098" t="inlineStr">
        <is>
          <t>GÄVLEBORGS LÄN</t>
        </is>
      </c>
      <c r="E2098" t="inlineStr">
        <is>
          <t>HUDIKSVALL</t>
        </is>
      </c>
      <c r="G2098" t="n">
        <v>3.9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60359-2024</t>
        </is>
      </c>
      <c r="B2099" s="1" t="n">
        <v>45643</v>
      </c>
      <c r="C2099" s="1" t="n">
        <v>45659</v>
      </c>
      <c r="D2099" t="inlineStr">
        <is>
          <t>GÄVLEBORGS LÄN</t>
        </is>
      </c>
      <c r="E2099" t="inlineStr">
        <is>
          <t>HUDIKSVALL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60356-2024</t>
        </is>
      </c>
      <c r="B2100" s="1" t="n">
        <v>45643</v>
      </c>
      <c r="C2100" s="1" t="n">
        <v>45659</v>
      </c>
      <c r="D2100" t="inlineStr">
        <is>
          <t>GÄVLEBORGS LÄN</t>
        </is>
      </c>
      <c r="E2100" t="inlineStr">
        <is>
          <t>HUDIKSVALL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45659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45659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45659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60902-2024</t>
        </is>
      </c>
      <c r="B2104" s="1" t="n">
        <v>45645</v>
      </c>
      <c r="C2104" s="1" t="n">
        <v>45659</v>
      </c>
      <c r="D2104" t="inlineStr">
        <is>
          <t>GÄVLEBORGS LÄN</t>
        </is>
      </c>
      <c r="E2104" t="inlineStr">
        <is>
          <t>HUDIKSVALL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60942-2024</t>
        </is>
      </c>
      <c r="B2105" s="1" t="n">
        <v>45645</v>
      </c>
      <c r="C2105" s="1" t="n">
        <v>45659</v>
      </c>
      <c r="D2105" t="inlineStr">
        <is>
          <t>GÄVLEBORGS LÄN</t>
        </is>
      </c>
      <c r="E2105" t="inlineStr">
        <is>
          <t>HUDIKSVALL</t>
        </is>
      </c>
      <c r="G2105" t="n">
        <v>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60904-2024</t>
        </is>
      </c>
      <c r="B2106" s="1" t="n">
        <v>45645</v>
      </c>
      <c r="C2106" s="1" t="n">
        <v>45659</v>
      </c>
      <c r="D2106" t="inlineStr">
        <is>
          <t>GÄVLEBORGS LÄN</t>
        </is>
      </c>
      <c r="E2106" t="inlineStr">
        <is>
          <t>HUDIKSVALL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61087-2024</t>
        </is>
      </c>
      <c r="B2107" s="1" t="n">
        <v>45645</v>
      </c>
      <c r="C2107" s="1" t="n">
        <v>45659</v>
      </c>
      <c r="D2107" t="inlineStr">
        <is>
          <t>GÄVLEBORGS LÄN</t>
        </is>
      </c>
      <c r="E2107" t="inlineStr">
        <is>
          <t>HUDIKSVALL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60901-2024</t>
        </is>
      </c>
      <c r="B2108" s="1" t="n">
        <v>45645</v>
      </c>
      <c r="C2108" s="1" t="n">
        <v>45659</v>
      </c>
      <c r="D2108" t="inlineStr">
        <is>
          <t>GÄVLEBORGS LÄN</t>
        </is>
      </c>
      <c r="E2108" t="inlineStr">
        <is>
          <t>HUDIKSVALL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61579-2024</t>
        </is>
      </c>
      <c r="B2109" s="1" t="n">
        <v>45646</v>
      </c>
      <c r="C2109" s="1" t="n">
        <v>45659</v>
      </c>
      <c r="D2109" t="inlineStr">
        <is>
          <t>GÄVLEBORGS LÄN</t>
        </is>
      </c>
      <c r="E2109" t="inlineStr">
        <is>
          <t>HUDIKSVALL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61593-2024</t>
        </is>
      </c>
      <c r="B2110" s="1" t="n">
        <v>45646</v>
      </c>
      <c r="C2110" s="1" t="n">
        <v>45659</v>
      </c>
      <c r="D2110" t="inlineStr">
        <is>
          <t>GÄVLEBORGS LÄN</t>
        </is>
      </c>
      <c r="E2110" t="inlineStr">
        <is>
          <t>HUDIKSVALL</t>
        </is>
      </c>
      <c r="G2110" t="n">
        <v>11.4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61763-2024</t>
        </is>
      </c>
      <c r="B2111" s="1" t="n">
        <v>45649</v>
      </c>
      <c r="C2111" s="1" t="n">
        <v>45659</v>
      </c>
      <c r="D2111" t="inlineStr">
        <is>
          <t>GÄVLEBORGS LÄN</t>
        </is>
      </c>
      <c r="E2111" t="inlineStr">
        <is>
          <t>HUDIKSVALL</t>
        </is>
      </c>
      <c r="G2111" t="n">
        <v>7.1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>
      <c r="A2112" t="inlineStr">
        <is>
          <t>A 61785-2024</t>
        </is>
      </c>
      <c r="B2112" s="1" t="n">
        <v>45649</v>
      </c>
      <c r="C2112" s="1" t="n">
        <v>45659</v>
      </c>
      <c r="D2112" t="inlineStr">
        <is>
          <t>GÄVLEBORGS LÄN</t>
        </is>
      </c>
      <c r="E2112" t="inlineStr">
        <is>
          <t>HUDIKSVALL</t>
        </is>
      </c>
      <c r="G2112" t="n">
        <v>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2025-01-02T16:25:44Z</dcterms:created>
  <dcterms:modified xmlns:dcterms="http://purl.org/dc/terms/" xmlns:xsi="http://www.w3.org/2001/XMLSchema-instance" xsi:type="dcterms:W3CDTF">2025-01-02T16:25:46Z</dcterms:modified>
</cp:coreProperties>
</file>