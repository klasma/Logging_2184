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45636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45636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45636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45636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45636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48935-2020</t>
        </is>
      </c>
      <c r="B7" s="1" t="n">
        <v>44104</v>
      </c>
      <c r="C7" s="1" t="n">
        <v>45636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12.2</v>
      </c>
      <c r="H7" t="n">
        <v>3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Granticka
Lunglav
Nordfladdermus
Orange taggsvamp
Spillkråka
Ullticka
Skinnlav
Stuplav
Vedticka
Revlummer</t>
        </is>
      </c>
      <c r="S7">
        <f>HYPERLINK("https://klasma.github.io/Logging_2184/artfynd/A 48935-2020 artfynd.xlsx", "A 48935-2020")</f>
        <v/>
      </c>
      <c r="T7">
        <f>HYPERLINK("https://klasma.github.io/Logging_2184/kartor/A 48935-2020 karta.png", "A 48935-2020")</f>
        <v/>
      </c>
      <c r="V7">
        <f>HYPERLINK("https://klasma.github.io/Logging_2184/klagomål/A 48935-2020 FSC-klagomål.docx", "A 48935-2020")</f>
        <v/>
      </c>
      <c r="W7">
        <f>HYPERLINK("https://klasma.github.io/Logging_2184/klagomålsmail/A 48935-2020 FSC-klagomål mail.docx", "A 48935-2020")</f>
        <v/>
      </c>
      <c r="X7">
        <f>HYPERLINK("https://klasma.github.io/Logging_2184/tillsyn/A 48935-2020 tillsynsbegäran.docx", "A 48935-2020")</f>
        <v/>
      </c>
      <c r="Y7">
        <f>HYPERLINK("https://klasma.github.io/Logging_2184/tillsynsmail/A 48935-2020 tillsynsbegäran mail.docx", "A 48935-2020")</f>
        <v/>
      </c>
      <c r="Z7">
        <f>HYPERLINK("https://klasma.github.io/Logging_2184/fåglar/A 48935-2020 prioriterade fågelarter.docx", "A 48935-2020")</f>
        <v/>
      </c>
    </row>
    <row r="8" ht="15" customHeight="1">
      <c r="A8" t="inlineStr">
        <is>
          <t>A 8671-2022</t>
        </is>
      </c>
      <c r="B8" s="1" t="n">
        <v>44613</v>
      </c>
      <c r="C8" s="1" t="n">
        <v>45636</v>
      </c>
      <c r="D8" t="inlineStr">
        <is>
          <t>GÄVLEBORGS LÄN</t>
        </is>
      </c>
      <c r="E8" t="inlineStr">
        <is>
          <t>HUDIKSVALL</t>
        </is>
      </c>
      <c r="G8" t="n">
        <v>13.7</v>
      </c>
      <c r="H8" t="n">
        <v>0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Aspgelélav
Rynkskinn
Doftskinn
Garnlav
Rosenticka
Småflikig brosklav
Tallticka
Ullticka
Barkticka
Korallblylav</t>
        </is>
      </c>
      <c r="S8">
        <f>HYPERLINK("https://klasma.github.io/Logging_2184/artfynd/A 8671-2022 artfynd.xlsx", "A 8671-2022")</f>
        <v/>
      </c>
      <c r="T8">
        <f>HYPERLINK("https://klasma.github.io/Logging_2184/kartor/A 8671-2022 karta.png", "A 8671-2022")</f>
        <v/>
      </c>
      <c r="V8">
        <f>HYPERLINK("https://klasma.github.io/Logging_2184/klagomål/A 8671-2022 FSC-klagomål.docx", "A 8671-2022")</f>
        <v/>
      </c>
      <c r="W8">
        <f>HYPERLINK("https://klasma.github.io/Logging_2184/klagomålsmail/A 8671-2022 FSC-klagomål mail.docx", "A 8671-2022")</f>
        <v/>
      </c>
      <c r="X8">
        <f>HYPERLINK("https://klasma.github.io/Logging_2184/tillsyn/A 8671-2022 tillsynsbegäran.docx", "A 8671-2022")</f>
        <v/>
      </c>
      <c r="Y8">
        <f>HYPERLINK("https://klasma.github.io/Logging_2184/tillsynsmail/A 8671-2022 tillsynsbegäran mail.docx", "A 8671-2022")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45636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45636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45636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45636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45636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45636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45636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45636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45636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45636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45636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45636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45636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45636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45636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45636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45636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45636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45636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45636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45636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45636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45636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45636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45636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45636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45636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45636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45636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45636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45636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45636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45636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45636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45636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45636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45636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45636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45636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45636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45636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45636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45636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45636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45636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45636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45636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45636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45636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45636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45636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45636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45636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45636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45636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45636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45636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45636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45636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45636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45636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45636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45636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45636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45636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45636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45636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45636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45636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45636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45636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45636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45636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45636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45636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45636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45636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45636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45636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45636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45636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45636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45636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45636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45636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45636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45636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45636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45636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45636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45636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45636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45636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45636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45636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45636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45636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45636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45636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45636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45636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45636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45636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45636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45636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45636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45636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45636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45636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45636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45636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45636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45636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45636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45636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45636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45636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45636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45636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45636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45636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45636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45636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45636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45636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45636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45636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45636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45636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45636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45636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45636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45636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45636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45636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45636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45636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45636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45636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45636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45636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45636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45636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45636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45636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45636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45636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45636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45636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45636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45636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45636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45636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45636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45636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45636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45636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45636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45636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45636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45636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45636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45636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45636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45636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45636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45636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45636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45636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45636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45636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45636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45636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45636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45636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45636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45636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45636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45636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45636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45636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45636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45636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45636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45636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45636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45636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45636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45636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45636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45636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45636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45636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45636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45636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45636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45636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45636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45636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45636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45636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45636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45636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45636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45636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45636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45636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45636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45636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45636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45636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45636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45636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45636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45636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45636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45636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45636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45636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45636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45636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45636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45636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45636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45636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45636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45636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45636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45636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45636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45636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45636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45636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45636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45636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45636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45636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45636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45636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45636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45636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45636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45636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45636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45636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45636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45636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45636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45636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45636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45636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45636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45636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45636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45636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45636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45636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45636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45636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45636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45636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45636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45636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45636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45636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45636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45636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45636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45636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45636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45636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45636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45636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45636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45636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45636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45636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45636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45636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45636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45636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45636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45636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45636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45636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45636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45636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45636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45636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45636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45636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45636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45636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45636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45636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45636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45636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45636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45636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45636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45636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45636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45636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45636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45636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45636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45636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45636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45636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45636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45636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45636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45636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45636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45636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45636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45636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45636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45636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45636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45636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45636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45636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45636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45636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45636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45636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45636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45636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45636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45636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45636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45636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45636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45636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45636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45636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45636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45636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45636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45636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45636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45636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45636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45636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45636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45636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45636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45636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45636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45636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45636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45636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45636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45636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45636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45636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45636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45636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45636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45636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45636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45636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45636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45636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45636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45636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45636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45636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45636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45636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45636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45636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45636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45636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45636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45636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45636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45636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45636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45636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45636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45636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45636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45636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45636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45636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45636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45636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45636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45636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45636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45636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45636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45636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45636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45636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45636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45636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45636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45636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45636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45636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45636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45636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45636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45636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45636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45636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45636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45636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45636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45636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45636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45636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45636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45636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45636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45636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45636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45636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45636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45636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45636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45636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45636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45636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45636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45636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45636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45636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45636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45636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45636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45636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45636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45636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45636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45636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45636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45636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45636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45636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45636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45636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45636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45636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45636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45636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45636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45636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45636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45636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45636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45636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45636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45636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45636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45636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45636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45636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45636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45636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45636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45636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45636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45636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45636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45636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45636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45636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45636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45636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45636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45636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45636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45636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45636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45636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45636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45636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45636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45636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45636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45636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45636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45636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45636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45636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45636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45636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45636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45636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45636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45636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45636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45636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45636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45636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45636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45636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45636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45636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45636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45636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45636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45636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45636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45636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45636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45636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45636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45636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45636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45636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45636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45636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45636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45636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45636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45636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45636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45636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45636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45636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45636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45636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45636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45636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45636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45636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45636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45636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45636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45636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45636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45636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45636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45636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45636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45636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45636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45636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45636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45636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45636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45636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45636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45636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45636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45636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45636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45636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45636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45636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45636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45636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45636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45636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45636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45636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45636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45636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45636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45636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45636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45636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45636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45636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45636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45636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45636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45636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45636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45636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45636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45636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45636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45636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45636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45636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45636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45636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45636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45636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45636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45636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45636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45636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45636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45636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45636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45636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45636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45636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45636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45636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45636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45636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45636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45636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45636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45636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45636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45636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45636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45636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45636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45636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45636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45636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45636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45636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45636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45636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45636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45636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45636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45636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45636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45636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45636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45636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45636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45636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45636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45636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45636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45636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45636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45636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45636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45636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45636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45636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45636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45636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45636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45636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45636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45636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45636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45636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45636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45636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45636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45636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45636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45636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45636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45636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45636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45636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45636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45636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45636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45636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45636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45636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45636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45636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45636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45636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45636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45636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45636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45636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45636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45636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45636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45636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45636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45636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45636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45636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45636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45636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45636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45636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45636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45636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45636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45636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45636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45636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45636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45636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45636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45636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45636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45636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45636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45636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45636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45636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45636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45636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45636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45636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45636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45636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45636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45636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45636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45636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45636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45636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45636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45636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45636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45636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45636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45636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45636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45636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45636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45636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45636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45636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45636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45636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45636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45636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45636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45636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45636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45636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45636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45636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45636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45636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45636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45636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45636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45636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45636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45636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45636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45636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45636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45636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45636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45636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45636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45636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45636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45636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45636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45636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45636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45636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45636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45636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45636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45636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45636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45636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45636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45636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45636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45636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45636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45636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45636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45636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45636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45636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45636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45636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45636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45636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45636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45636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45636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45636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45636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45636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45636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45636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45636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45636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45636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45636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45636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45636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45636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45636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45636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45636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45636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45636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45636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45636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45636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45636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45636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45636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45636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45636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45636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45636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45636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45636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45636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45636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45636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45636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45636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45636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45636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45636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45636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45636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45636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45636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45636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45636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45636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45636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45636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45636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45636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45636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45636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45636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45636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45636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45636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45636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45636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45636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45636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45636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45636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45636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45636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45636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45636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45636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45636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45636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45636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45636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45636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45636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45636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45636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45636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45636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45636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45636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45636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45636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45636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45636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45636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45636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45636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45636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45636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45636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45636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45636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45636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45636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45636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45636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45636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45636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45636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45636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45636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45636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45636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45636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45636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45636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45636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45636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45636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45636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45636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45636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45636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45636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45636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45636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45636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45636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45636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45636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45636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45636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45636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45636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45636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45636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45636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45636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45636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45636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45636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45636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45636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45636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45636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45636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45636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45636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45636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45636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45636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45636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45636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45636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45636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45636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45636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45636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45636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45636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45636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45636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45636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45636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45636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45636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45636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45636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45636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45636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45636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45636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45636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45636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45636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45636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45636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45636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45636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45636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45636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45636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45636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45636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45636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45636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45636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45636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45636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45636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45636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45636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45636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45636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45636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45636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45636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45636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45636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45636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45636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45636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45636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45636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45636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45636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45636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45636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45636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45636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45636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45636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45636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45636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45636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45636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45636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45636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45636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45636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45636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45636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45636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45636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45636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45636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45636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45636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45636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45636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45636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45636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45636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45636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45636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45636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45636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45636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45636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45636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45636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45636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45636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45636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45636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45636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45636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45636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45636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45636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45636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45636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45636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45636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45636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45636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45636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45636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45636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45636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45636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45636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45636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45636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45636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45636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45636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45636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45636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45636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45636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45636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45636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45636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45636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45636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45636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45636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45636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45636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45636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45636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45636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45636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45636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45636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45636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45636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45636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45636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45636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45636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45636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45636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45636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45636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45636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45636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45636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45636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45636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45636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45636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45636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45636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45636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45636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45636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45636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45636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45636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45636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45636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45636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45636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45636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45636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45636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45636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45636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45636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45636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45636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45636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45636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45636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45636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45636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45636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45636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45636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45636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45636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45636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45636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45636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45636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45636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45636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45636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45636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45636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45636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45636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45636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45636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45636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45636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45636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45636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45636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45636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45636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45636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45636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45636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45636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45636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45636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45636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45636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45636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45636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45636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45636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45636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45636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45636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45636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45636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45636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45636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45636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45636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45636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45636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45636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45636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45636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45636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45636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45636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45636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45636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45636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45636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45636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45636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45636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45636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45636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45636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45636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45636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45636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45636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45636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45636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45636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45636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45636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45636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45636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45636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45636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45636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45636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45636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45636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45636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45636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45636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45636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45636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45636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45636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45636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45636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45636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45636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45636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45636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45636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45636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45636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45636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45636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45636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45636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45636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45636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45636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45636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45636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45636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45636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45636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45636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45636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45636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45636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45636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45636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45636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45636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45636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45636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45636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45636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45636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45636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45636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45636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45636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45636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45636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45636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45636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45636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45636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45636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45636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45636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45636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45636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45636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45636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45636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45636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45636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45636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45636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45636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45636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45636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45636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45636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45636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45636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45636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45636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45636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45636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45636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45636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45636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45636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45636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45636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45636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45636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45636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45636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45636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45636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45636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45636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45636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45636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45636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45636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45636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45636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45636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45636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45636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45636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45636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45636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45636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45636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45636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45636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45636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45636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45636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45636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45636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45636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45636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45636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45636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45636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45636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45636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45636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45636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45636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45636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45636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45636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45636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45636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45636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45636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45636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45636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45636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45636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45636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45636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45636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45636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45636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45636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45636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45636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45636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45636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45636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45636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45636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45636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45636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45636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45636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45636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45636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45636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45636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45636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45636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45636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45636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45636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45636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45636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45636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45636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45636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45636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45636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45636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45636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45636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45636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45636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45636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45636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45636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45636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45636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45636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45636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45636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45636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45636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45636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45636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45636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45636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45636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45636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45636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45636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45636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45636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45636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45636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45636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45636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45636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45636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45636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45636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45636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45636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45636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45636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45636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45636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45636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45636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45636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45636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45636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45636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45636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45636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45636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45636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45636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45636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45636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45636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45636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45636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45636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45636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45636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45636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45636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45636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45636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45636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45636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45636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45636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45636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45636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45636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45636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45636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45636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45636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45636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45636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45636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45636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45636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45636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45636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45636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45636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45636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45636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45636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45636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45636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45636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45636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45636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45636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45636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45636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45636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45636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45636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45636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45636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45636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45636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45636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45636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45636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45636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45636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45636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45636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45636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45636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45636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45636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45636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45636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45636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45636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45636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45636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45636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45636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45636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45636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45636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45636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45636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45636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45636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45636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45636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45636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45636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45636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45636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45636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45636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45636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45636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45636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45636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45636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45636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45636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45636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45636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45636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45636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45636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45636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45636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45636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45636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45636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45636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45636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45636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45636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45636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45636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45636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45636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45636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45636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45636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45636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45636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45636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45636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45636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45636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45636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45636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45636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45636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45636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45636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45636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45636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45636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45636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45636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45636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45636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45636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45636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45636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45636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45636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45636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45636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45636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45636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45636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45636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45636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45636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45636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45636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45636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45636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45636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45636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45636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45636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45636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45636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45636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45636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45636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45636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45636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45636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45636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45636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45636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45636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45636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45636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45636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45636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45636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45636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45636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45636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45636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45636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45636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45636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45636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45636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45636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45636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45636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45636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45636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45636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45636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45636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45636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45636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45636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45636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45636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45636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45636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45636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45636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45636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45636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45636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45636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45636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45636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45636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45636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45636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45636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45636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45636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45636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45636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45636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45636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45636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45636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45636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45636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45636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45636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45636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45636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45636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45636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45636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45636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45636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45636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45636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45636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45636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45636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45636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45636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45636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45636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45636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45636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45636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45636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45636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45636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45636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45636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45636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45636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45636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45636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45636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45636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45636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45636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45636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45636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45636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45636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45636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45636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45636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45636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45636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45636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45636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45636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45636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45636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45636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45636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45636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45636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45636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45636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45636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45636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45636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45636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45636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45636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45636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45636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45636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45636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45636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45636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45636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45636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45636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45636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45636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45636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45636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45636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45636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45636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45636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45636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45636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45636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45636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45636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45636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45636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45636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45636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45636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45636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45636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45636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45636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45636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45636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45636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45636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45636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45636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45636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45636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45636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45636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45636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45636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45636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45636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45636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45636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45636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45636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45636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45636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45636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45636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45636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45636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45636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45636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45636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45636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45636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45636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45636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45636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45636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45636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45636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45636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45636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45636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45636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45636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45636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45636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45636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45636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45636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45636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45636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45636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45636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45636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45636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45636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45636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45636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45636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45636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45636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45636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45636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45636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45636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45636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45636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45636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45636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45636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45636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45636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45636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45636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45636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45636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45636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45636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45636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45636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45636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45636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45636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45636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45636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45636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45636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45636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45636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45636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45636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45636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45636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45636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45636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45636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45636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45636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45636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45636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45636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45636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45636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45636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45636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45636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45636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45636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45636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45636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45636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45636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45636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45636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45636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45636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45636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45636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45636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45636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45636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45636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45636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45636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45636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45636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45636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45636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45636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45636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45636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45636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45636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45636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45636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45636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45636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45636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45636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45636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45636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45636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45636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45636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45636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45636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45636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45636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45636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45636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45636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45636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45636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45636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45636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45636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45636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45636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45636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45636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45636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45636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45636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45636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45636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45636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45636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45636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45636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45636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45636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45636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45636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45636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45636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45636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45636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45636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45636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45636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45636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45636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45636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45636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45636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45636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45636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45636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45636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45636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45636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45636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45636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45636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45636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45636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45636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45636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45636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45636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45636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45636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45636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45636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45636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45636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45636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45636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45636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45636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45636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45636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45636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45636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45636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45636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45636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45636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45636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45636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45636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45636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45636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45636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45636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45636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45636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45636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45636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45636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45636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45636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45636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45636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45636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45636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45636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45636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45636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45636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45636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45636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45636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45636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45636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45636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45636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45636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45636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45636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45636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45636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45636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45636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45636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45636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45636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45636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45636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45636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45636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45636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45636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45636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45636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45636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45636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45636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45636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45636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45636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45636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45636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45636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45636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45636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45636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45636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45636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45636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45636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45636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45636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45636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45636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45636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45636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45636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45636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45636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45636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45636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45636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45636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45636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45636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45636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45636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45636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45636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45636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45636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45636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45636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45636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45636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45636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45636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45636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45636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45636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45636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45636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45636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45636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45636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45636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45636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45636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45636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45636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45636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45636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45636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45636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45636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45636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45636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45636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45636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45636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45636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45636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45636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45636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52651-2024</t>
        </is>
      </c>
      <c r="B2029" s="1" t="n">
        <v>45610</v>
      </c>
      <c r="C2029" s="1" t="n">
        <v>45636</v>
      </c>
      <c r="D2029" t="inlineStr">
        <is>
          <t>GÄVLEBORGS LÄN</t>
        </is>
      </c>
      <c r="E2029" t="inlineStr">
        <is>
          <t>HUDIKSVALL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45636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52670-2024</t>
        </is>
      </c>
      <c r="B2031" s="1" t="n">
        <v>45610</v>
      </c>
      <c r="C2031" s="1" t="n">
        <v>45636</v>
      </c>
      <c r="D2031" t="inlineStr">
        <is>
          <t>GÄVLEBORGS LÄN</t>
        </is>
      </c>
      <c r="E2031" t="inlineStr">
        <is>
          <t>HUDIKSVALL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45636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53015-2024</t>
        </is>
      </c>
      <c r="B2033" s="1" t="n">
        <v>45611</v>
      </c>
      <c r="C2033" s="1" t="n">
        <v>45636</v>
      </c>
      <c r="D2033" t="inlineStr">
        <is>
          <t>GÄVLEBORGS LÄN</t>
        </is>
      </c>
      <c r="E2033" t="inlineStr">
        <is>
          <t>HUDIKSVALL</t>
        </is>
      </c>
      <c r="G2033" t="n">
        <v>21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52962-2024</t>
        </is>
      </c>
      <c r="B2034" s="1" t="n">
        <v>45611</v>
      </c>
      <c r="C2034" s="1" t="n">
        <v>45636</v>
      </c>
      <c r="D2034" t="inlineStr">
        <is>
          <t>GÄVLEBORGS LÄN</t>
        </is>
      </c>
      <c r="E2034" t="inlineStr">
        <is>
          <t>HUDIKSVALL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45636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45636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53259-2024</t>
        </is>
      </c>
      <c r="B2037" s="1" t="n">
        <v>45614</v>
      </c>
      <c r="C2037" s="1" t="n">
        <v>45636</v>
      </c>
      <c r="D2037" t="inlineStr">
        <is>
          <t>GÄVLEBORGS LÄN</t>
        </is>
      </c>
      <c r="E2037" t="inlineStr">
        <is>
          <t>HUDIKSVALL</t>
        </is>
      </c>
      <c r="F2037" t="inlineStr">
        <is>
          <t>Holmen skog AB</t>
        </is>
      </c>
      <c r="G2037" t="n">
        <v>35.7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45636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53418-2024</t>
        </is>
      </c>
      <c r="B2039" s="1" t="n">
        <v>45614</v>
      </c>
      <c r="C2039" s="1" t="n">
        <v>45636</v>
      </c>
      <c r="D2039" t="inlineStr">
        <is>
          <t>GÄVLEBORGS LÄN</t>
        </is>
      </c>
      <c r="E2039" t="inlineStr">
        <is>
          <t>HUDIKSVALL</t>
        </is>
      </c>
      <c r="G2039" t="n">
        <v>12.3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45636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45636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45636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45636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54326-2024</t>
        </is>
      </c>
      <c r="B2044" s="1" t="n">
        <v>45617</v>
      </c>
      <c r="C2044" s="1" t="n">
        <v>45636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54535-2024</t>
        </is>
      </c>
      <c r="B2045" s="1" t="n">
        <v>45617</v>
      </c>
      <c r="C2045" s="1" t="n">
        <v>45636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45636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54592-2024</t>
        </is>
      </c>
      <c r="B2047" s="1" t="n">
        <v>45617</v>
      </c>
      <c r="C2047" s="1" t="n">
        <v>45636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54522-2024</t>
        </is>
      </c>
      <c r="B2048" s="1" t="n">
        <v>45617</v>
      </c>
      <c r="C2048" s="1" t="n">
        <v>45636</v>
      </c>
      <c r="D2048" t="inlineStr">
        <is>
          <t>GÄVLEBORGS LÄN</t>
        </is>
      </c>
      <c r="E2048" t="inlineStr">
        <is>
          <t>HUDIKSVALL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45636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45636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45636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45636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45636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45636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54676-2024</t>
        </is>
      </c>
      <c r="B2055" s="1" t="n">
        <v>45618</v>
      </c>
      <c r="C2055" s="1" t="n">
        <v>45636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45636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45636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45636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45636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45636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55460-2024</t>
        </is>
      </c>
      <c r="B2061" s="1" t="n">
        <v>45622</v>
      </c>
      <c r="C2061" s="1" t="n">
        <v>45636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55519-2024</t>
        </is>
      </c>
      <c r="B2062" s="1" t="n">
        <v>45622</v>
      </c>
      <c r="C2062" s="1" t="n">
        <v>45636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55574-2024</t>
        </is>
      </c>
      <c r="B2063" s="1" t="n">
        <v>45622</v>
      </c>
      <c r="C2063" s="1" t="n">
        <v>45636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45636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45636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45636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55740-2024</t>
        </is>
      </c>
      <c r="B2067" s="1" t="n">
        <v>45623</v>
      </c>
      <c r="C2067" s="1" t="n">
        <v>45636</v>
      </c>
      <c r="D2067" t="inlineStr">
        <is>
          <t>GÄVLEBORGS LÄN</t>
        </is>
      </c>
      <c r="E2067" t="inlineStr">
        <is>
          <t>HUDIKSVALL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55843-2024</t>
        </is>
      </c>
      <c r="B2068" s="1" t="n">
        <v>45623</v>
      </c>
      <c r="C2068" s="1" t="n">
        <v>45636</v>
      </c>
      <c r="D2068" t="inlineStr">
        <is>
          <t>GÄVLEBORGS LÄN</t>
        </is>
      </c>
      <c r="E2068" t="inlineStr">
        <is>
          <t>HUDIKSVALL</t>
        </is>
      </c>
      <c r="G2068" t="n">
        <v>13.4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55742-2024</t>
        </is>
      </c>
      <c r="B2069" s="1" t="n">
        <v>45623</v>
      </c>
      <c r="C2069" s="1" t="n">
        <v>45636</v>
      </c>
      <c r="D2069" t="inlineStr">
        <is>
          <t>GÄVLEBORGS LÄN</t>
        </is>
      </c>
      <c r="E2069" t="inlineStr">
        <is>
          <t>HUDIKSVALL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56064-2024</t>
        </is>
      </c>
      <c r="B2070" s="1" t="n">
        <v>45624</v>
      </c>
      <c r="C2070" s="1" t="n">
        <v>45636</v>
      </c>
      <c r="D2070" t="inlineStr">
        <is>
          <t>GÄVLEBORGS LÄN</t>
        </is>
      </c>
      <c r="E2070" t="inlineStr">
        <is>
          <t>HUDIKSVALL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56131-2024</t>
        </is>
      </c>
      <c r="B2071" s="1" t="n">
        <v>45624</v>
      </c>
      <c r="C2071" s="1" t="n">
        <v>45636</v>
      </c>
      <c r="D2071" t="inlineStr">
        <is>
          <t>GÄVLEBORGS LÄN</t>
        </is>
      </c>
      <c r="E2071" t="inlineStr">
        <is>
          <t>HUDIKSVALL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56142-2024</t>
        </is>
      </c>
      <c r="B2072" s="1" t="n">
        <v>45624</v>
      </c>
      <c r="C2072" s="1" t="n">
        <v>45636</v>
      </c>
      <c r="D2072" t="inlineStr">
        <is>
          <t>GÄVLEBORGS LÄN</t>
        </is>
      </c>
      <c r="E2072" t="inlineStr">
        <is>
          <t>HUDIKSVALL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56253-2024</t>
        </is>
      </c>
      <c r="B2073" s="1" t="n">
        <v>45624</v>
      </c>
      <c r="C2073" s="1" t="n">
        <v>45636</v>
      </c>
      <c r="D2073" t="inlineStr">
        <is>
          <t>GÄVLEBORGS LÄN</t>
        </is>
      </c>
      <c r="E2073" t="inlineStr">
        <is>
          <t>HUDIKSVALL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56277-2024</t>
        </is>
      </c>
      <c r="B2074" s="1" t="n">
        <v>45624</v>
      </c>
      <c r="C2074" s="1" t="n">
        <v>45636</v>
      </c>
      <c r="D2074" t="inlineStr">
        <is>
          <t>GÄVLEBORGS LÄN</t>
        </is>
      </c>
      <c r="E2074" t="inlineStr">
        <is>
          <t>HUDIKSVALL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56215-2024</t>
        </is>
      </c>
      <c r="B2075" s="1" t="n">
        <v>45624</v>
      </c>
      <c r="C2075" s="1" t="n">
        <v>45636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56259-2024</t>
        </is>
      </c>
      <c r="B2076" s="1" t="n">
        <v>45624</v>
      </c>
      <c r="C2076" s="1" t="n">
        <v>45636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45636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45636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45636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45636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45636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45636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45636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45636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45636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45636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45636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45636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45636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45636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58473-2024</t>
        </is>
      </c>
      <c r="B2091" s="1" t="n">
        <v>45635</v>
      </c>
      <c r="C2091" s="1" t="n">
        <v>45636</v>
      </c>
      <c r="D2091" t="inlineStr">
        <is>
          <t>GÄVLEBORGS LÄN</t>
        </is>
      </c>
      <c r="E2091" t="inlineStr">
        <is>
          <t>HUDIKSVALL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45636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>
      <c r="A2093" t="inlineStr">
        <is>
          <t>A 58538-2024</t>
        </is>
      </c>
      <c r="B2093" s="1" t="n">
        <v>45635</v>
      </c>
      <c r="C2093" s="1" t="n">
        <v>45636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2024-12-10T15:17:51Z</dcterms:created>
  <dcterms:modified xmlns:dcterms="http://purl.org/dc/terms/" xmlns:xsi="http://www.w3.org/2001/XMLSchema-instance" xsi:type="dcterms:W3CDTF">2024-12-10T15:17:53Z</dcterms:modified>
</cp:coreProperties>
</file>