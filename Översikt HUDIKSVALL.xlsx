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45755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45755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45755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45755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45755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45755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45755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45755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45755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45755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45755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45755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45755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45755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45755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45755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45755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45755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45755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45755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45755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45755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45755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45755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45755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45755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45755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45755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45755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45755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45755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45755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45755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45755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45755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45755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45755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45755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45755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45755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45755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45755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45755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45755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45755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45755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45755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45755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45755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45755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45755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45755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HYPERLINK("https://klasma.github.io/Logging_212184/artfynd/A 13640-2025 artfynd.xlsx", "A 13640-2025")</f>
        <v/>
      </c>
      <c r="T53">
        <f>HYPERLINK("https://klasma.github.io/Logging_212184/kartor/A 13640-2025 karta.png", "A 13640-2025")</f>
        <v/>
      </c>
      <c r="V53">
        <f>HYPERLINK("https://klasma.github.io/Logging_212184/klagomål/A 13640-2025 FSC-klagomål.docx", "A 13640-2025")</f>
        <v/>
      </c>
      <c r="W53">
        <f>HYPERLINK("https://klasma.github.io/Logging_212184/klagomålsmail/A 13640-2025 FSC-klagomål mail.docx", "A 13640-2025")</f>
        <v/>
      </c>
      <c r="X53">
        <f>HYPERLINK("https://klasma.github.io/Logging_212184/tillsyn/A 13640-2025 tillsynsbegäran.docx", "A 13640-2025")</f>
        <v/>
      </c>
      <c r="Y53">
        <f>HYPERLINK("https://klasma.github.io/Logging_212184/tillsynsmail/A 13640-2025 tillsynsbegäran mail.docx", "A 13640-2025")</f>
        <v/>
      </c>
      <c r="Z53">
        <f>HYPERLINK("https://klasma.github.io/Logging_212184/fåglar/A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45755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45755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45755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45755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45755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45755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45755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45755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45755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45755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45755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45755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45755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45755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45755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45755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45755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45755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45755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45755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45755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45755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45755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45755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45755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45755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45755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45755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45755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45755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45755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45755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45755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45755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45755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45755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45755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45755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45755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45755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45755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45755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45755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45755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45755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45755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45755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45755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45755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45755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45755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45755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45755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45755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45755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45755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45755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45755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45755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45755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45755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45755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45755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45755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45755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45755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45755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45755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45755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45755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45755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45755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45755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45755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45755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45755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45755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45755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45755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45755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45755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45755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45755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45755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45755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45755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45755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45755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45755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45755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45755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45755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45755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45755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45755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45755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45755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45755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45755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45755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45755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45755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45755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45755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45755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45755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45755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45755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45755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45755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45755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45755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45755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45755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45755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45755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45755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45755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45755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45755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45755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45755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45755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45755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45755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45755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45755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45755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45755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45755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45755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45755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45755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45755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45755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45755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45755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45755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45755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45755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45755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45755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45755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45755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45755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45755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45755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45755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45755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45755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45755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45755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45755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45755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45755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45755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45755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45755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45755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45755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45755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45755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45755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45755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45755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45755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45755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45755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45755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45755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45755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45755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45755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45755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45755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45755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45755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45755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45755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45755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45755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45755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45755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45755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45755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45755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45755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45755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45755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45755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45755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45755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45755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45755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45755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45755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45755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45755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45755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45755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45755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45755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45755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45755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45755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45755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45755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45755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45755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45755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45755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45755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45755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45755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45755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45755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45755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45755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45755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45755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45755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45755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45755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45755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45755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45755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45755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45755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45755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45755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45755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45755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45755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45755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45755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45755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45755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45755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45755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45755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45755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45755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45755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45755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45755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45755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45755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45755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45755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45755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45755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45755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45755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45755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45755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45755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45755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45755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45755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45755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45755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45755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45755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45755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45755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45755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45755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45755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45755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45755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45755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45755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45755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45755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45755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45755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45755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45755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45755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45755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45755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45755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45755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45755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45755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45755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45755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45755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45755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45755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45755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45755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45755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45755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45755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45755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45755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45755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45755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45755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45755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45755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45755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45755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45755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45755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45755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45755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45755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45755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45755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45755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45755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45755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45755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45755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45755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45755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45755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45755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45755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45755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45755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45755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45755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45755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45755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45755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45755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45755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45755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45755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45755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45755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45755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45755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45755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45755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45755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45755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45755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45755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45755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45755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45755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45755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45755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45755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45755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45755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45755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45755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45755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45755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45755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45755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45755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45755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45755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45755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45755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45755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45755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45755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45755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45755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45755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45755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45755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45755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45755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45755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45755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45755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45755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45755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45755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45755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45755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45755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45755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45755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45755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45755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45755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45755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45755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45755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45755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45755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45755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45755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45755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45755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45755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45755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45755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45755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45755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45755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45755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45755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45755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45755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45755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45755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45755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45755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45755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45755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45755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45755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45755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45755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45755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45755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45755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45755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45755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45755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45755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45755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45755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45755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45755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45755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45755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45755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45755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45755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45755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45755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45755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45755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45755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45755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45755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45755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45755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45755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45755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45755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45755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45755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45755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45755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45755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45755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45755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45755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45755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45755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45755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45755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45755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45755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45755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45755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45755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45755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45755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45755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45755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45755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45755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45755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45755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45755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45755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45755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45755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45755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45755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45755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45755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45755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45755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45755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45755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45755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45755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45755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45755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45755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45755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45755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45755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45755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45755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45755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45755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45755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45755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45755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45755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45755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45755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45755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45755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45755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45755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45755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45755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45755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45755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45755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45755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45755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45755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45755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45755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45755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45755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45755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45755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45755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45755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45755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45755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45755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45755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45755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45755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45755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45755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45755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45755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45755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45755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45755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45755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45755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45755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45755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45755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45755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45755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45755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45755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45755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45755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45755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45755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45755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45755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45755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45755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45755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45755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45755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45755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45755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45755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45755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45755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45755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45755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45755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45755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45755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45755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45755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45755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45755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45755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45755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45755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45755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45755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45755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45755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45755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45755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45755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45755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45755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45755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45755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45755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45755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45755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45755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45755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45755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45755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45755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45755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45755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45755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45755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45755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45755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45755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45755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45755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45755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45755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45755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45755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45755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45755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45755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45755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45755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45755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45755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45755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45755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45755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45755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45755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45755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45755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45755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45755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45755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45755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45755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45755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45755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45755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45755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45755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45755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45755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45755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45755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45755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45755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45755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45755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45755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45755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45755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45755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45755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45755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45755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45755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45755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45755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45755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45755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45755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45755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45755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45755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45755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45755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45755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45755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45755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45755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45755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45755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45755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45755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45755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45755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45755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45755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45755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45755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45755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45755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45755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45755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45755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45755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45755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45755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45755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45755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45755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45755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45755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45755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45755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45755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45755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45755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45755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45755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45755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45755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45755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45755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45755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45755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45755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45755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45755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45755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45755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45755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45755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45755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45755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45755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45755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45755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45755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45755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45755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45755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45755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45755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45755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45755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45755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45755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45755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45755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45755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45755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45755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45755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45755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45755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45755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45755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45755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45755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45755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45755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45755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45755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45755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45755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45755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45755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45755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45755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45755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45755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45755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45755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45755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45755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45755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45755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45755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45755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45755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45755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45755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45755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45755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45755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45755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45755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45755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45755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45755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45755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45755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45755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45755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45755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45755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45755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45755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45755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45755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45755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45755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45755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45755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45755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45755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45755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45755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45755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45755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45755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45755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45755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45755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45755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45755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45755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45755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45755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45755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45755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45755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45755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45755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45755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45755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45755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45755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45755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45755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45755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45755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45755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45755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45755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45755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45755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45755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45755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45755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45755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45755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45755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45755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45755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45755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45755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45755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45755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45755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45755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45755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45755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45755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45755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45755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45755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45755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45755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45755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45755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45755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45755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45755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45755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45755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45755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45755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45755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45755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45755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45755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45755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45755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45755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45755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45755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45755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45755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45755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45755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45755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45755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45755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45755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45755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45755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45755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45755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45755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45755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45755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45755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45755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45755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45755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45755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45755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45755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45755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45755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45755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45755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45755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45755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45755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45755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45755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45755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45755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45755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45755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45755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45755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45755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45755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45755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45755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45755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45755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45755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45755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45755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45755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45755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45755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45755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45755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45755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45755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45755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45755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45755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45755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45755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45755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45755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45755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45755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45755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45755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45755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45755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45755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45755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45755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45755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45755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45755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45755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45755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45755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45755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45755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45755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45755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45755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45755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45755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45755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45755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45755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45755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45755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45755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45755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45755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45755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45755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45755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45755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45755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45755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45755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45755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45755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45755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45755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45755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45755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45755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45755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45755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45755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45755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45755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45755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45755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45755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45755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45755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45755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45755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45755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45755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45755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45755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45755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45755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45755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45755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45755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45755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45755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45755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45755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45755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45755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45755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45755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45755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45755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45755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45755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45755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45755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45755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45755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45755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45755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45755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45755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45755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45755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45755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45755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45755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45755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45755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45755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45755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45755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45755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45755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45755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45755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45755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45755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45755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45755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45755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45755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45755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45755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45755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45755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45755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45755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45755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45755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45755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45755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45755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45755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45755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45755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45755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45755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45755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45755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45755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45755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45755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45755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45755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45755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45755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45755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45755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45755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45755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45755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45755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45755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45755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45755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45755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45755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45755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45755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45755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45755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45755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45755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45755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45755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45755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45755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45755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45755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45755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45755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45755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45755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45755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45755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45755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45755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45755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45755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45755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45755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45755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45755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45755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45755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45755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45755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45755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45755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45755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45755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45755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45755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45755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45755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45755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45755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45755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45755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45755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45755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45755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45755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45755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45755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45755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45755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45755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45755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45755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45755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45755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45755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45755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45755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45755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45755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45755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45755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45755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45755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45755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45755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45755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45755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45755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45755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45755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45755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45755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45755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45755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45755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45755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45755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45755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45755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45755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45755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45755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45755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45755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45755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45755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45755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45755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45755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45755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45755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45755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45755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45755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45755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45755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45755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45755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45755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45755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45755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45755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45755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45755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45755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45755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45755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45755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45755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45755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45755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45755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45755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45755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45755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45755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45755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45755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45755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45755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45755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45755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45755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45755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45755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45755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45755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45755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45755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45755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45755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45755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45755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45755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45755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45755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45755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45755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45755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45755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45755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45755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45755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45755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45755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45755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45755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45755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45755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45755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45755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45755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45755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45755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45755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45755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45755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45755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45755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45755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45755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45755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45755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45755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45755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45755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45755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45755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45755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45755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45755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45755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45755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45755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45755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45755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45755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45755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45755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45755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45755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45755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45755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45755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45755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45755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45755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45755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45755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45755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45755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45755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45755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45755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45755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45755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45755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45755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45755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45755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45755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45755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45755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45755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45755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45755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45755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45755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45755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45755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45755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45755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45755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45755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45755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45755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45755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45755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45755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45755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45755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45755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45755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45755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45755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45755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45755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45755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45755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45755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45755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45755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45755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45755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45755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45755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45755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45755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45755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45755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45755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45755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45755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45755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45755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45755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45755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45755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45755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45755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45755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45755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45755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45755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45755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45755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45755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45755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45755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45755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45755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45755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45755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45755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45755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45755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45755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45755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45755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45755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45755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45755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45755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45755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45755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45755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45755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45755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45755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45755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45755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45755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45755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45755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45755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45755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45755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45755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45755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45755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45755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45755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45755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45755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45755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45755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45755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45755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45755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45755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45755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45755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45755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45755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45755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45755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45755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45755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45755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45755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45755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45755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45755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45755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45755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45755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45755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45755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45755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45755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45755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45755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45755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45755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45755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45755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45755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45755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45755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45755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45755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45755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45755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45755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45755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45755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45755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45755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45755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45755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45755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45755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45755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45755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45755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45755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45755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45755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45755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45755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45755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45755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45755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45755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45755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45755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45755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45755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45755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45755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45755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45755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45755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45755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45755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45755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45755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45755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45755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45755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45755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45755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45755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45755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45755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45755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45755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45755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45755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45755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45755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45755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45755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45755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45755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45755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45755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45755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45755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45755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45755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45755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45755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45755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45755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45755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45755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45755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45755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45755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45755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45755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45755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45755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45755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45755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45755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45755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45755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45755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45755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45755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45755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45755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45755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45755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45755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45755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45755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45755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45755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45755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45755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45755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45755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45755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45755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45755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45755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45755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45755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45755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45755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45755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45755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45755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45755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45755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45755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45755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45755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45755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45755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45755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45755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45755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45755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45755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45755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45755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45755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45755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45755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45755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45755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45755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45755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45755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45755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45755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45755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45755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45755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45755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45755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45755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45755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45755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45755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45755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45755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45755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45755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45755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45755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45755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45755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45755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45755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45755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45755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45755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45755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45755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45755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45755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45755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45755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45755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45755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45755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45755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45755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45755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45755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45755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45755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45755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45755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45755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45755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45755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45755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45755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45755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45755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45755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45755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45755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45755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45755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45755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45755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45755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45755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45755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45755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45755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45755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45755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45755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45755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45755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45755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45755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45755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45755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45755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45755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45755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45755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45755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45755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45755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45755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45755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45755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45755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45755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45755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45755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45755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45755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45755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45755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45755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45755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45755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45755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45755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45755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45755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45755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45755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45755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45755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45755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45755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45755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45755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45755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45755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45755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45755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45755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45755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45755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45755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45755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45755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45755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45755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45755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45755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45755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45755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45755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45755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45755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45755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45755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45755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45755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45755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45755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45755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45755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45755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45755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45755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45755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45755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45755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45755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45755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45755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45755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45755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45755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45755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45755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45755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45755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45755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45755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45755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45755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45755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45755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45755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45755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45755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45755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45755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45755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45755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45755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45755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45755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45755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45755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45755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45755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45755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45755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45755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45755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45755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45755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45755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45755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45755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45755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45755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45755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45755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45755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45755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45755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45755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45755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45755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45755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45755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45755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45755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45755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45755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45755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45755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45755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45755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45755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45755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45755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45755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45755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45755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45755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45755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45755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45755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45755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45755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45755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45755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45755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45755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45755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45755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45755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45755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45755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45755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45755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45755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45755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45755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45755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45755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45755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45755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45755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45755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45755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45755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45755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45755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45755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45755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45755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45755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45755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45755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45755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45755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45755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45755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45755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45755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45755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45755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45755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45755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45755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45755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45755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45755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45755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45755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45755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45755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45755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45755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45755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45755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45755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45755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45755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45755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45755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45755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45755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45755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45755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45755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45755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45755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45755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45755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45755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45755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45755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45755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45755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45755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45755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45755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45755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45755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45755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45755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45755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45755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45755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45755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45755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45755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45755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45755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45755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45755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45755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45755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45755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45755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45755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45755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45755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45755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45755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45755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45755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45755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45755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45755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45755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45755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45755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45755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45755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45755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45755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45755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45755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45755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45755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45755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45755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45755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45755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45755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45755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45755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45755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45755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45755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45755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45755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45755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45755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45755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45755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45755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45755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45755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45755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45755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45755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45755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45755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45755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45755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45755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45755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45755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45755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45755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45755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45755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45755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45755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45755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45755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45755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45755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45755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45755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45755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45755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45755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45755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45755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45755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45755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45755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45755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45755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45755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45755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45755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45755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45755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45755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45755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45755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45755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45755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45755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45755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45755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45755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45755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45755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45755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45755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45755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45755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45755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45755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45755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45755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45755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45755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45755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45755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45755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45755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45755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45755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45755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45755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45755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45755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45755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45755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45755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45755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45755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45755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45755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45755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45755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45755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45755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45755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45755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45755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45755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45755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45755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45755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45755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45755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45755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45755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45755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45755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45755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45755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45755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45755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45755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45755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45755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45755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45755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45755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45755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45755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45755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45755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45755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45755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45755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45755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45755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45755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45755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45755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45755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45755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45755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45755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45755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45755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45755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45755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45755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45755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45755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45755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45755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45755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45755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45755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45755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45755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45755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45755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45755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45755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45755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45755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45755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45755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45755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45755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45755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45755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45755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45755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45755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45755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45755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45755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45755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45755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45755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45755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45755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45755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45755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45755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45755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45755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45755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45755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45755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45755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45755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45755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45755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45755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45755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45755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45755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45755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45755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45755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45755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45755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45755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45755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45755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45755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45755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45755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45755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45755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45755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45755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45755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45755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45755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45755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45755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45755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45755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45755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45755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45755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45755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45755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45755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45755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45755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45755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45755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45755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45755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45755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45755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45755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45755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45755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45755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45755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45755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45755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45755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45755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45755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45755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45755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45755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45755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45755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45755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45755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45755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45755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45755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45755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45755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45755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45755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45755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45755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45755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45755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45755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45755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45755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45755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45755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45755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45755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45755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45755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45755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45755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45755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45755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45755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45755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45755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45755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45755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45755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45755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45755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45755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45755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45755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45755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45755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45755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45755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45755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45755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45755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45755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45755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45755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45755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45755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45755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45755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45755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45755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45755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45755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45755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45755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45755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45755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45755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45755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45755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45755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45755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45755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45755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45755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45755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45755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45755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45755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45755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45755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45755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45755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45755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45755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45755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45755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45755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45755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45755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45755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45755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45755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45755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45755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45755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45755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45755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45755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45755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45755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45755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45755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45755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45755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45755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45755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45755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45755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45755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45755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45755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45755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45755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45755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45755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45755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45755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45755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45755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45755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45755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45755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45755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45755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45755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45755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45755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45755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45755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45755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45755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45755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45755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45755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45755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14098-2025</t>
        </is>
      </c>
      <c r="B2243" s="1" t="n">
        <v>45740</v>
      </c>
      <c r="C2243" s="1" t="n">
        <v>45755</v>
      </c>
      <c r="D2243" t="inlineStr">
        <is>
          <t>GÄVLEBORGS LÄN</t>
        </is>
      </c>
      <c r="E2243" t="inlineStr">
        <is>
          <t>HUDIKSVALL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14059-2025</t>
        </is>
      </c>
      <c r="B2244" s="1" t="n">
        <v>45740</v>
      </c>
      <c r="C2244" s="1" t="n">
        <v>45755</v>
      </c>
      <c r="D2244" t="inlineStr">
        <is>
          <t>GÄVLEBORGS LÄN</t>
        </is>
      </c>
      <c r="E2244" t="inlineStr">
        <is>
          <t>HUDIKSVALL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14088-2025</t>
        </is>
      </c>
      <c r="B2245" s="1" t="n">
        <v>45740</v>
      </c>
      <c r="C2245" s="1" t="n">
        <v>45755</v>
      </c>
      <c r="D2245" t="inlineStr">
        <is>
          <t>GÄVLEBORGS LÄN</t>
        </is>
      </c>
      <c r="E2245" t="inlineStr">
        <is>
          <t>HUDIKSVALL</t>
        </is>
      </c>
      <c r="G2245" t="n">
        <v>12.8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45755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45755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45755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45755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45755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45755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15977-2025</t>
        </is>
      </c>
      <c r="B2252" s="1" t="n">
        <v>45749</v>
      </c>
      <c r="C2252" s="1" t="n">
        <v>45755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15981-2025</t>
        </is>
      </c>
      <c r="B2253" s="1" t="n">
        <v>45749</v>
      </c>
      <c r="C2253" s="1" t="n">
        <v>45755</v>
      </c>
      <c r="D2253" t="inlineStr">
        <is>
          <t>GÄVLEBORGS LÄN</t>
        </is>
      </c>
      <c r="E2253" t="inlineStr">
        <is>
          <t>HUDIKSVALL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16070-2025</t>
        </is>
      </c>
      <c r="B2254" s="1" t="n">
        <v>45749</v>
      </c>
      <c r="C2254" s="1" t="n">
        <v>45755</v>
      </c>
      <c r="D2254" t="inlineStr">
        <is>
          <t>GÄVLEBORGS LÄN</t>
        </is>
      </c>
      <c r="E2254" t="inlineStr">
        <is>
          <t>HUDIKSVALL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15985-2025</t>
        </is>
      </c>
      <c r="B2255" s="1" t="n">
        <v>45749</v>
      </c>
      <c r="C2255" s="1" t="n">
        <v>45755</v>
      </c>
      <c r="D2255" t="inlineStr">
        <is>
          <t>GÄVLEBORGS LÄN</t>
        </is>
      </c>
      <c r="E2255" t="inlineStr">
        <is>
          <t>HUDIKSVALL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15963-2025</t>
        </is>
      </c>
      <c r="B2256" s="1" t="n">
        <v>45749</v>
      </c>
      <c r="C2256" s="1" t="n">
        <v>45755</v>
      </c>
      <c r="D2256" t="inlineStr">
        <is>
          <t>GÄVLEBORGS LÄN</t>
        </is>
      </c>
      <c r="E2256" t="inlineStr">
        <is>
          <t>HUDIKSVALL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15964-2025</t>
        </is>
      </c>
      <c r="B2257" s="1" t="n">
        <v>45749</v>
      </c>
      <c r="C2257" s="1" t="n">
        <v>45755</v>
      </c>
      <c r="D2257" t="inlineStr">
        <is>
          <t>GÄVLEBORGS LÄN</t>
        </is>
      </c>
      <c r="E2257" t="inlineStr">
        <is>
          <t>HUDIKSVALL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45755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16497-2025</t>
        </is>
      </c>
      <c r="B2259" s="1" t="n">
        <v>45751</v>
      </c>
      <c r="C2259" s="1" t="n">
        <v>45755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16745-2025</t>
        </is>
      </c>
      <c r="B2260" s="1" t="n">
        <v>45754</v>
      </c>
      <c r="C2260" s="1" t="n">
        <v>45755</v>
      </c>
      <c r="D2260" t="inlineStr">
        <is>
          <t>GÄVLEBORGS LÄN</t>
        </is>
      </c>
      <c r="E2260" t="inlineStr">
        <is>
          <t>HUDIKSVALL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>
      <c r="A2261" t="inlineStr">
        <is>
          <t>A 16736-2025</t>
        </is>
      </c>
      <c r="B2261" s="1" t="n">
        <v>45754</v>
      </c>
      <c r="C2261" s="1" t="n">
        <v>45755</v>
      </c>
      <c r="D2261" t="inlineStr">
        <is>
          <t>GÄVLEBORGS LÄN</t>
        </is>
      </c>
      <c r="E2261" t="inlineStr">
        <is>
          <t>HUDIKSVALL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2025-04-08T16:45:39Z</dcterms:created>
  <dcterms:modified xmlns:dcterms="http://purl.org/dc/terms/" xmlns:xsi="http://www.w3.org/2001/XMLSchema-instance" xsi:type="dcterms:W3CDTF">2025-04-08T16:45:41Z</dcterms:modified>
</cp:coreProperties>
</file>