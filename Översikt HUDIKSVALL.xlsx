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46303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46303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46303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46303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46303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46303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46303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46303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46303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46303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46303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46303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46303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19432-2025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46303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10.4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19432-2025 artfynd.xlsx", "A 19432-2025")</f>
        <v/>
      </c>
      <c r="X19">
        <f>HYPERLINK("https://klasma.github.io/Logging_2184/kartor/A 19432-2025 karta.png", "A 19432-2025")</f>
        <v/>
      </c>
      <c r="Y19">
        <f>HYPERLINK("https://klasma.github.io/Logging_2184/kartor_geotiff/A 19432-2025 georefererad karta.tif", "A 19432-2025")</f>
        <v/>
      </c>
      <c r="AA19">
        <f>HYPERLINK("https://klasma.github.io/Logging_2184/klagomål/A 19432-2025 FSC-klagomål.docx", "A 19432-2025")</f>
        <v/>
      </c>
      <c r="AB19">
        <f>HYPERLINK("https://klasma.github.io/Logging_2184/klagomålsmail/A 19432-2025 FSC-klagomål mail.docx", "A 19432-2025")</f>
        <v/>
      </c>
      <c r="AC19">
        <f>HYPERLINK("https://klasma.github.io/Logging_2184/tillsyn/A 19432-2025 tillsynsbegäran.docx", "A 19432-2025")</f>
        <v/>
      </c>
      <c r="AD19">
        <f>HYPERLINK("https://klasma.github.io/Logging_2184/tillsynsmail/A 19432-2025 tillsynsbegäran mail.docx", "A 19432-2025")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46303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46303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46303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46303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46303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46303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46303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46303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46303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46303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46303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46303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46303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8376-2026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46303</v>
      </c>
      <c r="F33" t="inlineStr">
        <is>
          <t>GÄVLEBORGS LÄN</t>
        </is>
      </c>
      <c r="G33" t="inlineStr">
        <is>
          <t>HUDIKSVALL</t>
        </is>
      </c>
      <c r="I33" t="n">
        <v>32.4</v>
      </c>
      <c r="J33" t="n">
        <v>2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Ullticka
Skogsknipprot
Stor aspticka
Fläcknycklar</t>
        </is>
      </c>
      <c r="W33">
        <f>HYPERLINK("https://klasma.github.io/Logging_2184/artfynd/A 8376-2026 artfynd.xlsx", "A 8376-2026")</f>
        <v/>
      </c>
      <c r="X33">
        <f>HYPERLINK("https://klasma.github.io/Logging_2184/kartor/A 8376-2026 karta.png", "A 8376-2026")</f>
        <v/>
      </c>
      <c r="Y33">
        <f>HYPERLINK("https://klasma.github.io/Logging_2184/kartor_geotiff/A 8376-2026 georefererad karta.tif", "A 8376-2026")</f>
        <v/>
      </c>
      <c r="AA33">
        <f>HYPERLINK("https://klasma.github.io/Logging_2184/klagomål/A 8376-2026 FSC-klagomål.docx", "A 8376-2026")</f>
        <v/>
      </c>
      <c r="AB33">
        <f>HYPERLINK("https://klasma.github.io/Logging_2184/klagomålsmail/A 8376-2026 FSC-klagomål mail.docx", "A 8376-2026")</f>
        <v/>
      </c>
      <c r="AC33">
        <f>HYPERLINK("https://klasma.github.io/Logging_2184/tillsyn/A 8376-2026 tillsynsbegäran.docx", "A 8376-2026")</f>
        <v/>
      </c>
      <c r="AD33">
        <f>HYPERLINK("https://klasma.github.io/Logging_2184/tillsynsmail/A 8376-2026 tillsynsbegäran mail.docx", "A 8376-2026")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46303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55280-2022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44887</v>
      </c>
      <c r="E35" s="1" t="n">
        <v>46303</v>
      </c>
      <c r="F35" t="inlineStr">
        <is>
          <t>GÄVLEBORGS LÄN</t>
        </is>
      </c>
      <c r="G35" t="inlineStr">
        <is>
          <t>HUDIKSVALL</t>
        </is>
      </c>
      <c r="H35" t="inlineStr">
        <is>
          <t>Holmen skog AB</t>
        </is>
      </c>
      <c r="I35" t="n">
        <v>3.3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Ullticka
Veckticka
Vedtrappmossa
Korallblylav</t>
        </is>
      </c>
      <c r="W35">
        <f>HYPERLINK("https://klasma.github.io/Logging_2184/artfynd/A 55280-2022 artfynd.xlsx", "A 55280-2022")</f>
        <v/>
      </c>
      <c r="X35">
        <f>HYPERLINK("https://klasma.github.io/Logging_2184/kartor/A 55280-2022 karta.png", "A 55280-2022")</f>
        <v/>
      </c>
      <c r="Y35">
        <f>HYPERLINK("https://klasma.github.io/Logging_2184/kartor_geotiff/A 55280-2022 georefererad karta.tif", "A 55280-2022")</f>
        <v/>
      </c>
      <c r="AA35">
        <f>HYPERLINK("https://klasma.github.io/Logging_2184/klagomål/A 55280-2022 FSC-klagomål.docx", "A 55280-2022")</f>
        <v/>
      </c>
      <c r="AB35">
        <f>HYPERLINK("https://klasma.github.io/Logging_2184/klagomålsmail/A 55280-2022 FSC-klagomål mail.docx", "A 55280-2022")</f>
        <v/>
      </c>
      <c r="AC35">
        <f>HYPERLINK("https://klasma.github.io/Logging_2184/tillsyn/A 55280-2022 tillsynsbegäran.docx", "A 55280-2022")</f>
        <v/>
      </c>
      <c r="AD35">
        <f>HYPERLINK("https://klasma.github.io/Logging_2184/tillsynsmail/A 55280-2022 tillsynsbegäran mail.docx", "A 55280-2022")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46303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46303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46303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46303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46303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46303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46303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46303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46303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46303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46303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46303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46303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46303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22261-2024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46303</v>
      </c>
      <c r="F51" t="inlineStr">
        <is>
          <t>GÄVLEBORGS LÄN</t>
        </is>
      </c>
      <c r="G51" t="inlineStr">
        <is>
          <t>HUDIKSVALL</t>
        </is>
      </c>
      <c r="I51" t="n">
        <v>7.6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4</v>
      </c>
      <c r="V51" s="2" t="inlineStr">
        <is>
          <t>Knärot
Dropptaggsvamp</t>
        </is>
      </c>
      <c r="W51">
        <f>HYPERLINK("https://klasma.github.io/Logging_2184/artfynd/A 22261-2024 artfynd.xlsx", "A 22261-2024")</f>
        <v/>
      </c>
      <c r="X51">
        <f>HYPERLINK("https://klasma.github.io/Logging_2184/kartor/A 22261-2024 karta.png", "A 22261-2024")</f>
        <v/>
      </c>
      <c r="Y51">
        <f>HYPERLINK("https://klasma.github.io/Logging_2184/kartor_geotiff/A 22261-2024 georefererad karta.tif", "A 22261-2024")</f>
        <v/>
      </c>
      <c r="Z51">
        <f>HYPERLINK("https://klasma.github.io/Logging_2184/knärot/A 22261-2024 karta knärot.png", "A 22261-2024")</f>
        <v/>
      </c>
      <c r="AA51">
        <f>HYPERLINK("https://klasma.github.io/Logging_2184/klagomål/A 22261-2024 FSC-klagomål.docx", "A 22261-2024")</f>
        <v/>
      </c>
      <c r="AB51">
        <f>HYPERLINK("https://klasma.github.io/Logging_2184/klagomålsmail/A 22261-2024 FSC-klagomål mail.docx", "A 22261-2024")</f>
        <v/>
      </c>
      <c r="AC51">
        <f>HYPERLINK("https://klasma.github.io/Logging_2184/tillsyn/A 22261-2024 tillsynsbegäran.docx", "A 22261-2024")</f>
        <v/>
      </c>
      <c r="AD51">
        <f>HYPERLINK("https://klasma.github.io/Logging_2184/tillsynsmail/A 22261-2024 tillsynsbegäran mail.docx", "A 22261-2024")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46303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46303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46303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13332-2026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46303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Bågpraktmossa
Vanlig rörsvepemossa</t>
        </is>
      </c>
      <c r="W55">
        <f>HYPERLINK("https://klasma.github.io/Logging_2184/artfynd/A 13332-2026 artfynd.xlsx", "A 13332-2026")</f>
        <v/>
      </c>
      <c r="X55">
        <f>HYPERLINK("https://klasma.github.io/Logging_2184/kartor/A 13332-2026 karta.png", "A 13332-2026")</f>
        <v/>
      </c>
      <c r="Y55">
        <f>HYPERLINK("https://klasma.github.io/Logging_2184/kartor_geotiff/A 13332-2026 georefererad karta.tif", "A 13332-2026")</f>
        <v/>
      </c>
      <c r="AA55">
        <f>HYPERLINK("https://klasma.github.io/Logging_2184/klagomål/A 13332-2026 FSC-klagomål.docx", "A 13332-2026")</f>
        <v/>
      </c>
      <c r="AB55">
        <f>HYPERLINK("https://klasma.github.io/Logging_2184/klagomålsmail/A 13332-2026 FSC-klagomål mail.docx", "A 13332-2026")</f>
        <v/>
      </c>
      <c r="AC55">
        <f>HYPERLINK("https://klasma.github.io/Logging_2184/tillsyn/A 13332-2026 tillsynsbegäran.docx", "A 13332-2026")</f>
        <v/>
      </c>
      <c r="AD55">
        <f>HYPERLINK("https://klasma.github.io/Logging_2184/tillsynsmail/A 13332-2026 tillsynsbegäran mail.docx", "A 13332-2026")</f>
        <v/>
      </c>
    </row>
    <row r="56" ht="15" customHeight="1">
      <c r="A56" t="inlineStr">
        <is>
          <t>A 20884-2026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46303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Knärot
Ullticka</t>
        </is>
      </c>
      <c r="W56">
        <f>HYPERLINK("https://klasma.github.io/Logging_2184/artfynd/A 20884-2026 artfynd.xlsx", "A 20884-2026")</f>
        <v/>
      </c>
      <c r="X56">
        <f>HYPERLINK("https://klasma.github.io/Logging_2184/kartor/A 20884-2026 karta.png", "A 20884-2026")</f>
        <v/>
      </c>
      <c r="Y56">
        <f>HYPERLINK("https://klasma.github.io/Logging_2184/kartor_geotiff/A 20884-2026 georefererad karta.tif", "A 20884-2026")</f>
        <v/>
      </c>
      <c r="Z56">
        <f>HYPERLINK("https://klasma.github.io/Logging_2184/knärot/A 20884-2026 karta knärot.png", "A 20884-2026")</f>
        <v/>
      </c>
      <c r="AA56">
        <f>HYPERLINK("https://klasma.github.io/Logging_2184/klagomål/A 20884-2026 FSC-klagomål.docx", "A 20884-2026")</f>
        <v/>
      </c>
      <c r="AB56">
        <f>HYPERLINK("https://klasma.github.io/Logging_2184/klagomålsmail/A 20884-2026 FSC-klagomål mail.docx", "A 20884-2026")</f>
        <v/>
      </c>
      <c r="AC56">
        <f>HYPERLINK("https://klasma.github.io/Logging_2184/tillsyn/A 20884-2026 tillsynsbegäran.docx", "A 20884-2026")</f>
        <v/>
      </c>
      <c r="AD56">
        <f>HYPERLINK("https://klasma.github.io/Logging_2184/tillsynsmail/A 20884-2026 tillsynsbegäran mail.docx", "A 20884-2026")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46303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46303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46303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6241-2026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46303</v>
      </c>
      <c r="F60" t="inlineStr">
        <is>
          <t>GÄVLEBORGS LÄN</t>
        </is>
      </c>
      <c r="G60" t="inlineStr">
        <is>
          <t>HUDIKSVALL</t>
        </is>
      </c>
      <c r="I60" t="n">
        <v>3.3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Platt spretmossa</t>
        </is>
      </c>
      <c r="W60">
        <f>HYPERLINK("https://klasma.github.io/Logging_2184/artfynd/A 6241-2026 artfynd.xlsx", "A 6241-2026")</f>
        <v/>
      </c>
      <c r="X60">
        <f>HYPERLINK("https://klasma.github.io/Logging_2184/kartor/A 6241-2026 karta.png", "A 6241-2026")</f>
        <v/>
      </c>
      <c r="Y60">
        <f>HYPERLINK("https://klasma.github.io/Logging_2184/kartor_geotiff/A 6241-2026 georefererad karta.tif", "A 6241-2026")</f>
        <v/>
      </c>
      <c r="Z60">
        <f>HYPERLINK("https://klasma.github.io/Logging_2184/knärot/A 6241-2026 karta knärot.png", "A 6241-2026")</f>
        <v/>
      </c>
      <c r="AA60">
        <f>HYPERLINK("https://klasma.github.io/Logging_2184/klagomål/A 6241-2026 FSC-klagomål.docx", "A 6241-2026")</f>
        <v/>
      </c>
      <c r="AB60">
        <f>HYPERLINK("https://klasma.github.io/Logging_2184/klagomålsmail/A 6241-2026 FSC-klagomål mail.docx", "A 6241-2026")</f>
        <v/>
      </c>
      <c r="AC60">
        <f>HYPERLINK("https://klasma.github.io/Logging_2184/tillsyn/A 6241-2026 tillsynsbegäran.docx", "A 6241-2026")</f>
        <v/>
      </c>
      <c r="AD60">
        <f>HYPERLINK("https://klasma.github.io/Logging_2184/tillsynsmail/A 6241-2026 tillsynsbegäran mail.docx", "A 6241-2026")</f>
        <v/>
      </c>
    </row>
    <row r="61" ht="15" customHeight="1">
      <c r="A61" t="inlineStr">
        <is>
          <t>A 9598-2026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46303</v>
      </c>
      <c r="F61" t="inlineStr">
        <is>
          <t>GÄVLEBORGS LÄN</t>
        </is>
      </c>
      <c r="G61" t="inlineStr">
        <is>
          <t>HUDIKSVALL</t>
        </is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Strutbräken
Tibast</t>
        </is>
      </c>
      <c r="W61">
        <f>HYPERLINK("https://klasma.github.io/Logging_2184/artfynd/A 9598-2026 artfynd.xlsx", "A 9598-2026")</f>
        <v/>
      </c>
      <c r="X61">
        <f>HYPERLINK("https://klasma.github.io/Logging_2184/kartor/A 9598-2026 karta.png", "A 9598-2026")</f>
        <v/>
      </c>
      <c r="Y61">
        <f>HYPERLINK("https://klasma.github.io/Logging_2184/kartor_geotiff/A 9598-2026 georefererad karta.tif", "A 9598-2026")</f>
        <v/>
      </c>
      <c r="AA61">
        <f>HYPERLINK("https://klasma.github.io/Logging_2184/klagomål/A 9598-2026 FSC-klagomål.docx", "A 9598-2026")</f>
        <v/>
      </c>
      <c r="AB61">
        <f>HYPERLINK("https://klasma.github.io/Logging_2184/klagomålsmail/A 9598-2026 FSC-klagomål mail.docx", "A 9598-2026")</f>
        <v/>
      </c>
      <c r="AC61">
        <f>HYPERLINK("https://klasma.github.io/Logging_2184/tillsyn/A 9598-2026 tillsynsbegäran.docx", "A 9598-2026")</f>
        <v/>
      </c>
      <c r="AD61">
        <f>HYPERLINK("https://klasma.github.io/Logging_2184/tillsynsmail/A 9598-2026 tillsynsbegäran mail.docx", "A 9598-2026")</f>
        <v/>
      </c>
    </row>
    <row r="62" ht="15" customHeight="1">
      <c r="A62" t="inlineStr">
        <is>
          <t>A 28066-2026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46303</v>
      </c>
      <c r="F62" t="inlineStr">
        <is>
          <t>GÄVLEBORGS LÄN</t>
        </is>
      </c>
      <c r="G62" t="inlineStr">
        <is>
          <t>HUDIKSVALL</t>
        </is>
      </c>
      <c r="H62" t="inlineStr">
        <is>
          <t>Kommuner</t>
        </is>
      </c>
      <c r="I62" t="n">
        <v>4.4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Gulsparv
Grönsiska</t>
        </is>
      </c>
      <c r="W62">
        <f>HYPERLINK("https://klasma.github.io/Logging_2184/artfynd/A 28066-2026 artfynd.xlsx", "A 28066-2026")</f>
        <v/>
      </c>
      <c r="X62">
        <f>HYPERLINK("https://klasma.github.io/Logging_2184/kartor/A 28066-2026 karta.png", "A 28066-2026")</f>
        <v/>
      </c>
      <c r="Y62">
        <f>HYPERLINK("https://klasma.github.io/Logging_2184/kartor_geotiff/A 28066-2026 georefererad karta.tif", "A 28066-2026")</f>
        <v/>
      </c>
      <c r="AA62">
        <f>HYPERLINK("https://klasma.github.io/Logging_2184/klagomål/A 28066-2026 FSC-klagomål.docx", "A 28066-2026")</f>
        <v/>
      </c>
      <c r="AB62">
        <f>HYPERLINK("https://klasma.github.io/Logging_2184/klagomålsmail/A 28066-2026 FSC-klagomål mail.docx", "A 28066-2026")</f>
        <v/>
      </c>
      <c r="AC62">
        <f>HYPERLINK("https://klasma.github.io/Logging_2184/tillsyn/A 28066-2026 tillsynsbegäran.docx", "A 28066-2026")</f>
        <v/>
      </c>
      <c r="AD62">
        <f>HYPERLINK("https://klasma.github.io/Logging_2184/tillsynsmail/A 28066-2026 tillsynsbegäran mail.docx", "A 28066-2026")</f>
        <v/>
      </c>
      <c r="AE62">
        <f>HYPERLINK("https://klasma.github.io/Logging_2184/fåglar/A 28066-2026 prioriterade fågelarter.docx", "A 28066-2026")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46303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14353-2026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46303</v>
      </c>
      <c r="F64" t="inlineStr">
        <is>
          <t>GÄVLEBORGS LÄN</t>
        </is>
      </c>
      <c r="G64" t="inlineStr">
        <is>
          <t>HUDIKSVALL</t>
        </is>
      </c>
      <c r="I64" t="n">
        <v>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Blanksvart spiklav
Vedticka</t>
        </is>
      </c>
      <c r="W64">
        <f>HYPERLINK("https://klasma.github.io/Logging_2184/artfynd/A 14353-2026 artfynd.xlsx", "A 14353-2026")</f>
        <v/>
      </c>
      <c r="X64">
        <f>HYPERLINK("https://klasma.github.io/Logging_2184/kartor/A 14353-2026 karta.png", "A 14353-2026")</f>
        <v/>
      </c>
      <c r="Y64">
        <f>HYPERLINK("https://klasma.github.io/Logging_2184/kartor_geotiff/A 14353-2026 georefererad karta.tif", "A 14353-2026")</f>
        <v/>
      </c>
      <c r="AA64">
        <f>HYPERLINK("https://klasma.github.io/Logging_2184/klagomål/A 14353-2026 FSC-klagomål.docx", "A 14353-2026")</f>
        <v/>
      </c>
      <c r="AB64">
        <f>HYPERLINK("https://klasma.github.io/Logging_2184/klagomålsmail/A 14353-2026 FSC-klagomål mail.docx", "A 14353-2026")</f>
        <v/>
      </c>
      <c r="AC64">
        <f>HYPERLINK("https://klasma.github.io/Logging_2184/tillsyn/A 14353-2026 tillsynsbegäran.docx", "A 14353-2026")</f>
        <v/>
      </c>
      <c r="AD64">
        <f>HYPERLINK("https://klasma.github.io/Logging_2184/tillsynsmail/A 14353-2026 tillsynsbegäran mail.docx", "A 14353-2026")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46303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17222-2026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46303</v>
      </c>
      <c r="F66" t="inlineStr">
        <is>
          <t>GÄVLEBORGS LÄN</t>
        </is>
      </c>
      <c r="G66" t="inlineStr">
        <is>
          <t>HUDIKSVALL</t>
        </is>
      </c>
      <c r="I66" t="n">
        <v>33.9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Blåsippa
Revlummer</t>
        </is>
      </c>
      <c r="W66">
        <f>HYPERLINK("https://klasma.github.io/Logging_2184/artfynd/A 17222-2026 artfynd.xlsx", "A 17222-2026")</f>
        <v/>
      </c>
      <c r="X66">
        <f>HYPERLINK("https://klasma.github.io/Logging_2184/kartor/A 17222-2026 karta.png", "A 17222-2026")</f>
        <v/>
      </c>
      <c r="Y66">
        <f>HYPERLINK("https://klasma.github.io/Logging_2184/kartor_geotiff/A 17222-2026 georefererad karta.tif", "A 17222-2026")</f>
        <v/>
      </c>
      <c r="AA66">
        <f>HYPERLINK("https://klasma.github.io/Logging_2184/klagomål/A 17222-2026 FSC-klagomål.docx", "A 17222-2026")</f>
        <v/>
      </c>
      <c r="AB66">
        <f>HYPERLINK("https://klasma.github.io/Logging_2184/klagomålsmail/A 17222-2026 FSC-klagomål mail.docx", "A 17222-2026")</f>
        <v/>
      </c>
      <c r="AC66">
        <f>HYPERLINK("https://klasma.github.io/Logging_2184/tillsyn/A 17222-2026 tillsynsbegäran.docx", "A 17222-2026")</f>
        <v/>
      </c>
      <c r="AD66">
        <f>HYPERLINK("https://klasma.github.io/Logging_2184/tillsynsmail/A 17222-2026 tillsynsbegäran mail.docx", "A 17222-2026")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46303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46303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46303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46303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46303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46303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46303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8157-2025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46303</v>
      </c>
      <c r="F74" t="inlineStr">
        <is>
          <t>GÄVLEBORGS LÄN</t>
        </is>
      </c>
      <c r="G74" t="inlineStr">
        <is>
          <t>HUDIKSVALL</t>
        </is>
      </c>
      <c r="I74" t="n">
        <v>7.7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Fläcknycklar</t>
        </is>
      </c>
      <c r="W74">
        <f>HYPERLINK("https://klasma.github.io/Logging_2184/artfynd/A 8157-2025 artfynd.xlsx", "A 8157-2025")</f>
        <v/>
      </c>
      <c r="X74">
        <f>HYPERLINK("https://klasma.github.io/Logging_2184/kartor/A 8157-2025 karta.png", "A 8157-2025")</f>
        <v/>
      </c>
      <c r="Y74">
        <f>HYPERLINK("https://klasma.github.io/Logging_2184/kartor_geotiff/A 8157-2025 georefererad karta.tif", "A 8157-2025")</f>
        <v/>
      </c>
      <c r="AA74">
        <f>HYPERLINK("https://klasma.github.io/Logging_2184/klagomål/A 8157-2025 FSC-klagomål.docx", "A 8157-2025")</f>
        <v/>
      </c>
      <c r="AB74">
        <f>HYPERLINK("https://klasma.github.io/Logging_2184/klagomålsmail/A 8157-2025 FSC-klagomål mail.docx", "A 8157-2025")</f>
        <v/>
      </c>
      <c r="AC74">
        <f>HYPERLINK("https://klasma.github.io/Logging_2184/tillsyn/A 8157-2025 tillsynsbegäran.docx", "A 8157-2025")</f>
        <v/>
      </c>
      <c r="AD74">
        <f>HYPERLINK("https://klasma.github.io/Logging_2184/tillsynsmail/A 8157-2025 tillsynsbegäran mail.docx", "A 8157-2025")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46303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46303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46303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53015-2024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45611</v>
      </c>
      <c r="E78" s="1" t="n">
        <v>46303</v>
      </c>
      <c r="F78" t="inlineStr">
        <is>
          <t>GÄVLEBORGS LÄN</t>
        </is>
      </c>
      <c r="G78" t="inlineStr">
        <is>
          <t>HUDIKSVALL</t>
        </is>
      </c>
      <c r="I78" t="n">
        <v>21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Stuplav</t>
        </is>
      </c>
      <c r="W78">
        <f>HYPERLINK("https://klasma.github.io/Logging_2184/artfynd/A 53015-2024 artfynd.xlsx", "A 53015-2024")</f>
        <v/>
      </c>
      <c r="X78">
        <f>HYPERLINK("https://klasma.github.io/Logging_2184/kartor/A 53015-2024 karta.png", "A 53015-2024")</f>
        <v/>
      </c>
      <c r="Y78">
        <f>HYPERLINK("https://klasma.github.io/Logging_2184/kartor_geotiff/A 53015-2024 georefererad karta.tif", "A 53015-2024")</f>
        <v/>
      </c>
      <c r="AA78">
        <f>HYPERLINK("https://klasma.github.io/Logging_2184/klagomål/A 53015-2024 FSC-klagomål.docx", "A 53015-2024")</f>
        <v/>
      </c>
      <c r="AB78">
        <f>HYPERLINK("https://klasma.github.io/Logging_2184/klagomålsmail/A 53015-2024 FSC-klagomål mail.docx", "A 53015-2024")</f>
        <v/>
      </c>
      <c r="AC78">
        <f>HYPERLINK("https://klasma.github.io/Logging_2184/tillsyn/A 53015-2024 tillsynsbegäran.docx", "A 53015-2024")</f>
        <v/>
      </c>
      <c r="AD78">
        <f>HYPERLINK("https://klasma.github.io/Logging_2184/tillsynsmail/A 53015-2024 tillsynsbegäran mail.docx", "A 53015-2024")</f>
        <v/>
      </c>
    </row>
    <row r="79" ht="15" customHeight="1">
      <c r="A79" t="inlineStr">
        <is>
          <t>A 55445-2024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46303</v>
      </c>
      <c r="F79" t="inlineStr">
        <is>
          <t>GÄVLEBORGS LÄN</t>
        </is>
      </c>
      <c r="G79" t="inlineStr">
        <is>
          <t>HUDIKSVALL</t>
        </is>
      </c>
      <c r="I79" t="n">
        <v>7.2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Spädstarr</t>
        </is>
      </c>
      <c r="W79">
        <f>HYPERLINK("https://klasma.github.io/Logging_2184/artfynd/A 55445-2024 artfynd.xlsx", "A 55445-2024")</f>
        <v/>
      </c>
      <c r="X79">
        <f>HYPERLINK("https://klasma.github.io/Logging_2184/kartor/A 55445-2024 karta.png", "A 55445-2024")</f>
        <v/>
      </c>
      <c r="Y79">
        <f>HYPERLINK("https://klasma.github.io/Logging_2184/kartor_geotiff/A 55445-2024 georefererad karta.tif", "A 55445-2024")</f>
        <v/>
      </c>
      <c r="AA79">
        <f>HYPERLINK("https://klasma.github.io/Logging_2184/klagomål/A 55445-2024 FSC-klagomål.docx", "A 55445-2024")</f>
        <v/>
      </c>
      <c r="AB79">
        <f>HYPERLINK("https://klasma.github.io/Logging_2184/klagomålsmail/A 55445-2024 FSC-klagomål mail.docx", "A 55445-2024")</f>
        <v/>
      </c>
      <c r="AC79">
        <f>HYPERLINK("https://klasma.github.io/Logging_2184/tillsyn/A 55445-2024 tillsynsbegäran.docx", "A 55445-2024")</f>
        <v/>
      </c>
      <c r="AD79">
        <f>HYPERLINK("https://klasma.github.io/Logging_2184/tillsynsmail/A 55445-2024 tillsynsbegäran mail.docx", "A 55445-2024")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46303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22131-2025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45785</v>
      </c>
      <c r="E81" s="1" t="n">
        <v>46303</v>
      </c>
      <c r="F81" t="inlineStr">
        <is>
          <t>GÄVLEBORGS LÄN</t>
        </is>
      </c>
      <c r="G81" t="inlineStr">
        <is>
          <t>HUDIKSVALL</t>
        </is>
      </c>
      <c r="I81" t="n">
        <v>6.6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HYPERLINK("https://klasma.github.io/Logging_2184/artfynd/A 22131-2025 artfynd.xlsx", "A 22131-2025")</f>
        <v/>
      </c>
      <c r="X81">
        <f>HYPERLINK("https://klasma.github.io/Logging_2184/kartor/A 22131-2025 karta.png", "A 22131-2025")</f>
        <v/>
      </c>
      <c r="Y81">
        <f>HYPERLINK("https://klasma.github.io/Logging_2184/kartor_geotiff/A 22131-2025 georefererad karta.tif", "A 22131-2025")</f>
        <v/>
      </c>
      <c r="Z81">
        <f>HYPERLINK("https://klasma.github.io/Logging_2184/knärot/A 22131-2025 karta knärot.png", "A 22131-2025")</f>
        <v/>
      </c>
      <c r="AA81">
        <f>HYPERLINK("https://klasma.github.io/Logging_2184/klagomål/A 22131-2025 FSC-klagomål.docx", "A 22131-2025")</f>
        <v/>
      </c>
      <c r="AB81">
        <f>HYPERLINK("https://klasma.github.io/Logging_2184/klagomålsmail/A 22131-2025 FSC-klagomål mail.docx", "A 22131-2025")</f>
        <v/>
      </c>
      <c r="AC81">
        <f>HYPERLINK("https://klasma.github.io/Logging_2184/tillsyn/A 22131-2025 tillsynsbegäran.docx", "A 22131-2025")</f>
        <v/>
      </c>
      <c r="AD81">
        <f>HYPERLINK("https://klasma.github.io/Logging_2184/tillsynsmail/A 22131-2025 tillsynsbegäran mail.docx", "A 22131-2025")</f>
        <v/>
      </c>
    </row>
    <row r="82" ht="15" customHeight="1">
      <c r="A82" t="inlineStr">
        <is>
          <t>A 22859-2025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45790</v>
      </c>
      <c r="E82" s="1" t="n">
        <v>46303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14.7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22859-2025 artfynd.xlsx", "A 22859-2025")</f>
        <v/>
      </c>
      <c r="X82">
        <f>HYPERLINK("https://klasma.github.io/Logging_2184/kartor/A 22859-2025 karta.png", "A 22859-2025")</f>
        <v/>
      </c>
      <c r="Y82">
        <f>HYPERLINK("https://klasma.github.io/Logging_2184/kartor_geotiff/A 22859-2025 georefererad karta.tif", "A 22859-2025")</f>
        <v/>
      </c>
      <c r="Z82">
        <f>HYPERLINK("https://klasma.github.io/Logging_2184/knärot/A 22859-2025 karta knärot.png", "A 22859-2025")</f>
        <v/>
      </c>
      <c r="AA82">
        <f>HYPERLINK("https://klasma.github.io/Logging_2184/klagomål/A 22859-2025 FSC-klagomål.docx", "A 22859-2025")</f>
        <v/>
      </c>
      <c r="AB82">
        <f>HYPERLINK("https://klasma.github.io/Logging_2184/klagomålsmail/A 22859-2025 FSC-klagomål mail.docx", "A 22859-2025")</f>
        <v/>
      </c>
      <c r="AC82">
        <f>HYPERLINK("https://klasma.github.io/Logging_2184/tillsyn/A 22859-2025 tillsynsbegäran.docx", "A 22859-2025")</f>
        <v/>
      </c>
      <c r="AD82">
        <f>HYPERLINK("https://klasma.github.io/Logging_2184/tillsynsmail/A 22859-2025 tillsynsbegäran mail.docx", "A 22859-2025")</f>
        <v/>
      </c>
    </row>
    <row r="83" ht="15" customHeight="1">
      <c r="A83" t="inlineStr">
        <is>
          <t>A 2739-2025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46303</v>
      </c>
      <c r="F83" t="inlineStr">
        <is>
          <t>GÄVLEBORGS LÄN</t>
        </is>
      </c>
      <c r="G83" t="inlineStr">
        <is>
          <t>HUDIKSVALL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Talltita</t>
        </is>
      </c>
      <c r="W83">
        <f>HYPERLINK("https://klasma.github.io/Logging_2184/artfynd/A 2739-2025 artfynd.xlsx", "A 2739-2025")</f>
        <v/>
      </c>
      <c r="X83">
        <f>HYPERLINK("https://klasma.github.io/Logging_2184/kartor/A 2739-2025 karta.png", "A 2739-2025")</f>
        <v/>
      </c>
      <c r="Y83">
        <f>HYPERLINK("https://klasma.github.io/Logging_2184/kartor_geotiff/A 2739-2025 georefererad karta.tif", "A 2739-2025")</f>
        <v/>
      </c>
      <c r="AA83">
        <f>HYPERLINK("https://klasma.github.io/Logging_2184/klagomål/A 2739-2025 FSC-klagomål.docx", "A 2739-2025")</f>
        <v/>
      </c>
      <c r="AB83">
        <f>HYPERLINK("https://klasma.github.io/Logging_2184/klagomålsmail/A 2739-2025 FSC-klagomål mail.docx", "A 2739-2025")</f>
        <v/>
      </c>
      <c r="AC83">
        <f>HYPERLINK("https://klasma.github.io/Logging_2184/tillsyn/A 2739-2025 tillsynsbegäran.docx", "A 2739-2025")</f>
        <v/>
      </c>
      <c r="AD83">
        <f>HYPERLINK("https://klasma.github.io/Logging_2184/tillsynsmail/A 2739-2025 tillsynsbegäran mail.docx", "A 2739-2025")</f>
        <v/>
      </c>
      <c r="AE83">
        <f>HYPERLINK("https://klasma.github.io/Logging_2184/fåglar/A 2739-2025 prioriterade fågelarter.docx", "A 2739-2025")</f>
        <v/>
      </c>
    </row>
    <row r="84" ht="15" customHeight="1">
      <c r="A84" t="inlineStr">
        <is>
          <t>A 23732-2025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45793</v>
      </c>
      <c r="E84" s="1" t="n">
        <v>46303</v>
      </c>
      <c r="F84" t="inlineStr">
        <is>
          <t>GÄVLEBORGS LÄN</t>
        </is>
      </c>
      <c r="G84" t="inlineStr">
        <is>
          <t>HUDIKSVALL</t>
        </is>
      </c>
      <c r="H84" t="inlineStr">
        <is>
          <t>Sveaskog</t>
        </is>
      </c>
      <c r="I84" t="n">
        <v>11.9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HYPERLINK("https://klasma.github.io/Logging_2184/artfynd/A 23732-2025 artfynd.xlsx", "A 23732-2025")</f>
        <v/>
      </c>
      <c r="X84">
        <f>HYPERLINK("https://klasma.github.io/Logging_2184/kartor/A 23732-2025 karta.png", "A 23732-2025")</f>
        <v/>
      </c>
      <c r="Y84">
        <f>HYPERLINK("https://klasma.github.io/Logging_2184/kartor_geotiff/A 23732-2025 georefererad karta.tif", "A 23732-2025")</f>
        <v/>
      </c>
      <c r="AA84">
        <f>HYPERLINK("https://klasma.github.io/Logging_2184/klagomål/A 23732-2025 FSC-klagomål.docx", "A 23732-2025")</f>
        <v/>
      </c>
      <c r="AB84">
        <f>HYPERLINK("https://klasma.github.io/Logging_2184/klagomålsmail/A 23732-2025 FSC-klagomål mail.docx", "A 23732-2025")</f>
        <v/>
      </c>
      <c r="AC84">
        <f>HYPERLINK("https://klasma.github.io/Logging_2184/tillsyn/A 23732-2025 tillsynsbegäran.docx", "A 23732-2025")</f>
        <v/>
      </c>
      <c r="AD84">
        <f>HYPERLINK("https://klasma.github.io/Logging_2184/tillsynsmail/A 23732-2025 tillsynsbegäran mail.docx", "A 23732-2025")</f>
        <v/>
      </c>
    </row>
    <row r="85" ht="15" customHeight="1">
      <c r="A85" t="inlineStr">
        <is>
          <t>A 44058-2022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46303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HYPERLINK("https://klasma.github.io/Logging_2184/artfynd/A 44058-2022 artfynd.xlsx", "A 44058-2022")</f>
        <v/>
      </c>
      <c r="X85">
        <f>HYPERLINK("https://klasma.github.io/Logging_2184/kartor/A 44058-2022 karta.png", "A 44058-2022")</f>
        <v/>
      </c>
      <c r="Y85">
        <f>HYPERLINK("https://klasma.github.io/Logging_2184/kartor_geotiff/A 44058-2022 georefererad karta.tif", "A 44058-2022")</f>
        <v/>
      </c>
      <c r="AA85">
        <f>HYPERLINK("https://klasma.github.io/Logging_2184/klagomål/A 44058-2022 FSC-klagomål.docx", "A 44058-2022")</f>
        <v/>
      </c>
      <c r="AB85">
        <f>HYPERLINK("https://klasma.github.io/Logging_2184/klagomålsmail/A 44058-2022 FSC-klagomål mail.docx", "A 44058-2022")</f>
        <v/>
      </c>
      <c r="AC85">
        <f>HYPERLINK("https://klasma.github.io/Logging_2184/tillsyn/A 44058-2022 tillsynsbegäran.docx", "A 44058-2022")</f>
        <v/>
      </c>
      <c r="AD85">
        <f>HYPERLINK("https://klasma.github.io/Logging_2184/tillsynsmail/A 44058-2022 tillsynsbegäran mail.docx", "A 44058-2022")</f>
        <v/>
      </c>
    </row>
    <row r="86" ht="15" customHeight="1">
      <c r="A86" t="inlineStr">
        <is>
          <t>A 42355-2025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46303</v>
      </c>
      <c r="F86" t="inlineStr">
        <is>
          <t>GÄVLEBORGS LÄN</t>
        </is>
      </c>
      <c r="G86" t="inlineStr">
        <is>
          <t>HUDIKSVALL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HYPERLINK("https://klasma.github.io/Logging_2184/artfynd/A 42355-2025 artfynd.xlsx", "A 42355-2025")</f>
        <v/>
      </c>
      <c r="X86">
        <f>HYPERLINK("https://klasma.github.io/Logging_2184/kartor/A 42355-2025 karta.png", "A 42355-2025")</f>
        <v/>
      </c>
      <c r="Y86">
        <f>HYPERLINK("https://klasma.github.io/Logging_2184/kartor_geotiff/A 42355-2025 georefererad karta.tif", "A 42355-2025")</f>
        <v/>
      </c>
      <c r="Z86">
        <f>HYPERLINK("https://klasma.github.io/Logging_2184/knärot/A 42355-2025 karta knärot.png", "A 42355-2025")</f>
        <v/>
      </c>
      <c r="AA86">
        <f>HYPERLINK("https://klasma.github.io/Logging_2184/klagomål/A 42355-2025 FSC-klagomål.docx", "A 42355-2025")</f>
        <v/>
      </c>
      <c r="AB86">
        <f>HYPERLINK("https://klasma.github.io/Logging_2184/klagomålsmail/A 42355-2025 FSC-klagomål mail.docx", "A 42355-2025")</f>
        <v/>
      </c>
      <c r="AC86">
        <f>HYPERLINK("https://klasma.github.io/Logging_2184/tillsyn/A 42355-2025 tillsynsbegäran.docx", "A 42355-2025")</f>
        <v/>
      </c>
      <c r="AD86">
        <f>HYPERLINK("https://klasma.github.io/Logging_2184/tillsynsmail/A 42355-2025 tillsynsbegäran mail.docx", "A 42355-2025")</f>
        <v/>
      </c>
    </row>
    <row r="87" ht="15" customHeight="1">
      <c r="A87" t="inlineStr">
        <is>
          <t>A 25784-2025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46303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25784-2025 artfynd.xlsx", "A 25784-2025")</f>
        <v/>
      </c>
      <c r="X87">
        <f>HYPERLINK("https://klasma.github.io/Logging_2184/kartor/A 25784-2025 karta.png", "A 25784-2025")</f>
        <v/>
      </c>
      <c r="Y87">
        <f>HYPERLINK("https://klasma.github.io/Logging_2184/kartor_geotiff/A 25784-2025 georefererad karta.tif", "A 25784-2025")</f>
        <v/>
      </c>
      <c r="AA87">
        <f>HYPERLINK("https://klasma.github.io/Logging_2184/klagomål/A 25784-2025 FSC-klagomål.docx", "A 25784-2025")</f>
        <v/>
      </c>
      <c r="AB87">
        <f>HYPERLINK("https://klasma.github.io/Logging_2184/klagomålsmail/A 25784-2025 FSC-klagomål mail.docx", "A 25784-2025")</f>
        <v/>
      </c>
      <c r="AC87">
        <f>HYPERLINK("https://klasma.github.io/Logging_2184/tillsyn/A 25784-2025 tillsynsbegäran.docx", "A 25784-2025")</f>
        <v/>
      </c>
      <c r="AD87">
        <f>HYPERLINK("https://klasma.github.io/Logging_2184/tillsynsmail/A 25784-2025 tillsynsbegäran mail.docx", "A 25784-2025")</f>
        <v/>
      </c>
    </row>
    <row r="88" ht="15" customHeight="1">
      <c r="A88" t="inlineStr">
        <is>
          <t>A 25828-2025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46303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7.3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HYPERLINK("https://klasma.github.io/Logging_2184/artfynd/A 25828-2025 artfynd.xlsx", "A 25828-2025")</f>
        <v/>
      </c>
      <c r="X88">
        <f>HYPERLINK("https://klasma.github.io/Logging_2184/kartor/A 25828-2025 karta.png", "A 25828-2025")</f>
        <v/>
      </c>
      <c r="Y88">
        <f>HYPERLINK("https://klasma.github.io/Logging_2184/kartor_geotiff/A 25828-2025 georefererad karta.tif", "A 25828-2025")</f>
        <v/>
      </c>
      <c r="AA88">
        <f>HYPERLINK("https://klasma.github.io/Logging_2184/klagomål/A 25828-2025 FSC-klagomål.docx", "A 25828-2025")</f>
        <v/>
      </c>
      <c r="AB88">
        <f>HYPERLINK("https://klasma.github.io/Logging_2184/klagomålsmail/A 25828-2025 FSC-klagomål mail.docx", "A 25828-2025")</f>
        <v/>
      </c>
      <c r="AC88">
        <f>HYPERLINK("https://klasma.github.io/Logging_2184/tillsyn/A 25828-2025 tillsynsbegäran.docx", "A 25828-2025")</f>
        <v/>
      </c>
      <c r="AD88">
        <f>HYPERLINK("https://klasma.github.io/Logging_2184/tillsynsmail/A 25828-2025 tillsynsbegäran mail.docx", "A 25828-2025")</f>
        <v/>
      </c>
    </row>
    <row r="89" ht="15" customHeight="1">
      <c r="A89" t="inlineStr">
        <is>
          <t>A 22595-2025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46303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22595-2025 artfynd.xlsx", "A 22595-2025")</f>
        <v/>
      </c>
      <c r="X89">
        <f>HYPERLINK("https://klasma.github.io/Logging_2184/kartor/A 22595-2025 karta.png", "A 22595-2025")</f>
        <v/>
      </c>
      <c r="Y89">
        <f>HYPERLINK("https://klasma.github.io/Logging_2184/kartor_geotiff/A 22595-2025 georefererad karta.tif", "A 22595-2025")</f>
        <v/>
      </c>
      <c r="AA89">
        <f>HYPERLINK("https://klasma.github.io/Logging_2184/klagomål/A 22595-2025 FSC-klagomål.docx", "A 22595-2025")</f>
        <v/>
      </c>
      <c r="AB89">
        <f>HYPERLINK("https://klasma.github.io/Logging_2184/klagomålsmail/A 22595-2025 FSC-klagomål mail.docx", "A 22595-2025")</f>
        <v/>
      </c>
      <c r="AC89">
        <f>HYPERLINK("https://klasma.github.io/Logging_2184/tillsyn/A 22595-2025 tillsynsbegäran.docx", "A 22595-2025")</f>
        <v/>
      </c>
      <c r="AD89">
        <f>HYPERLINK("https://klasma.github.io/Logging_2184/tillsynsmail/A 22595-2025 tillsynsbegäran mail.docx", "A 22595-2025")</f>
        <v/>
      </c>
    </row>
    <row r="90" ht="15" customHeight="1">
      <c r="A90" t="inlineStr">
        <is>
          <t>A 27176-2025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46303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Vedtrappmossa</t>
        </is>
      </c>
      <c r="W90">
        <f>HYPERLINK("https://klasma.github.io/Logging_2184/artfynd/A 27176-2025 artfynd.xlsx", "A 27176-2025")</f>
        <v/>
      </c>
      <c r="X90">
        <f>HYPERLINK("https://klasma.github.io/Logging_2184/kartor/A 27176-2025 karta.png", "A 27176-2025")</f>
        <v/>
      </c>
      <c r="Y90">
        <f>HYPERLINK("https://klasma.github.io/Logging_2184/kartor_geotiff/A 27176-2025 georefererad karta.tif", "A 27176-2025")</f>
        <v/>
      </c>
      <c r="AA90">
        <f>HYPERLINK("https://klasma.github.io/Logging_2184/klagomål/A 27176-2025 FSC-klagomål.docx", "A 27176-2025")</f>
        <v/>
      </c>
      <c r="AB90">
        <f>HYPERLINK("https://klasma.github.io/Logging_2184/klagomålsmail/A 27176-2025 FSC-klagomål mail.docx", "A 27176-2025")</f>
        <v/>
      </c>
      <c r="AC90">
        <f>HYPERLINK("https://klasma.github.io/Logging_2184/tillsyn/A 27176-2025 tillsynsbegäran.docx", "A 27176-2025")</f>
        <v/>
      </c>
      <c r="AD90">
        <f>HYPERLINK("https://klasma.github.io/Logging_2184/tillsynsmail/A 27176-2025 tillsynsbegäran mail.docx", "A 27176-2025")</f>
        <v/>
      </c>
    </row>
    <row r="91" ht="15" customHeight="1">
      <c r="A91" t="inlineStr">
        <is>
          <t>A 28381-2025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46303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28381-2025 artfynd.xlsx", "A 28381-2025")</f>
        <v/>
      </c>
      <c r="X91">
        <f>HYPERLINK("https://klasma.github.io/Logging_2184/kartor/A 28381-2025 karta.png", "A 28381-2025")</f>
        <v/>
      </c>
      <c r="Y91">
        <f>HYPERLINK("https://klasma.github.io/Logging_2184/kartor_geotiff/A 28381-2025 georefererad karta.tif", "A 28381-2025")</f>
        <v/>
      </c>
      <c r="AA91">
        <f>HYPERLINK("https://klasma.github.io/Logging_2184/klagomål/A 28381-2025 FSC-klagomål.docx", "A 28381-2025")</f>
        <v/>
      </c>
      <c r="AB91">
        <f>HYPERLINK("https://klasma.github.io/Logging_2184/klagomålsmail/A 28381-2025 FSC-klagomål mail.docx", "A 28381-2025")</f>
        <v/>
      </c>
      <c r="AC91">
        <f>HYPERLINK("https://klasma.github.io/Logging_2184/tillsyn/A 28381-2025 tillsynsbegäran.docx", "A 28381-2025")</f>
        <v/>
      </c>
      <c r="AD91">
        <f>HYPERLINK("https://klasma.github.io/Logging_2184/tillsynsmail/A 28381-2025 tillsynsbegäran mail.docx", "A 28381-2025")</f>
        <v/>
      </c>
    </row>
    <row r="92" ht="15" customHeight="1">
      <c r="A92" t="inlineStr">
        <is>
          <t>A 58239-2024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45632</v>
      </c>
      <c r="E92" s="1" t="n">
        <v>46303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4.3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HYPERLINK("https://klasma.github.io/Logging_2184/artfynd/A 58239-2024 artfynd.xlsx", "A 58239-2024")</f>
        <v/>
      </c>
      <c r="X92">
        <f>HYPERLINK("https://klasma.github.io/Logging_2184/kartor/A 58239-2024 karta.png", "A 58239-2024")</f>
        <v/>
      </c>
      <c r="Y92">
        <f>HYPERLINK("https://klasma.github.io/Logging_2184/kartor_geotiff/A 58239-2024 georefererad karta.tif", "A 58239-2024")</f>
        <v/>
      </c>
      <c r="AA92">
        <f>HYPERLINK("https://klasma.github.io/Logging_2184/klagomål/A 58239-2024 FSC-klagomål.docx", "A 58239-2024")</f>
        <v/>
      </c>
      <c r="AB92">
        <f>HYPERLINK("https://klasma.github.io/Logging_2184/klagomålsmail/A 58239-2024 FSC-klagomål mail.docx", "A 58239-2024")</f>
        <v/>
      </c>
      <c r="AC92">
        <f>HYPERLINK("https://klasma.github.io/Logging_2184/tillsyn/A 58239-2024 tillsynsbegäran.docx", "A 58239-2024")</f>
        <v/>
      </c>
      <c r="AD92">
        <f>HYPERLINK("https://klasma.github.io/Logging_2184/tillsynsmail/A 58239-2024 tillsynsbegäran mail.docx", "A 58239-2024")</f>
        <v/>
      </c>
      <c r="AE92">
        <f>HYPERLINK("https://klasma.github.io/Logging_2184/fåglar/A 58239-2024 prioriterade fågelarter.docx", "A 58239-2024")</f>
        <v/>
      </c>
    </row>
    <row r="93" ht="15" customHeight="1">
      <c r="A93" t="inlineStr">
        <is>
          <t>A 47116-2024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46303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Mörk husmossa</t>
        </is>
      </c>
      <c r="W93">
        <f>HYPERLINK("https://klasma.github.io/Logging_2184/artfynd/A 47116-2024 artfynd.xlsx", "A 47116-2024")</f>
        <v/>
      </c>
      <c r="X93">
        <f>HYPERLINK("https://klasma.github.io/Logging_2184/kartor/A 47116-2024 karta.png", "A 47116-2024")</f>
        <v/>
      </c>
      <c r="Y93">
        <f>HYPERLINK("https://klasma.github.io/Logging_2184/kartor_geotiff/A 47116-2024 georefererad karta.tif", "A 47116-2024")</f>
        <v/>
      </c>
      <c r="AA93">
        <f>HYPERLINK("https://klasma.github.io/Logging_2184/klagomål/A 47116-2024 FSC-klagomål.docx", "A 47116-2024")</f>
        <v/>
      </c>
      <c r="AB93">
        <f>HYPERLINK("https://klasma.github.io/Logging_2184/klagomålsmail/A 47116-2024 FSC-klagomål mail.docx", "A 47116-2024")</f>
        <v/>
      </c>
      <c r="AC93">
        <f>HYPERLINK("https://klasma.github.io/Logging_2184/tillsyn/A 47116-2024 tillsynsbegäran.docx", "A 47116-2024")</f>
        <v/>
      </c>
      <c r="AD93">
        <f>HYPERLINK("https://klasma.github.io/Logging_2184/tillsynsmail/A 47116-2024 tillsynsbegäran mail.docx", "A 47116-2024")</f>
        <v/>
      </c>
    </row>
    <row r="94" ht="15" customHeight="1">
      <c r="A94" t="inlineStr">
        <is>
          <t>A 8051-2024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46303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12.9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Bronshjon</t>
        </is>
      </c>
      <c r="W94">
        <f>HYPERLINK("https://klasma.github.io/Logging_2184/artfynd/A 8051-2024 artfynd.xlsx", "A 8051-2024")</f>
        <v/>
      </c>
      <c r="X94">
        <f>HYPERLINK("https://klasma.github.io/Logging_2184/kartor/A 8051-2024 karta.png", "A 8051-2024")</f>
        <v/>
      </c>
      <c r="Y94">
        <f>HYPERLINK("https://klasma.github.io/Logging_2184/kartor_geotiff/A 8051-2024 georefererad karta.tif", "A 8051-2024")</f>
        <v/>
      </c>
      <c r="AA94">
        <f>HYPERLINK("https://klasma.github.io/Logging_2184/klagomål/A 8051-2024 FSC-klagomål.docx", "A 8051-2024")</f>
        <v/>
      </c>
      <c r="AB94">
        <f>HYPERLINK("https://klasma.github.io/Logging_2184/klagomålsmail/A 8051-2024 FSC-klagomål mail.docx", "A 8051-2024")</f>
        <v/>
      </c>
      <c r="AC94">
        <f>HYPERLINK("https://klasma.github.io/Logging_2184/tillsyn/A 8051-2024 tillsynsbegäran.docx", "A 8051-2024")</f>
        <v/>
      </c>
      <c r="AD94">
        <f>HYPERLINK("https://klasma.github.io/Logging_2184/tillsynsmail/A 8051-2024 tillsynsbegäran mail.docx", "A 8051-2024")</f>
        <v/>
      </c>
    </row>
    <row r="95" ht="15" customHeight="1">
      <c r="A95" t="inlineStr">
        <is>
          <t>A 5977-2025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46303</v>
      </c>
      <c r="F95" t="inlineStr">
        <is>
          <t>GÄVLEBORGS LÄN</t>
        </is>
      </c>
      <c r="G95" t="inlineStr">
        <is>
          <t>HUDIKSVALL</t>
        </is>
      </c>
      <c r="I95" t="n">
        <v>4.9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5977-2025 artfynd.xlsx", "A 5977-2025")</f>
        <v/>
      </c>
      <c r="X95">
        <f>HYPERLINK("https://klasma.github.io/Logging_2184/kartor/A 5977-2025 karta.png", "A 5977-2025")</f>
        <v/>
      </c>
      <c r="Y95">
        <f>HYPERLINK("https://klasma.github.io/Logging_2184/kartor_geotiff/A 5977-2025 georefererad karta.tif", "A 5977-2025")</f>
        <v/>
      </c>
      <c r="AA95">
        <f>HYPERLINK("https://klasma.github.io/Logging_2184/klagomål/A 5977-2025 FSC-klagomål.docx", "A 5977-2025")</f>
        <v/>
      </c>
      <c r="AB95">
        <f>HYPERLINK("https://klasma.github.io/Logging_2184/klagomålsmail/A 5977-2025 FSC-klagomål mail.docx", "A 5977-2025")</f>
        <v/>
      </c>
      <c r="AC95">
        <f>HYPERLINK("https://klasma.github.io/Logging_2184/tillsyn/A 5977-2025 tillsynsbegäran.docx", "A 5977-2025")</f>
        <v/>
      </c>
      <c r="AD95">
        <f>HYPERLINK("https://klasma.github.io/Logging_2184/tillsynsmail/A 5977-2025 tillsynsbegäran mail.docx", "A 5977-2025")</f>
        <v/>
      </c>
      <c r="AE95">
        <f>HYPERLINK("https://klasma.github.io/Logging_2184/fåglar/A 5977-2025 prioriterade fågelarter.docx", "A 5977-2025")</f>
        <v/>
      </c>
    </row>
    <row r="96" ht="15" customHeight="1">
      <c r="A96" t="inlineStr">
        <is>
          <t>A 5983-2025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46303</v>
      </c>
      <c r="F96" t="inlineStr">
        <is>
          <t>GÄVLEBORGS LÄN</t>
        </is>
      </c>
      <c r="G96" t="inlineStr">
        <is>
          <t>HUDIKSVALL</t>
        </is>
      </c>
      <c r="I96" t="n">
        <v>3.9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Jorduggla</t>
        </is>
      </c>
      <c r="W96">
        <f>HYPERLINK("https://klasma.github.io/Logging_2184/artfynd/A 5983-2025 artfynd.xlsx", "A 5983-2025")</f>
        <v/>
      </c>
      <c r="X96">
        <f>HYPERLINK("https://klasma.github.io/Logging_2184/kartor/A 5983-2025 karta.png", "A 5983-2025")</f>
        <v/>
      </c>
      <c r="Y96">
        <f>HYPERLINK("https://klasma.github.io/Logging_2184/kartor_geotiff/A 5983-2025 georefererad karta.tif", "A 5983-2025")</f>
        <v/>
      </c>
      <c r="AA96">
        <f>HYPERLINK("https://klasma.github.io/Logging_2184/klagomål/A 5983-2025 FSC-klagomål.docx", "A 5983-2025")</f>
        <v/>
      </c>
      <c r="AB96">
        <f>HYPERLINK("https://klasma.github.io/Logging_2184/klagomålsmail/A 5983-2025 FSC-klagomål mail.docx", "A 5983-2025")</f>
        <v/>
      </c>
      <c r="AC96">
        <f>HYPERLINK("https://klasma.github.io/Logging_2184/tillsyn/A 5983-2025 tillsynsbegäran.docx", "A 5983-2025")</f>
        <v/>
      </c>
      <c r="AD96">
        <f>HYPERLINK("https://klasma.github.io/Logging_2184/tillsynsmail/A 5983-2025 tillsynsbegäran mail.docx", "A 5983-2025")</f>
        <v/>
      </c>
      <c r="AE96">
        <f>HYPERLINK("https://klasma.github.io/Logging_2184/fåglar/A 5983-2025 prioriterade fågelarter.docx", "A 5983-2025")</f>
        <v/>
      </c>
    </row>
    <row r="97" ht="15" customHeight="1">
      <c r="A97" t="inlineStr">
        <is>
          <t>A 4107-2026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46303</v>
      </c>
      <c r="F97" t="inlineStr">
        <is>
          <t>GÄVLEBORGS LÄN</t>
        </is>
      </c>
      <c r="G97" t="inlineStr">
        <is>
          <t>HUDIKSVALL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HYPERLINK("https://klasma.github.io/Logging_2184/artfynd/A 4107-2026 artfynd.xlsx", "A 4107-2026")</f>
        <v/>
      </c>
      <c r="X97">
        <f>HYPERLINK("https://klasma.github.io/Logging_2184/kartor/A 4107-2026 karta.png", "A 4107-2026")</f>
        <v/>
      </c>
      <c r="Y97">
        <f>HYPERLINK("https://klasma.github.io/Logging_2184/kartor_geotiff/A 4107-2026 georefererad karta.tif", "A 4107-2026")</f>
        <v/>
      </c>
      <c r="AA97">
        <f>HYPERLINK("https://klasma.github.io/Logging_2184/klagomål/A 4107-2026 FSC-klagomål.docx", "A 4107-2026")</f>
        <v/>
      </c>
      <c r="AB97">
        <f>HYPERLINK("https://klasma.github.io/Logging_2184/klagomålsmail/A 4107-2026 FSC-klagomål mail.docx", "A 4107-2026")</f>
        <v/>
      </c>
      <c r="AC97">
        <f>HYPERLINK("https://klasma.github.io/Logging_2184/tillsyn/A 4107-2026 tillsynsbegäran.docx", "A 4107-2026")</f>
        <v/>
      </c>
      <c r="AD97">
        <f>HYPERLINK("https://klasma.github.io/Logging_2184/tillsynsmail/A 4107-2026 tillsynsbegäran mail.docx", "A 4107-2026")</f>
        <v/>
      </c>
      <c r="AE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46303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6.8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HYPERLINK("https://klasma.github.io/Logging_2184/artfynd/A 20640-2026 artfynd.xlsx", "A 20640-2026")</f>
        <v/>
      </c>
      <c r="X98">
        <f>HYPERLINK("https://klasma.github.io/Logging_2184/kartor/A 20640-2026 karta.png", "A 20640-2026")</f>
        <v/>
      </c>
      <c r="Y98">
        <f>HYPERLINK("https://klasma.github.io/Logging_2184/kartor_geotiff/A 20640-2026 georefererad karta.tif", "A 20640-2026")</f>
        <v/>
      </c>
      <c r="Z98">
        <f>HYPERLINK("https://klasma.github.io/Logging_2184/knärot/A 20640-2026 karta knärot.png", "A 20640-2026")</f>
        <v/>
      </c>
      <c r="AA98">
        <f>HYPERLINK("https://klasma.github.io/Logging_2184/klagomål/A 20640-2026 FSC-klagomål.docx", "A 20640-2026")</f>
        <v/>
      </c>
      <c r="AB98">
        <f>HYPERLINK("https://klasma.github.io/Logging_2184/klagomålsmail/A 20640-2026 FSC-klagomål mail.docx", "A 20640-2026")</f>
        <v/>
      </c>
      <c r="AC98">
        <f>HYPERLINK("https://klasma.github.io/Logging_2184/tillsyn/A 20640-2026 tillsynsbegäran.docx", "A 20640-2026")</f>
        <v/>
      </c>
      <c r="AD98">
        <f>HYPERLINK("https://klasma.github.io/Logging_2184/tillsynsmail/A 20640-2026 tillsynsbegäran mail.docx", "A 20640-2026")</f>
        <v/>
      </c>
    </row>
    <row r="99" ht="15" customHeight="1">
      <c r="A99" t="inlineStr">
        <is>
          <t>A 36391-2025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46303</v>
      </c>
      <c r="F99" t="inlineStr">
        <is>
          <t>GÄVLEBORGS LÄN</t>
        </is>
      </c>
      <c r="G99" t="inlineStr">
        <is>
          <t>HUDIKSVALL</t>
        </is>
      </c>
      <c r="I99" t="n">
        <v>0.7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HYPERLINK("https://klasma.github.io/Logging_2184/artfynd/A 36391-2025 artfynd.xlsx", "A 36391-2025")</f>
        <v/>
      </c>
      <c r="X99">
        <f>HYPERLINK("https://klasma.github.io/Logging_2184/kartor/A 36391-2025 karta.png", "A 36391-2025")</f>
        <v/>
      </c>
      <c r="Y99">
        <f>HYPERLINK("https://klasma.github.io/Logging_2184/kartor_geotiff/A 36391-2025 georefererad karta.tif", "A 36391-2025")</f>
        <v/>
      </c>
      <c r="AA99">
        <f>HYPERLINK("https://klasma.github.io/Logging_2184/klagomål/A 36391-2025 FSC-klagomål.docx", "A 36391-2025")</f>
        <v/>
      </c>
      <c r="AB99">
        <f>HYPERLINK("https://klasma.github.io/Logging_2184/klagomålsmail/A 36391-2025 FSC-klagomål mail.docx", "A 36391-2025")</f>
        <v/>
      </c>
      <c r="AC99">
        <f>HYPERLINK("https://klasma.github.io/Logging_2184/tillsyn/A 36391-2025 tillsynsbegäran.docx", "A 36391-2025")</f>
        <v/>
      </c>
      <c r="AD99">
        <f>HYPERLINK("https://klasma.github.io/Logging_2184/tillsynsmail/A 36391-2025 tillsynsbegäran mail.docx", "A 36391-2025")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46303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46303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15883-2023 artfynd.xlsx", "A 15883-2023")</f>
        <v/>
      </c>
      <c r="X101">
        <f>HYPERLINK("https://klasma.github.io/Logging_2184/kartor/A 15883-2023 karta.png", "A 15883-2023")</f>
        <v/>
      </c>
      <c r="Y101">
        <f>HYPERLINK("https://klasma.github.io/Logging_2184/kartor_geotiff/A 15883-2023 georefererad karta.tif", "A 15883-2023")</f>
        <v/>
      </c>
      <c r="Z101">
        <f>HYPERLINK("https://klasma.github.io/Logging_2184/knärot/A 15883-2023 karta knärot.png", "A 15883-2023")</f>
        <v/>
      </c>
      <c r="AA101">
        <f>HYPERLINK("https://klasma.github.io/Logging_2184/klagomål/A 15883-2023 FSC-klagomål.docx", "A 15883-2023")</f>
        <v/>
      </c>
      <c r="AB101">
        <f>HYPERLINK("https://klasma.github.io/Logging_2184/klagomålsmail/A 15883-2023 FSC-klagomål mail.docx", "A 15883-2023")</f>
        <v/>
      </c>
      <c r="AC101">
        <f>HYPERLINK("https://klasma.github.io/Logging_2184/tillsyn/A 15883-2023 tillsynsbegäran.docx", "A 15883-2023")</f>
        <v/>
      </c>
      <c r="AD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2482-2026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46303</v>
      </c>
      <c r="F102" t="inlineStr">
        <is>
          <t>GÄVLEBORGS LÄN</t>
        </is>
      </c>
      <c r="G102" t="inlineStr">
        <is>
          <t>HUDIKSVALL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Violettgrå tagellav</t>
        </is>
      </c>
      <c r="W102">
        <f>HYPERLINK("https://klasma.github.io/Logging_2184/artfynd/A 2482-2026 artfynd.xlsx", "A 2482-2026")</f>
        <v/>
      </c>
      <c r="X102">
        <f>HYPERLINK("https://klasma.github.io/Logging_2184/kartor/A 2482-2026 karta.png", "A 2482-2026")</f>
        <v/>
      </c>
      <c r="Y102">
        <f>HYPERLINK("https://klasma.github.io/Logging_2184/kartor_geotiff/A 2482-2026 georefererad karta.tif", "A 2482-2026")</f>
        <v/>
      </c>
      <c r="AA102">
        <f>HYPERLINK("https://klasma.github.io/Logging_2184/klagomål/A 2482-2026 FSC-klagomål.docx", "A 2482-2026")</f>
        <v/>
      </c>
      <c r="AB102">
        <f>HYPERLINK("https://klasma.github.io/Logging_2184/klagomålsmail/A 2482-2026 FSC-klagomål mail.docx", "A 2482-2026")</f>
        <v/>
      </c>
      <c r="AC102">
        <f>HYPERLINK("https://klasma.github.io/Logging_2184/tillsyn/A 2482-2026 tillsynsbegäran.docx", "A 2482-2026")</f>
        <v/>
      </c>
      <c r="AD102">
        <f>HYPERLINK("https://klasma.github.io/Logging_2184/tillsynsmail/A 2482-2026 tillsynsbegäran mail.docx", "A 2482-2026")</f>
        <v/>
      </c>
    </row>
    <row r="103" ht="15" customHeight="1">
      <c r="A103" t="inlineStr">
        <is>
          <t>A 4473-2026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46303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HYPERLINK("https://klasma.github.io/Logging_2184/artfynd/A 4473-2026 artfynd.xlsx", "A 4473-2026")</f>
        <v/>
      </c>
      <c r="X103">
        <f>HYPERLINK("https://klasma.github.io/Logging_2184/kartor/A 4473-2026 karta.png", "A 4473-2026")</f>
        <v/>
      </c>
      <c r="Y103">
        <f>HYPERLINK("https://klasma.github.io/Logging_2184/kartor_geotiff/A 4473-2026 georefererad karta.tif", "A 4473-2026")</f>
        <v/>
      </c>
      <c r="AA103">
        <f>HYPERLINK("https://klasma.github.io/Logging_2184/klagomål/A 4473-2026 FSC-klagomål.docx", "A 4473-2026")</f>
        <v/>
      </c>
      <c r="AB103">
        <f>HYPERLINK("https://klasma.github.io/Logging_2184/klagomålsmail/A 4473-2026 FSC-klagomål mail.docx", "A 4473-2026")</f>
        <v/>
      </c>
      <c r="AC103">
        <f>HYPERLINK("https://klasma.github.io/Logging_2184/tillsyn/A 4473-2026 tillsynsbegäran.docx", "A 4473-2026")</f>
        <v/>
      </c>
      <c r="AD103">
        <f>HYPERLINK("https://klasma.github.io/Logging_2184/tillsynsmail/A 4473-2026 tillsynsbegäran mail.docx", "A 4473-2026")</f>
        <v/>
      </c>
    </row>
    <row r="104" ht="15" customHeight="1">
      <c r="A104" t="inlineStr">
        <is>
          <t>A 4844-2026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46303</v>
      </c>
      <c r="F104" t="inlineStr">
        <is>
          <t>GÄVLEBORGS LÄN</t>
        </is>
      </c>
      <c r="G104" t="inlineStr">
        <is>
          <t>HUDIKSVALL</t>
        </is>
      </c>
      <c r="I104" t="n">
        <v>9.1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HYPERLINK("https://klasma.github.io/Logging_2184/artfynd/A 4844-2026 artfynd.xlsx", "A 4844-2026")</f>
        <v/>
      </c>
      <c r="X104">
        <f>HYPERLINK("https://klasma.github.io/Logging_2184/kartor/A 4844-2026 karta.png", "A 4844-2026")</f>
        <v/>
      </c>
      <c r="Y104">
        <f>HYPERLINK("https://klasma.github.io/Logging_2184/kartor_geotiff/A 4844-2026 georefererad karta.tif", "A 4844-2026")</f>
        <v/>
      </c>
      <c r="AA104">
        <f>HYPERLINK("https://klasma.github.io/Logging_2184/klagomål/A 4844-2026 FSC-klagomål.docx", "A 4844-2026")</f>
        <v/>
      </c>
      <c r="AB104">
        <f>HYPERLINK("https://klasma.github.io/Logging_2184/klagomålsmail/A 4844-2026 FSC-klagomål mail.docx", "A 4844-2026")</f>
        <v/>
      </c>
      <c r="AC104">
        <f>HYPERLINK("https://klasma.github.io/Logging_2184/tillsyn/A 4844-2026 tillsynsbegäran.docx", "A 4844-2026")</f>
        <v/>
      </c>
      <c r="AD104">
        <f>HYPERLINK("https://klasma.github.io/Logging_2184/tillsynsmail/A 4844-2026 tillsynsbegäran mail.docx", "A 4844-2026")</f>
        <v/>
      </c>
    </row>
    <row r="105" ht="15" customHeight="1">
      <c r="A105" t="inlineStr">
        <is>
          <t>A 7053-2026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46303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HYPERLINK("https://klasma.github.io/Logging_2184/artfynd/A 7053-2026 artfynd.xlsx", "A 7053-2026")</f>
        <v/>
      </c>
      <c r="X105">
        <f>HYPERLINK("https://klasma.github.io/Logging_2184/kartor/A 7053-2026 karta.png", "A 7053-2026")</f>
        <v/>
      </c>
      <c r="Y105">
        <f>HYPERLINK("https://klasma.github.io/Logging_2184/kartor_geotiff/A 7053-2026 georefererad karta.tif", "A 7053-2026")</f>
        <v/>
      </c>
      <c r="AA105">
        <f>HYPERLINK("https://klasma.github.io/Logging_2184/klagomål/A 7053-2026 FSC-klagomål.docx", "A 7053-2026")</f>
        <v/>
      </c>
      <c r="AB105">
        <f>HYPERLINK("https://klasma.github.io/Logging_2184/klagomålsmail/A 7053-2026 FSC-klagomål mail.docx", "A 7053-2026")</f>
        <v/>
      </c>
      <c r="AC105">
        <f>HYPERLINK("https://klasma.github.io/Logging_2184/tillsyn/A 7053-2026 tillsynsbegäran.docx", "A 7053-2026")</f>
        <v/>
      </c>
      <c r="AD105">
        <f>HYPERLINK("https://klasma.github.io/Logging_2184/tillsynsmail/A 7053-2026 tillsynsbegäran mail.docx", "A 7053-2026")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46303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51760-2025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46303</v>
      </c>
      <c r="F107" t="inlineStr">
        <is>
          <t>GÄVLEBORGS LÄN</t>
        </is>
      </c>
      <c r="G107" t="inlineStr">
        <is>
          <t>HUDIKSVALL</t>
        </is>
      </c>
      <c r="I107" t="n">
        <v>2.7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HYPERLINK("https://klasma.github.io/Logging_2184/artfynd/A 51760-2025 artfynd.xlsx", "A 51760-2025")</f>
        <v/>
      </c>
      <c r="X107">
        <f>HYPERLINK("https://klasma.github.io/Logging_2184/kartor/A 51760-2025 karta.png", "A 51760-2025")</f>
        <v/>
      </c>
      <c r="Y107">
        <f>HYPERLINK("https://klasma.github.io/Logging_2184/kartor_geotiff/A 51760-2025 georefererad karta.tif", "A 51760-2025")</f>
        <v/>
      </c>
      <c r="AA107">
        <f>HYPERLINK("https://klasma.github.io/Logging_2184/klagomål/A 51760-2025 FSC-klagomål.docx", "A 51760-2025")</f>
        <v/>
      </c>
      <c r="AB107">
        <f>HYPERLINK("https://klasma.github.io/Logging_2184/klagomålsmail/A 51760-2025 FSC-klagomål mail.docx", "A 51760-2025")</f>
        <v/>
      </c>
      <c r="AC107">
        <f>HYPERLINK("https://klasma.github.io/Logging_2184/tillsyn/A 51760-2025 tillsynsbegäran.docx", "A 51760-2025")</f>
        <v/>
      </c>
      <c r="AD107">
        <f>HYPERLINK("https://klasma.github.io/Logging_2184/tillsynsmail/A 51760-2025 tillsynsbegäran mail.docx", "A 51760-2025")</f>
        <v/>
      </c>
    </row>
    <row r="108" ht="15" customHeight="1">
      <c r="A108" t="inlineStr">
        <is>
          <t>A 31802-2025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46303</v>
      </c>
      <c r="F108" t="inlineStr">
        <is>
          <t>GÄVLEBORGS LÄN</t>
        </is>
      </c>
      <c r="G108" t="inlineStr">
        <is>
          <t>HUDIKSVALL</t>
        </is>
      </c>
      <c r="I108" t="n">
        <v>2.2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HYPERLINK("https://klasma.github.io/Logging_2184/artfynd/A 31802-2025 artfynd.xlsx", "A 31802-2025")</f>
        <v/>
      </c>
      <c r="X108">
        <f>HYPERLINK("https://klasma.github.io/Logging_2184/kartor/A 31802-2025 karta.png", "A 31802-2025")</f>
        <v/>
      </c>
      <c r="Y108">
        <f>HYPERLINK("https://klasma.github.io/Logging_2184/kartor_geotiff/A 31802-2025 georefererad karta.tif", "A 31802-2025")</f>
        <v/>
      </c>
      <c r="AA108">
        <f>HYPERLINK("https://klasma.github.io/Logging_2184/klagomål/A 31802-2025 FSC-klagomål.docx", "A 31802-2025")</f>
        <v/>
      </c>
      <c r="AB108">
        <f>HYPERLINK("https://klasma.github.io/Logging_2184/klagomålsmail/A 31802-2025 FSC-klagomål mail.docx", "A 31802-2025")</f>
        <v/>
      </c>
      <c r="AC108">
        <f>HYPERLINK("https://klasma.github.io/Logging_2184/tillsyn/A 31802-2025 tillsynsbegäran.docx", "A 31802-2025")</f>
        <v/>
      </c>
      <c r="AD108">
        <f>HYPERLINK("https://klasma.github.io/Logging_2184/tillsynsmail/A 31802-2025 tillsynsbegäran mail.docx", "A 31802-2025")</f>
        <v/>
      </c>
    </row>
    <row r="109" ht="15" customHeight="1">
      <c r="A109" t="inlineStr">
        <is>
          <t>A 25145-2024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45462</v>
      </c>
      <c r="E109" s="1" t="n">
        <v>46303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2.3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Skogsödla</t>
        </is>
      </c>
      <c r="W109">
        <f>HYPERLINK("https://klasma.github.io/Logging_2184/artfynd/A 25145-2024 artfynd.xlsx", "A 25145-2024")</f>
        <v/>
      </c>
      <c r="X109">
        <f>HYPERLINK("https://klasma.github.io/Logging_2184/kartor/A 25145-2024 karta.png", "A 25145-2024")</f>
        <v/>
      </c>
      <c r="Y109">
        <f>HYPERLINK("https://klasma.github.io/Logging_2184/kartor_geotiff/A 25145-2024 georefererad karta.tif", "A 25145-2024")</f>
        <v/>
      </c>
      <c r="AA109">
        <f>HYPERLINK("https://klasma.github.io/Logging_2184/klagomål/A 25145-2024 FSC-klagomål.docx", "A 25145-2024")</f>
        <v/>
      </c>
      <c r="AB109">
        <f>HYPERLINK("https://klasma.github.io/Logging_2184/klagomålsmail/A 25145-2024 FSC-klagomål mail.docx", "A 25145-2024")</f>
        <v/>
      </c>
      <c r="AC109">
        <f>HYPERLINK("https://klasma.github.io/Logging_2184/tillsyn/A 25145-2024 tillsynsbegäran.docx", "A 25145-2024")</f>
        <v/>
      </c>
      <c r="AD109">
        <f>HYPERLINK("https://klasma.github.io/Logging_2184/tillsynsmail/A 25145-2024 tillsynsbegäran mail.docx", "A 25145-2024")</f>
        <v/>
      </c>
    </row>
    <row r="110" ht="15" customHeight="1">
      <c r="A110" t="inlineStr">
        <is>
          <t>A 41494-2024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46303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20.9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HYPERLINK("https://klasma.github.io/Logging_2184/artfynd/A 41494-2024 artfynd.xlsx", "A 41494-2024")</f>
        <v/>
      </c>
      <c r="X110">
        <f>HYPERLINK("https://klasma.github.io/Logging_2184/kartor/A 41494-2024 karta.png", "A 41494-2024")</f>
        <v/>
      </c>
      <c r="Y110">
        <f>HYPERLINK("https://klasma.github.io/Logging_2184/kartor_geotiff/A 41494-2024 georefererad karta.tif", "A 41494-2024")</f>
        <v/>
      </c>
      <c r="AA110">
        <f>HYPERLINK("https://klasma.github.io/Logging_2184/klagomål/A 41494-2024 FSC-klagomål.docx", "A 41494-2024")</f>
        <v/>
      </c>
      <c r="AB110">
        <f>HYPERLINK("https://klasma.github.io/Logging_2184/klagomålsmail/A 41494-2024 FSC-klagomål mail.docx", "A 41494-2024")</f>
        <v/>
      </c>
      <c r="AC110">
        <f>HYPERLINK("https://klasma.github.io/Logging_2184/tillsyn/A 41494-2024 tillsynsbegäran.docx", "A 41494-2024")</f>
        <v/>
      </c>
      <c r="AD110">
        <f>HYPERLINK("https://klasma.github.io/Logging_2184/tillsynsmail/A 41494-2024 tillsynsbegäran mail.docx", "A 41494-2024")</f>
        <v/>
      </c>
    </row>
    <row r="111" ht="15" customHeight="1">
      <c r="A111" t="inlineStr">
        <is>
          <t>A 19427-2025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46303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Garnlav</t>
        </is>
      </c>
      <c r="W111">
        <f>HYPERLINK("https://klasma.github.io/Logging_2184/artfynd/A 19427-2025 artfynd.xlsx", "A 19427-2025")</f>
        <v/>
      </c>
      <c r="X111">
        <f>HYPERLINK("https://klasma.github.io/Logging_2184/kartor/A 19427-2025 karta.png", "A 19427-2025")</f>
        <v/>
      </c>
      <c r="Y111">
        <f>HYPERLINK("https://klasma.github.io/Logging_2184/kartor_geotiff/A 19427-2025 georefererad karta.tif", "A 19427-2025")</f>
        <v/>
      </c>
      <c r="AA111">
        <f>HYPERLINK("https://klasma.github.io/Logging_2184/klagomål/A 19427-2025 FSC-klagomål.docx", "A 19427-2025")</f>
        <v/>
      </c>
      <c r="AB111">
        <f>HYPERLINK("https://klasma.github.io/Logging_2184/klagomålsmail/A 19427-2025 FSC-klagomål mail.docx", "A 19427-2025")</f>
        <v/>
      </c>
      <c r="AC111">
        <f>HYPERLINK("https://klasma.github.io/Logging_2184/tillsyn/A 19427-2025 tillsynsbegäran.docx", "A 19427-2025")</f>
        <v/>
      </c>
      <c r="AD111">
        <f>HYPERLINK("https://klasma.github.io/Logging_2184/tillsynsmail/A 19427-2025 tillsynsbegäran mail.docx", "A 19427-2025")</f>
        <v/>
      </c>
    </row>
    <row r="112" ht="15" customHeight="1">
      <c r="A112" t="inlineStr">
        <is>
          <t>A 34540-2026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46303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17.9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HYPERLINK("https://klasma.github.io/Logging_2184/artfynd/A 34540-2026 artfynd.xlsx", "A 34540-2026")</f>
        <v/>
      </c>
      <c r="X112">
        <f>HYPERLINK("https://klasma.github.io/Logging_2184/kartor/A 34540-2026 karta.png", "A 34540-2026")</f>
        <v/>
      </c>
      <c r="Y112">
        <f>HYPERLINK("https://klasma.github.io/Logging_2184/kartor_geotiff/A 34540-2026 georefererad karta.tif", "A 34540-2026")</f>
        <v/>
      </c>
      <c r="AA112">
        <f>HYPERLINK("https://klasma.github.io/Logging_2184/klagomål/A 34540-2026 FSC-klagomål.docx", "A 34540-2026")</f>
        <v/>
      </c>
      <c r="AB112">
        <f>HYPERLINK("https://klasma.github.io/Logging_2184/klagomålsmail/A 34540-2026 FSC-klagomål mail.docx", "A 34540-2026")</f>
        <v/>
      </c>
      <c r="AC112">
        <f>HYPERLINK("https://klasma.github.io/Logging_2184/tillsyn/A 34540-2026 tillsynsbegäran.docx", "A 34540-2026")</f>
        <v/>
      </c>
      <c r="AD112">
        <f>HYPERLINK("https://klasma.github.io/Logging_2184/tillsynsmail/A 34540-2026 tillsynsbegäran mail.docx", "A 34540-2026")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46303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46303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46303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46303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46303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46303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46303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46303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46303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46303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46303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46303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46303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46303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46303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46303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46303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46303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46303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46303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46303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46303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46303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46303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44477</v>
      </c>
      <c r="E137" s="1" t="n">
        <v>46303</v>
      </c>
      <c r="F137" t="inlineStr">
        <is>
          <t>GÄVLEBORGS LÄN</t>
        </is>
      </c>
      <c r="G137" t="inlineStr">
        <is>
          <t>HUDIKSVALL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46303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46303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46303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46303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46303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46303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46303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46303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46303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46303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46303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46303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46303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44875</v>
      </c>
      <c r="E151" s="1" t="n">
        <v>46303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57369-2021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44483</v>
      </c>
      <c r="E152" s="1" t="n">
        <v>46303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46303</v>
      </c>
      <c r="F153" t="inlineStr">
        <is>
          <t>GÄVLEBORGS LÄN</t>
        </is>
      </c>
      <c r="G153" t="inlineStr">
        <is>
          <t>HUDIKSVALL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44574</v>
      </c>
      <c r="E154" s="1" t="n">
        <v>46303</v>
      </c>
      <c r="F154" t="inlineStr">
        <is>
          <t>GÄVLEBORGS LÄN</t>
        </is>
      </c>
      <c r="G154" t="inlineStr">
        <is>
          <t>HUDIKSVALL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46303</v>
      </c>
      <c r="F155" t="inlineStr">
        <is>
          <t>GÄVLEBORGS LÄN</t>
        </is>
      </c>
      <c r="G155" t="inlineStr">
        <is>
          <t>HUDIKSVALL</t>
        </is>
      </c>
      <c r="I155" t="n">
        <v>11.9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46303</v>
      </c>
      <c r="F156" t="inlineStr">
        <is>
          <t>GÄVLEBORGS LÄN</t>
        </is>
      </c>
      <c r="G156" t="inlineStr">
        <is>
          <t>HUDIKSVALL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45695</v>
      </c>
      <c r="E157" s="1" t="n">
        <v>46303</v>
      </c>
      <c r="F157" t="inlineStr">
        <is>
          <t>GÄVLEBORGS LÄN</t>
        </is>
      </c>
      <c r="G157" t="inlineStr">
        <is>
          <t>HUDIKSVALL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46303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46303</v>
      </c>
      <c r="F159" t="inlineStr">
        <is>
          <t>GÄVLEBORGS LÄN</t>
        </is>
      </c>
      <c r="G159" t="inlineStr">
        <is>
          <t>HUDIKSVALL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46303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46303</v>
      </c>
      <c r="F161" t="inlineStr">
        <is>
          <t>GÄVLEBORGS LÄN</t>
        </is>
      </c>
      <c r="G161" t="inlineStr">
        <is>
          <t>HUDIKSVALL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44978</v>
      </c>
      <c r="E162" s="1" t="n">
        <v>46303</v>
      </c>
      <c r="F162" t="inlineStr">
        <is>
          <t>GÄVLEBORGS LÄN</t>
        </is>
      </c>
      <c r="G162" t="inlineStr">
        <is>
          <t>HUDIKSVALL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21772-2023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46303</v>
      </c>
      <c r="F163" t="inlineStr">
        <is>
          <t>GÄVLEBORGS LÄN</t>
        </is>
      </c>
      <c r="G163" t="inlineStr">
        <is>
          <t>HUDIKSVALL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45530</v>
      </c>
      <c r="E164" s="1" t="n">
        <v>46303</v>
      </c>
      <c r="F164" t="inlineStr">
        <is>
          <t>GÄVLEBORGS LÄN</t>
        </is>
      </c>
      <c r="G164" t="inlineStr">
        <is>
          <t>HUDIKSVALL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46303</v>
      </c>
      <c r="F165" t="inlineStr">
        <is>
          <t>GÄVLEBORGS LÄN</t>
        </is>
      </c>
      <c r="G165" t="inlineStr">
        <is>
          <t>HUDIKSVALL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45756</v>
      </c>
      <c r="E166" s="1" t="n">
        <v>46303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45677</v>
      </c>
      <c r="E167" s="1" t="n">
        <v>46303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46303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46303</v>
      </c>
      <c r="F169" t="inlineStr">
        <is>
          <t>GÄVLEBORGS LÄN</t>
        </is>
      </c>
      <c r="G169" t="inlineStr">
        <is>
          <t>HUDIKSVALL</t>
        </is>
      </c>
      <c r="H169" t="inlineStr">
        <is>
          <t>Naturvårdsverket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45627</v>
      </c>
      <c r="E170" s="1" t="n">
        <v>46303</v>
      </c>
      <c r="F170" t="inlineStr">
        <is>
          <t>GÄVLEBORGS LÄN</t>
        </is>
      </c>
      <c r="G170" t="inlineStr">
        <is>
          <t>HUDIKSVALL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46303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45044</v>
      </c>
      <c r="E172" s="1" t="n">
        <v>46303</v>
      </c>
      <c r="F172" t="inlineStr">
        <is>
          <t>GÄVLEBORGS LÄN</t>
        </is>
      </c>
      <c r="G172" t="inlineStr">
        <is>
          <t>HUDIKSVALL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46303</v>
      </c>
      <c r="F173" t="inlineStr">
        <is>
          <t>GÄVLEBORGS LÄN</t>
        </is>
      </c>
      <c r="G173" t="inlineStr">
        <is>
          <t>HUDIKSVALL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46303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46303</v>
      </c>
      <c r="F175" t="inlineStr">
        <is>
          <t>GÄVLEBORGS LÄN</t>
        </is>
      </c>
      <c r="G175" t="inlineStr">
        <is>
          <t>HUDIKSVALL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45176</v>
      </c>
      <c r="E176" s="1" t="n">
        <v>46303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46303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46303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24.3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45695</v>
      </c>
      <c r="E179" s="1" t="n">
        <v>46303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44685</v>
      </c>
      <c r="E180" s="1" t="n">
        <v>46303</v>
      </c>
      <c r="F180" t="inlineStr">
        <is>
          <t>GÄVLEBORGS LÄN</t>
        </is>
      </c>
      <c r="G180" t="inlineStr">
        <is>
          <t>HUDIKSVALL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60626-2021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44496</v>
      </c>
      <c r="E181" s="1" t="n">
        <v>46303</v>
      </c>
      <c r="F181" t="inlineStr">
        <is>
          <t>GÄVLEBORGS LÄN</t>
        </is>
      </c>
      <c r="G181" t="inlineStr">
        <is>
          <t>HUDIKSVALL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46303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46303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68342-2021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44528</v>
      </c>
      <c r="E184" s="1" t="n">
        <v>46303</v>
      </c>
      <c r="F184" t="inlineStr">
        <is>
          <t>GÄVLEBORGS LÄN</t>
        </is>
      </c>
      <c r="G184" t="inlineStr">
        <is>
          <t>HUDIKSVALL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68659-2021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46303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46303</v>
      </c>
      <c r="F186" t="inlineStr">
        <is>
          <t>GÄVLEBORGS LÄN</t>
        </is>
      </c>
      <c r="G186" t="inlineStr">
        <is>
          <t>HUDIKSVALL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45247</v>
      </c>
      <c r="E187" s="1" t="n">
        <v>46303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45676</v>
      </c>
      <c r="E188" s="1" t="n">
        <v>46303</v>
      </c>
      <c r="F188" t="inlineStr">
        <is>
          <t>GÄVLEBORGS LÄN</t>
        </is>
      </c>
      <c r="G188" t="inlineStr">
        <is>
          <t>HUDIKSVALL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45247</v>
      </c>
      <c r="E189" s="1" t="n">
        <v>46303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46303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46303</v>
      </c>
      <c r="F191" t="inlineStr">
        <is>
          <t>GÄVLEBORGS LÄN</t>
        </is>
      </c>
      <c r="G191" t="inlineStr">
        <is>
          <t>HUDIKSVALL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46303</v>
      </c>
      <c r="F192" t="inlineStr">
        <is>
          <t>GÄVLEBORGS LÄN</t>
        </is>
      </c>
      <c r="G192" t="inlineStr">
        <is>
          <t>HUDIKSVALL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46303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14771-2025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45742</v>
      </c>
      <c r="E194" s="1" t="n">
        <v>46303</v>
      </c>
      <c r="F194" t="inlineStr">
        <is>
          <t>GÄVLEBORGS LÄN</t>
        </is>
      </c>
      <c r="G194" t="inlineStr">
        <is>
          <t>HUDIKSVALL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46303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46303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23187-2023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45075</v>
      </c>
      <c r="E197" s="1" t="n">
        <v>46303</v>
      </c>
      <c r="F197" t="inlineStr">
        <is>
          <t>GÄVLEBORGS LÄN</t>
        </is>
      </c>
      <c r="G197" t="inlineStr">
        <is>
          <t>HUDIKSVALL</t>
        </is>
      </c>
      <c r="H197" t="inlineStr">
        <is>
          <t>Kommuner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46303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46303</v>
      </c>
      <c r="F199" t="inlineStr">
        <is>
          <t>GÄVLEBORGS LÄN</t>
        </is>
      </c>
      <c r="G199" t="inlineStr">
        <is>
          <t>HUDIKSVALL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46303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46303</v>
      </c>
      <c r="F201" t="inlineStr">
        <is>
          <t>GÄVLEBORGS LÄN</t>
        </is>
      </c>
      <c r="G201" t="inlineStr">
        <is>
          <t>HUDIKSVALL</t>
        </is>
      </c>
      <c r="I201" t="n">
        <v>18.2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45535</v>
      </c>
      <c r="E202" s="1" t="n">
        <v>46303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45695</v>
      </c>
      <c r="E203" s="1" t="n">
        <v>46303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59773-2023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46303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46303</v>
      </c>
      <c r="F205" t="inlineStr">
        <is>
          <t>GÄVLEBORGS LÄN</t>
        </is>
      </c>
      <c r="G205" t="inlineStr">
        <is>
          <t>HUDIKSVALL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46303</v>
      </c>
      <c r="F206" t="inlineStr">
        <is>
          <t>GÄVLEBORGS LÄN</t>
        </is>
      </c>
      <c r="G206" t="inlineStr">
        <is>
          <t>HUDIKSVALL</t>
        </is>
      </c>
      <c r="I206" t="n">
        <v>12.8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46303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8027-2024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45350</v>
      </c>
      <c r="E208" s="1" t="n">
        <v>46303</v>
      </c>
      <c r="F208" t="inlineStr">
        <is>
          <t>GÄVLEBORGS LÄN</t>
        </is>
      </c>
      <c r="G208" t="inlineStr">
        <is>
          <t>HUDIKSVALL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45033</v>
      </c>
      <c r="E209" s="1" t="n">
        <v>46303</v>
      </c>
      <c r="F209" t="inlineStr">
        <is>
          <t>GÄVLEBORGS LÄN</t>
        </is>
      </c>
      <c r="G209" t="inlineStr">
        <is>
          <t>HUDIKSVALL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46303</v>
      </c>
      <c r="F210" t="inlineStr">
        <is>
          <t>GÄVLEBORGS LÄN</t>
        </is>
      </c>
      <c r="G210" t="inlineStr">
        <is>
          <t>HUDIKSVALL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46303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46303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46303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29.4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45387</v>
      </c>
      <c r="E214" s="1" t="n">
        <v>46303</v>
      </c>
      <c r="F214" t="inlineStr">
        <is>
          <t>GÄVLEBORGS LÄN</t>
        </is>
      </c>
      <c r="G214" t="inlineStr">
        <is>
          <t>HUDIKSVALL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46303</v>
      </c>
      <c r="F215" t="inlineStr">
        <is>
          <t>GÄVLEBORGS LÄN</t>
        </is>
      </c>
      <c r="G215" t="inlineStr">
        <is>
          <t>HUDIKSVALL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46303</v>
      </c>
      <c r="F216" t="inlineStr">
        <is>
          <t>GÄVLEBORGS LÄN</t>
        </is>
      </c>
      <c r="G216" t="inlineStr">
        <is>
          <t>HUDIKSVALL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46303</v>
      </c>
      <c r="F217" t="inlineStr">
        <is>
          <t>GÄVLEBORGS LÄN</t>
        </is>
      </c>
      <c r="G217" t="inlineStr">
        <is>
          <t>HUDIKSVALL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45702</v>
      </c>
      <c r="E218" s="1" t="n">
        <v>46303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46303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44712</v>
      </c>
      <c r="E220" s="1" t="n">
        <v>46303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45177</v>
      </c>
      <c r="E221" s="1" t="n">
        <v>46303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46303</v>
      </c>
      <c r="F222" t="inlineStr">
        <is>
          <t>GÄVLEBORGS LÄN</t>
        </is>
      </c>
      <c r="G222" t="inlineStr">
        <is>
          <t>HUDIKSVALL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45701</v>
      </c>
      <c r="E223" s="1" t="n">
        <v>46303</v>
      </c>
      <c r="F223" t="inlineStr">
        <is>
          <t>GÄVLEBORGS LÄN</t>
        </is>
      </c>
      <c r="G223" t="inlineStr">
        <is>
          <t>HUDIKSVALL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45777</v>
      </c>
      <c r="E224" s="1" t="n">
        <v>46303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45782</v>
      </c>
      <c r="E225" s="1" t="n">
        <v>46303</v>
      </c>
      <c r="F225" t="inlineStr">
        <is>
          <t>GÄVLEBORGS LÄN</t>
        </is>
      </c>
      <c r="G225" t="inlineStr">
        <is>
          <t>HUDIKSVALL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45278</v>
      </c>
      <c r="E226" s="1" t="n">
        <v>46303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46303</v>
      </c>
      <c r="F227" t="inlineStr">
        <is>
          <t>GÄVLEBORGS LÄN</t>
        </is>
      </c>
      <c r="G227" t="inlineStr">
        <is>
          <t>HUDIKSVALL</t>
        </is>
      </c>
      <c r="I227" t="n">
        <v>9.300000000000001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22148-2025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45785</v>
      </c>
      <c r="E228" s="1" t="n">
        <v>46303</v>
      </c>
      <c r="F228" t="inlineStr">
        <is>
          <t>GÄVLEBORGS LÄN</t>
        </is>
      </c>
      <c r="G228" t="inlineStr">
        <is>
          <t>HUDIKSVALL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46303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46303</v>
      </c>
      <c r="F230" t="inlineStr">
        <is>
          <t>GÄVLEBORGS LÄN</t>
        </is>
      </c>
      <c r="G230" t="inlineStr">
        <is>
          <t>HUDIKSVALL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60283-2022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44910</v>
      </c>
      <c r="E231" s="1" t="n">
        <v>46303</v>
      </c>
      <c r="F231" t="inlineStr">
        <is>
          <t>GÄVLEBORGS LÄN</t>
        </is>
      </c>
      <c r="G231" t="inlineStr">
        <is>
          <t>HUDIKSVALL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46303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46303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46303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46303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46303</v>
      </c>
      <c r="F236" t="inlineStr">
        <is>
          <t>GÄVLEBORGS LÄN</t>
        </is>
      </c>
      <c r="G236" t="inlineStr">
        <is>
          <t>HUDIKSVALL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68730-2021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44529</v>
      </c>
      <c r="E237" s="1" t="n">
        <v>46303</v>
      </c>
      <c r="F237" t="inlineStr">
        <is>
          <t>GÄVLEBORGS LÄN</t>
        </is>
      </c>
      <c r="G237" t="inlineStr">
        <is>
          <t>HUDIKSVALL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46303</v>
      </c>
      <c r="F238" t="inlineStr">
        <is>
          <t>GÄVLEBORGS LÄN</t>
        </is>
      </c>
      <c r="G238" t="inlineStr">
        <is>
          <t>HUDIKSVALL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46303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44571</v>
      </c>
      <c r="E240" s="1" t="n">
        <v>46303</v>
      </c>
      <c r="F240" t="inlineStr">
        <is>
          <t>GÄVLEBORGS LÄN</t>
        </is>
      </c>
      <c r="G240" t="inlineStr">
        <is>
          <t>HUDIKSVALL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46303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46303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45567</v>
      </c>
      <c r="E243" s="1" t="n">
        <v>46303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45426</v>
      </c>
      <c r="E244" s="1" t="n">
        <v>46303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45426</v>
      </c>
      <c r="E245" s="1" t="n">
        <v>46303</v>
      </c>
      <c r="F245" t="inlineStr">
        <is>
          <t>GÄVLEBORGS LÄN</t>
        </is>
      </c>
      <c r="G245" t="inlineStr">
        <is>
          <t>HUDIKSVALL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46303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Kommuner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46303</v>
      </c>
      <c r="F247" t="inlineStr">
        <is>
          <t>GÄVLEBORGS LÄN</t>
        </is>
      </c>
      <c r="G247" t="inlineStr">
        <is>
          <t>HUDIKSVALL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45551</v>
      </c>
      <c r="E248" s="1" t="n">
        <v>46303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13663-2025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46303</v>
      </c>
      <c r="F249" t="inlineStr">
        <is>
          <t>GÄVLEBORGS LÄN</t>
        </is>
      </c>
      <c r="G249" t="inlineStr">
        <is>
          <t>HUDIKSVALL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46303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45748</v>
      </c>
      <c r="E251" s="1" t="n">
        <v>46303</v>
      </c>
      <c r="F251" t="inlineStr">
        <is>
          <t>GÄVLEBORGS LÄN</t>
        </is>
      </c>
      <c r="G251" t="inlineStr">
        <is>
          <t>HUDIKSVALL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46303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45786</v>
      </c>
      <c r="E253" s="1" t="n">
        <v>46303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46303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45764</v>
      </c>
      <c r="E255" s="1" t="n">
        <v>46303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44977</v>
      </c>
      <c r="E256" s="1" t="n">
        <v>46303</v>
      </c>
      <c r="F256" t="inlineStr">
        <is>
          <t>GÄVLEBORGS LÄN</t>
        </is>
      </c>
      <c r="G256" t="inlineStr">
        <is>
          <t>HUDIKSVALL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45789</v>
      </c>
      <c r="E257" s="1" t="n">
        <v>46303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46303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46303</v>
      </c>
      <c r="F259" t="inlineStr">
        <is>
          <t>GÄVLEBORGS LÄN</t>
        </is>
      </c>
      <c r="G259" t="inlineStr">
        <is>
          <t>HUDIKSVALL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46303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82.3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45789</v>
      </c>
      <c r="E261" s="1" t="n">
        <v>46303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46303</v>
      </c>
      <c r="F262" t="inlineStr">
        <is>
          <t>GÄVLEBORGS LÄN</t>
        </is>
      </c>
      <c r="G262" t="inlineStr">
        <is>
          <t>HUDIKSVALL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46303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46303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30122-2023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45110</v>
      </c>
      <c r="E265" s="1" t="n">
        <v>46303</v>
      </c>
      <c r="F265" t="inlineStr">
        <is>
          <t>GÄVLEBORGS LÄN</t>
        </is>
      </c>
      <c r="G265" t="inlineStr">
        <is>
          <t>HUDIKSVALL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46303</v>
      </c>
      <c r="F266" t="inlineStr">
        <is>
          <t>GÄVLEBORGS LÄN</t>
        </is>
      </c>
      <c r="G266" t="inlineStr">
        <is>
          <t>HUDIKSVALL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46303</v>
      </c>
      <c r="F267" t="inlineStr">
        <is>
          <t>GÄVLEBORGS LÄN</t>
        </is>
      </c>
      <c r="G267" t="inlineStr">
        <is>
          <t>HUDIKSVALL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46303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46303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46303</v>
      </c>
      <c r="F270" t="inlineStr">
        <is>
          <t>GÄVLEBORGS LÄN</t>
        </is>
      </c>
      <c r="G270" t="inlineStr">
        <is>
          <t>HUDIKSVALL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46303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46303</v>
      </c>
      <c r="F272" t="inlineStr">
        <is>
          <t>GÄVLEBORGS LÄN</t>
        </is>
      </c>
      <c r="G272" t="inlineStr">
        <is>
          <t>HUDIKSVALL</t>
        </is>
      </c>
      <c r="I272" t="n">
        <v>66.59999999999999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37638-2022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44810</v>
      </c>
      <c r="E273" s="1" t="n">
        <v>46303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37681-2022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44810</v>
      </c>
      <c r="E274" s="1" t="n">
        <v>46303</v>
      </c>
      <c r="F274" t="inlineStr">
        <is>
          <t>GÄVLEBORGS LÄN</t>
        </is>
      </c>
      <c r="G274" t="inlineStr">
        <is>
          <t>HUDIKSVALL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46303</v>
      </c>
      <c r="F275" t="inlineStr">
        <is>
          <t>GÄVLEBORGS LÄN</t>
        </is>
      </c>
      <c r="G275" t="inlineStr">
        <is>
          <t>HUDIKSVALL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46303</v>
      </c>
      <c r="F276" t="inlineStr">
        <is>
          <t>GÄVLEBORGS LÄN</t>
        </is>
      </c>
      <c r="G276" t="inlineStr">
        <is>
          <t>HUDIKSVALL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54625-2023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45234</v>
      </c>
      <c r="E277" s="1" t="n">
        <v>46303</v>
      </c>
      <c r="F277" t="inlineStr">
        <is>
          <t>GÄVLEBORGS LÄN</t>
        </is>
      </c>
      <c r="G277" t="inlineStr">
        <is>
          <t>HUDIKSVALL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44168-2022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46303</v>
      </c>
      <c r="F278" t="inlineStr">
        <is>
          <t>GÄVLEBORGS LÄN</t>
        </is>
      </c>
      <c r="G278" t="inlineStr">
        <is>
          <t>HUDIKSVALL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46303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46303</v>
      </c>
      <c r="F280" t="inlineStr">
        <is>
          <t>GÄVLEBORGS LÄN</t>
        </is>
      </c>
      <c r="G280" t="inlineStr">
        <is>
          <t>HUDIKSVALL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45783</v>
      </c>
      <c r="E281" s="1" t="n">
        <v>46303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44.8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46303</v>
      </c>
      <c r="F282" t="inlineStr">
        <is>
          <t>GÄVLEBORGS LÄN</t>
        </is>
      </c>
      <c r="G282" t="inlineStr">
        <is>
          <t>HUDIKSVALL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46303</v>
      </c>
      <c r="F283" t="inlineStr">
        <is>
          <t>GÄVLEBORGS LÄN</t>
        </is>
      </c>
      <c r="G283" t="inlineStr">
        <is>
          <t>HUDIKSVALL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45643</v>
      </c>
      <c r="E284" s="1" t="n">
        <v>46303</v>
      </c>
      <c r="F284" t="inlineStr">
        <is>
          <t>GÄVLEBORGS LÄN</t>
        </is>
      </c>
      <c r="G284" t="inlineStr">
        <is>
          <t>HUDIKSVALL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45890</v>
      </c>
      <c r="E285" s="1" t="n">
        <v>46303</v>
      </c>
      <c r="F285" t="inlineStr">
        <is>
          <t>GÄVLEBORGS LÄN</t>
        </is>
      </c>
      <c r="G285" t="inlineStr">
        <is>
          <t>HUDIKSVALL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45889</v>
      </c>
      <c r="E286" s="1" t="n">
        <v>46303</v>
      </c>
      <c r="F286" t="inlineStr">
        <is>
          <t>GÄVLEBORGS LÄN</t>
        </is>
      </c>
      <c r="G286" t="inlineStr">
        <is>
          <t>HUDIKSVALL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46303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50161-2024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45600</v>
      </c>
      <c r="E288" s="1" t="n">
        <v>46303</v>
      </c>
      <c r="F288" t="inlineStr">
        <is>
          <t>GÄVLEBORGS LÄN</t>
        </is>
      </c>
      <c r="G288" t="inlineStr">
        <is>
          <t>HUDIKSVALL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45772</v>
      </c>
      <c r="E289" s="1" t="n">
        <v>46303</v>
      </c>
      <c r="F289" t="inlineStr">
        <is>
          <t>GÄVLEBORGS LÄN</t>
        </is>
      </c>
      <c r="G289" t="inlineStr">
        <is>
          <t>HUDIKSVALL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46303</v>
      </c>
      <c r="F290" t="inlineStr">
        <is>
          <t>GÄVLEBORGS LÄN</t>
        </is>
      </c>
      <c r="G290" t="inlineStr">
        <is>
          <t>HUDIKSVALL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45384</v>
      </c>
      <c r="E291" s="1" t="n">
        <v>46303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44833</v>
      </c>
      <c r="E292" s="1" t="n">
        <v>46303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44915</v>
      </c>
      <c r="E293" s="1" t="n">
        <v>46303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45720</v>
      </c>
      <c r="E294" s="1" t="n">
        <v>46303</v>
      </c>
      <c r="F294" t="inlineStr">
        <is>
          <t>GÄVLEBORGS LÄN</t>
        </is>
      </c>
      <c r="G294" t="inlineStr">
        <is>
          <t>HUDIKSVALL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46303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46303</v>
      </c>
      <c r="F296" t="inlineStr">
        <is>
          <t>GÄVLEBORGS LÄN</t>
        </is>
      </c>
      <c r="G296" t="inlineStr">
        <is>
          <t>HUDIKSVALL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45666</v>
      </c>
      <c r="E297" s="1" t="n">
        <v>46303</v>
      </c>
      <c r="F297" t="inlineStr">
        <is>
          <t>GÄVLEBORGS LÄN</t>
        </is>
      </c>
      <c r="G297" t="inlineStr">
        <is>
          <t>HUDIKSVALL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64579-2023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45281</v>
      </c>
      <c r="E298" s="1" t="n">
        <v>46303</v>
      </c>
      <c r="F298" t="inlineStr">
        <is>
          <t>GÄVLEBORGS LÄN</t>
        </is>
      </c>
      <c r="G298" t="inlineStr">
        <is>
          <t>HUDIKSVALL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46303</v>
      </c>
      <c r="F299" t="inlineStr">
        <is>
          <t>GÄVLEBORGS LÄN</t>
        </is>
      </c>
      <c r="G299" t="inlineStr">
        <is>
          <t>HUDIKSVALL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59064-2022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46303</v>
      </c>
      <c r="F300" t="inlineStr">
        <is>
          <t>GÄVLEBORGS LÄN</t>
        </is>
      </c>
      <c r="G300" t="inlineStr">
        <is>
          <t>HUDIKSVALL</t>
        </is>
      </c>
      <c r="H300" t="inlineStr">
        <is>
          <t>Kyrkan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45660</v>
      </c>
      <c r="E301" s="1" t="n">
        <v>46303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46303</v>
      </c>
      <c r="F302" t="inlineStr">
        <is>
          <t>GÄVLEBORGS LÄN</t>
        </is>
      </c>
      <c r="G302" t="inlineStr">
        <is>
          <t>HUDIKSVALL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46303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45527</v>
      </c>
      <c r="E304" s="1" t="n">
        <v>46303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46303</v>
      </c>
      <c r="F305" t="inlineStr">
        <is>
          <t>GÄVLEBORGS LÄN</t>
        </is>
      </c>
      <c r="G305" t="inlineStr">
        <is>
          <t>HUDIKSVALL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73458-2021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44551</v>
      </c>
      <c r="E306" s="1" t="n">
        <v>46303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30697-2024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45496</v>
      </c>
      <c r="E307" s="1" t="n">
        <v>46303</v>
      </c>
      <c r="F307" t="inlineStr">
        <is>
          <t>GÄVLEBORGS LÄN</t>
        </is>
      </c>
      <c r="G307" t="inlineStr">
        <is>
          <t>HUDIKSVALL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44986</v>
      </c>
      <c r="E308" s="1" t="n">
        <v>46303</v>
      </c>
      <c r="F308" t="inlineStr">
        <is>
          <t>GÄVLEBORGS LÄN</t>
        </is>
      </c>
      <c r="G308" t="inlineStr">
        <is>
          <t>HUDIKSVALL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46303</v>
      </c>
      <c r="F309" t="inlineStr">
        <is>
          <t>GÄVLEBORGS LÄN</t>
        </is>
      </c>
      <c r="G309" t="inlineStr">
        <is>
          <t>HUDIKSVALL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45327</v>
      </c>
      <c r="E310" s="1" t="n">
        <v>46303</v>
      </c>
      <c r="F310" t="inlineStr">
        <is>
          <t>GÄVLEBORGS LÄN</t>
        </is>
      </c>
      <c r="G310" t="inlineStr">
        <is>
          <t>HUDIKSVALL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46303</v>
      </c>
      <c r="F311" t="inlineStr">
        <is>
          <t>GÄVLEBORGS LÄN</t>
        </is>
      </c>
      <c r="G311" t="inlineStr">
        <is>
          <t>HUDIKSVALL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45535</v>
      </c>
      <c r="E312" s="1" t="n">
        <v>46303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46667-2024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45583</v>
      </c>
      <c r="E313" s="1" t="n">
        <v>46303</v>
      </c>
      <c r="F313" t="inlineStr">
        <is>
          <t>GÄVLEBORGS LÄN</t>
        </is>
      </c>
      <c r="G313" t="inlineStr">
        <is>
          <t>HUDIKSVALL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46303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45431</v>
      </c>
      <c r="E315" s="1" t="n">
        <v>46303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45535</v>
      </c>
      <c r="E316" s="1" t="n">
        <v>46303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45793</v>
      </c>
      <c r="E317" s="1" t="n">
        <v>46303</v>
      </c>
      <c r="F317" t="inlineStr">
        <is>
          <t>GÄVLEBORGS LÄN</t>
        </is>
      </c>
      <c r="G317" t="inlineStr">
        <is>
          <t>HUDIKSVALL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45533</v>
      </c>
      <c r="E318" s="1" t="n">
        <v>46303</v>
      </c>
      <c r="F318" t="inlineStr">
        <is>
          <t>GÄVLEBORGS LÄN</t>
        </is>
      </c>
      <c r="G318" t="inlineStr">
        <is>
          <t>HUDIKSVALL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20612-2024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45436</v>
      </c>
      <c r="E319" s="1" t="n">
        <v>46303</v>
      </c>
      <c r="F319" t="inlineStr">
        <is>
          <t>GÄVLEBORGS LÄN</t>
        </is>
      </c>
      <c r="G319" t="inlineStr">
        <is>
          <t>HUDIKSVALL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46303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Kommuner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40474-2025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45895</v>
      </c>
      <c r="E321" s="1" t="n">
        <v>46303</v>
      </c>
      <c r="F321" t="inlineStr">
        <is>
          <t>GÄVLEBORGS LÄN</t>
        </is>
      </c>
      <c r="G321" t="inlineStr">
        <is>
          <t>HUDIKSVALL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46303</v>
      </c>
      <c r="F322" t="inlineStr">
        <is>
          <t>GÄVLEBORGS LÄN</t>
        </is>
      </c>
      <c r="G322" t="inlineStr">
        <is>
          <t>HUDIKSVALL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46303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46303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46303</v>
      </c>
      <c r="F325" t="inlineStr">
        <is>
          <t>GÄVLEBORGS LÄN</t>
        </is>
      </c>
      <c r="G325" t="inlineStr">
        <is>
          <t>HUDIKSVALL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45898</v>
      </c>
      <c r="E326" s="1" t="n">
        <v>46303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35.1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53624-2024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45614</v>
      </c>
      <c r="E327" s="1" t="n">
        <v>46303</v>
      </c>
      <c r="F327" t="inlineStr">
        <is>
          <t>GÄVLEBORGS LÄN</t>
        </is>
      </c>
      <c r="G327" t="inlineStr">
        <is>
          <t>HUDIKSVALL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46303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46303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45688</v>
      </c>
      <c r="E330" s="1" t="n">
        <v>46303</v>
      </c>
      <c r="F330" t="inlineStr">
        <is>
          <t>GÄVLEBORGS LÄN</t>
        </is>
      </c>
      <c r="G330" t="inlineStr">
        <is>
          <t>HUDIKSVALL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41239-2025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45898</v>
      </c>
      <c r="E331" s="1" t="n">
        <v>46303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45559</v>
      </c>
      <c r="E332" s="1" t="n">
        <v>46303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45559</v>
      </c>
      <c r="E333" s="1" t="n">
        <v>46303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8.4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46303</v>
      </c>
      <c r="F334" t="inlineStr">
        <is>
          <t>GÄVLEBORGS LÄN</t>
        </is>
      </c>
      <c r="G334" t="inlineStr">
        <is>
          <t>HUDIKSVALL</t>
        </is>
      </c>
      <c r="H334" t="inlineStr">
        <is>
          <t>Sveaskog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45231</v>
      </c>
      <c r="E335" s="1" t="n">
        <v>46303</v>
      </c>
      <c r="F335" t="inlineStr">
        <is>
          <t>GÄVLEBORGS LÄN</t>
        </is>
      </c>
      <c r="G335" t="inlineStr">
        <is>
          <t>HUDIKSVALL</t>
        </is>
      </c>
      <c r="I335" t="n">
        <v>17.6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45359</v>
      </c>
      <c r="E336" s="1" t="n">
        <v>46303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45443</v>
      </c>
      <c r="E337" s="1" t="n">
        <v>46303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46303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41762-2025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46303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45278</v>
      </c>
      <c r="E340" s="1" t="n">
        <v>46303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46303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64593-2023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45281</v>
      </c>
      <c r="E342" s="1" t="n">
        <v>46303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11082-2023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46303</v>
      </c>
      <c r="F343" t="inlineStr">
        <is>
          <t>GÄVLEBORGS LÄN</t>
        </is>
      </c>
      <c r="G343" t="inlineStr">
        <is>
          <t>HUDIKSVALL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41458-2025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45901</v>
      </c>
      <c r="E344" s="1" t="n">
        <v>46303</v>
      </c>
      <c r="F344" t="inlineStr">
        <is>
          <t>GÄVLEBORGS LÄN</t>
        </is>
      </c>
      <c r="G344" t="inlineStr">
        <is>
          <t>HUDIKSVALL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45027</v>
      </c>
      <c r="E345" s="1" t="n">
        <v>46303</v>
      </c>
      <c r="F345" t="inlineStr">
        <is>
          <t>GÄVLEBORGS LÄN</t>
        </is>
      </c>
      <c r="G345" t="inlineStr">
        <is>
          <t>HUDIKSVALL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46303</v>
      </c>
      <c r="F346" t="inlineStr">
        <is>
          <t>GÄVLEBORGS LÄN</t>
        </is>
      </c>
      <c r="G346" t="inlineStr">
        <is>
          <t>HUDIKSVALL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64727-2023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46303</v>
      </c>
      <c r="F347" t="inlineStr">
        <is>
          <t>GÄVLEBORGS LÄN</t>
        </is>
      </c>
      <c r="G347" t="inlineStr">
        <is>
          <t>HUDIKSVALL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46303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24584-2025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45798</v>
      </c>
      <c r="E349" s="1" t="n">
        <v>46303</v>
      </c>
      <c r="F349" t="inlineStr">
        <is>
          <t>GÄVLEBORGS LÄN</t>
        </is>
      </c>
      <c r="G349" t="inlineStr">
        <is>
          <t>HUDIKSVALL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45489</v>
      </c>
      <c r="E350" s="1" t="n">
        <v>46303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46303</v>
      </c>
      <c r="F351" t="inlineStr">
        <is>
          <t>GÄVLEBORGS LÄN</t>
        </is>
      </c>
      <c r="G351" t="inlineStr">
        <is>
          <t>HUDIKSVALL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45797</v>
      </c>
      <c r="E352" s="1" t="n">
        <v>46303</v>
      </c>
      <c r="F352" t="inlineStr">
        <is>
          <t>GÄVLEBORGS LÄN</t>
        </is>
      </c>
      <c r="G352" t="inlineStr">
        <is>
          <t>HUDIKSVALL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46303</v>
      </c>
      <c r="F353" t="inlineStr">
        <is>
          <t>GÄVLEBORGS LÄN</t>
        </is>
      </c>
      <c r="G353" t="inlineStr">
        <is>
          <t>HUDIKSVALL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46303</v>
      </c>
      <c r="F354" t="inlineStr">
        <is>
          <t>GÄVLEBORGS LÄN</t>
        </is>
      </c>
      <c r="G354" t="inlineStr">
        <is>
          <t>HUDIKSVALL</t>
        </is>
      </c>
      <c r="I354" t="n">
        <v>11.5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57679-2022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46303</v>
      </c>
      <c r="F355" t="inlineStr">
        <is>
          <t>GÄVLEBORGS LÄN</t>
        </is>
      </c>
      <c r="G355" t="inlineStr">
        <is>
          <t>HUDIKSVALL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45904</v>
      </c>
      <c r="E356" s="1" t="n">
        <v>46303</v>
      </c>
      <c r="F356" t="inlineStr">
        <is>
          <t>GÄVLEBORGS LÄN</t>
        </is>
      </c>
      <c r="G356" t="inlineStr">
        <is>
          <t>HUDIKSVALL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5230-2024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45330</v>
      </c>
      <c r="E357" s="1" t="n">
        <v>46303</v>
      </c>
      <c r="F357" t="inlineStr">
        <is>
          <t>GÄVLEBORGS LÄN</t>
        </is>
      </c>
      <c r="G357" t="inlineStr">
        <is>
          <t>HUDIKSVALL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46303</v>
      </c>
      <c r="F358" t="inlineStr">
        <is>
          <t>GÄVLEBORGS LÄN</t>
        </is>
      </c>
      <c r="G358" t="inlineStr">
        <is>
          <t>HUDIKSVALL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46303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46303</v>
      </c>
      <c r="F360" t="inlineStr">
        <is>
          <t>GÄVLEBORGS LÄN</t>
        </is>
      </c>
      <c r="G360" t="inlineStr">
        <is>
          <t>HUDIKSVALL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46303</v>
      </c>
      <c r="F361" t="inlineStr">
        <is>
          <t>GÄVLEBORGS LÄN</t>
        </is>
      </c>
      <c r="G361" t="inlineStr">
        <is>
          <t>HUDIKSVALL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45910</v>
      </c>
      <c r="E362" s="1" t="n">
        <v>46303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46303</v>
      </c>
      <c r="F363" t="inlineStr">
        <is>
          <t>GÄVLEBORGS LÄN</t>
        </is>
      </c>
      <c r="G363" t="inlineStr">
        <is>
          <t>HUDIKSVALL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45800</v>
      </c>
      <c r="E364" s="1" t="n">
        <v>46303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43170-2025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45910</v>
      </c>
      <c r="E365" s="1" t="n">
        <v>46303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46303</v>
      </c>
      <c r="F366" t="inlineStr">
        <is>
          <t>GÄVLEBORGS LÄN</t>
        </is>
      </c>
      <c r="G366" t="inlineStr">
        <is>
          <t>HUDIKSVALL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46303</v>
      </c>
      <c r="F367" t="inlineStr">
        <is>
          <t>GÄVLEBORGS LÄN</t>
        </is>
      </c>
      <c r="G367" t="inlineStr">
        <is>
          <t>HUDIKSVALL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45799</v>
      </c>
      <c r="E368" s="1" t="n">
        <v>46303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72535-2021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44546</v>
      </c>
      <c r="E369" s="1" t="n">
        <v>46303</v>
      </c>
      <c r="F369" t="inlineStr">
        <is>
          <t>GÄVLEBORGS LÄN</t>
        </is>
      </c>
      <c r="G369" t="inlineStr">
        <is>
          <t>HUDIKSVALL</t>
        </is>
      </c>
      <c r="H369" t="inlineStr">
        <is>
          <t>Sveaskog</t>
        </is>
      </c>
      <c r="I369" t="n">
        <v>23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46303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46303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46303</v>
      </c>
      <c r="F372" t="inlineStr">
        <is>
          <t>GÄVLEBORGS LÄN</t>
        </is>
      </c>
      <c r="G372" t="inlineStr">
        <is>
          <t>HUDIKSVALL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25673-2025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46303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46303</v>
      </c>
      <c r="F374" t="inlineStr">
        <is>
          <t>GÄVLEBORGS LÄN</t>
        </is>
      </c>
      <c r="G374" t="inlineStr">
        <is>
          <t>HUDIKSVALL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45663</v>
      </c>
      <c r="E375" s="1" t="n">
        <v>46303</v>
      </c>
      <c r="F375" t="inlineStr">
        <is>
          <t>GÄVLEBORGS LÄN</t>
        </is>
      </c>
      <c r="G375" t="inlineStr">
        <is>
          <t>HUDIKSVALL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46303</v>
      </c>
      <c r="F376" t="inlineStr">
        <is>
          <t>GÄVLEBORGS LÄN</t>
        </is>
      </c>
      <c r="G376" t="inlineStr">
        <is>
          <t>HUDIKSVALL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46303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43715-2025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45912</v>
      </c>
      <c r="E378" s="1" t="n">
        <v>46303</v>
      </c>
      <c r="F378" t="inlineStr">
        <is>
          <t>GÄVLEBORGS LÄN</t>
        </is>
      </c>
      <c r="G378" t="inlineStr">
        <is>
          <t>HUDIKSVALL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46303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45912</v>
      </c>
      <c r="E380" s="1" t="n">
        <v>46303</v>
      </c>
      <c r="F380" t="inlineStr">
        <is>
          <t>GÄVLEBORGS LÄN</t>
        </is>
      </c>
      <c r="G380" t="inlineStr">
        <is>
          <t>HUDIKSVALL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46303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16858-2024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45411</v>
      </c>
      <c r="E382" s="1" t="n">
        <v>46303</v>
      </c>
      <c r="F382" t="inlineStr">
        <is>
          <t>GÄVLEBORGS LÄN</t>
        </is>
      </c>
      <c r="G382" t="inlineStr">
        <is>
          <t>HUDIKSVALL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45411</v>
      </c>
      <c r="E383" s="1" t="n">
        <v>46303</v>
      </c>
      <c r="F383" t="inlineStr">
        <is>
          <t>GÄVLEBORGS LÄN</t>
        </is>
      </c>
      <c r="G383" t="inlineStr">
        <is>
          <t>HUDIKSVALL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45810</v>
      </c>
      <c r="E384" s="1" t="n">
        <v>46303</v>
      </c>
      <c r="F384" t="inlineStr">
        <is>
          <t>GÄVLEBORGS LÄN</t>
        </is>
      </c>
      <c r="G384" t="inlineStr">
        <is>
          <t>HUDIKSVALL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45524</v>
      </c>
      <c r="E385" s="1" t="n">
        <v>46303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26402-2025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45807</v>
      </c>
      <c r="E386" s="1" t="n">
        <v>46303</v>
      </c>
      <c r="F386" t="inlineStr">
        <is>
          <t>GÄVLEBORGS LÄN</t>
        </is>
      </c>
      <c r="G386" t="inlineStr">
        <is>
          <t>HUDIKSVALL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46303</v>
      </c>
      <c r="F387" t="inlineStr">
        <is>
          <t>GÄVLEBORGS LÄN</t>
        </is>
      </c>
      <c r="G387" t="inlineStr">
        <is>
          <t>HUDIKSVALL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46303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46303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45353</v>
      </c>
      <c r="E390" s="1" t="n">
        <v>46303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46303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12674-2023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46303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26403-2025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45807</v>
      </c>
      <c r="E393" s="1" t="n">
        <v>46303</v>
      </c>
      <c r="F393" t="inlineStr">
        <is>
          <t>GÄVLEBORGS LÄN</t>
        </is>
      </c>
      <c r="G393" t="inlineStr">
        <is>
          <t>HUDIKSVALL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46303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45524</v>
      </c>
      <c r="E395" s="1" t="n">
        <v>46303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45810</v>
      </c>
      <c r="E396" s="1" t="n">
        <v>46303</v>
      </c>
      <c r="F396" t="inlineStr">
        <is>
          <t>GÄVLEBORGS LÄN</t>
        </is>
      </c>
      <c r="G396" t="inlineStr">
        <is>
          <t>HUDIKSVALL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46303</v>
      </c>
      <c r="F397" t="inlineStr">
        <is>
          <t>GÄVLEBORGS LÄN</t>
        </is>
      </c>
      <c r="G397" t="inlineStr">
        <is>
          <t>HUDIKSVALL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45258</v>
      </c>
      <c r="E398" s="1" t="n">
        <v>46303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46303</v>
      </c>
      <c r="F399" t="inlineStr">
        <is>
          <t>GÄVLEBORGS LÄN</t>
        </is>
      </c>
      <c r="G399" t="inlineStr">
        <is>
          <t>HUDIKSVALL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46303</v>
      </c>
      <c r="F400" t="inlineStr">
        <is>
          <t>GÄVLEBORGS LÄN</t>
        </is>
      </c>
      <c r="G400" t="inlineStr">
        <is>
          <t>HUDIKSVALL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45811</v>
      </c>
      <c r="E401" s="1" t="n">
        <v>46303</v>
      </c>
      <c r="F401" t="inlineStr">
        <is>
          <t>GÄVLEBORGS LÄN</t>
        </is>
      </c>
      <c r="G401" t="inlineStr">
        <is>
          <t>HUDIKSVALL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46303</v>
      </c>
      <c r="F402" t="inlineStr">
        <is>
          <t>GÄVLEBORGS LÄN</t>
        </is>
      </c>
      <c r="G402" t="inlineStr">
        <is>
          <t>HUDIKSVALL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46303</v>
      </c>
      <c r="F403" t="inlineStr">
        <is>
          <t>GÄVLEBORGS LÄN</t>
        </is>
      </c>
      <c r="G403" t="inlineStr">
        <is>
          <t>HUDIKSVALL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45309</v>
      </c>
      <c r="E404" s="1" t="n">
        <v>46303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27253-2025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45812</v>
      </c>
      <c r="E405" s="1" t="n">
        <v>46303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45812</v>
      </c>
      <c r="E406" s="1" t="n">
        <v>46303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45918</v>
      </c>
      <c r="E407" s="1" t="n">
        <v>46303</v>
      </c>
      <c r="F407" t="inlineStr">
        <is>
          <t>GÄVLEBORGS LÄN</t>
        </is>
      </c>
      <c r="G407" t="inlineStr">
        <is>
          <t>HUDIKSVALL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45918</v>
      </c>
      <c r="E408" s="1" t="n">
        <v>46303</v>
      </c>
      <c r="F408" t="inlineStr">
        <is>
          <t>GÄVLEBORGS LÄN</t>
        </is>
      </c>
      <c r="G408" t="inlineStr">
        <is>
          <t>HUDIKSVALL</t>
        </is>
      </c>
      <c r="I408" t="n">
        <v>17.2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46303</v>
      </c>
      <c r="F409" t="inlineStr">
        <is>
          <t>GÄVLEBORGS LÄN</t>
        </is>
      </c>
      <c r="G409" t="inlineStr">
        <is>
          <t>HUDIKSVALL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45136-2025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45919</v>
      </c>
      <c r="E410" s="1" t="n">
        <v>46303</v>
      </c>
      <c r="F410" t="inlineStr">
        <is>
          <t>GÄVLEBORGS LÄN</t>
        </is>
      </c>
      <c r="G410" t="inlineStr">
        <is>
          <t>HUDIKSVALL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45919</v>
      </c>
      <c r="E411" s="1" t="n">
        <v>46303</v>
      </c>
      <c r="F411" t="inlineStr">
        <is>
          <t>GÄVLEBORGS LÄN</t>
        </is>
      </c>
      <c r="G411" t="inlineStr">
        <is>
          <t>HUDIKSVALL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45919</v>
      </c>
      <c r="E412" s="1" t="n">
        <v>46303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61938-2022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44918</v>
      </c>
      <c r="E413" s="1" t="n">
        <v>46303</v>
      </c>
      <c r="F413" t="inlineStr">
        <is>
          <t>GÄVLEBORGS LÄN</t>
        </is>
      </c>
      <c r="G413" t="inlineStr">
        <is>
          <t>HUDIKSVALL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11267-2023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44992</v>
      </c>
      <c r="E414" s="1" t="n">
        <v>46303</v>
      </c>
      <c r="F414" t="inlineStr">
        <is>
          <t>GÄVLEBORGS LÄN</t>
        </is>
      </c>
      <c r="G414" t="inlineStr">
        <is>
          <t>HUDIKSVALL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46303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18538-2024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46303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45813</v>
      </c>
      <c r="E417" s="1" t="n">
        <v>46303</v>
      </c>
      <c r="F417" t="inlineStr">
        <is>
          <t>GÄVLEBORGS LÄN</t>
        </is>
      </c>
      <c r="G417" t="inlineStr">
        <is>
          <t>HUDIKSVALL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45816</v>
      </c>
      <c r="E418" s="1" t="n">
        <v>46303</v>
      </c>
      <c r="F418" t="inlineStr">
        <is>
          <t>GÄVLEBORGS LÄN</t>
        </is>
      </c>
      <c r="G418" t="inlineStr">
        <is>
          <t>HUDIKSVALL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45489</v>
      </c>
      <c r="E419" s="1" t="n">
        <v>46303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45818</v>
      </c>
      <c r="E420" s="1" t="n">
        <v>46303</v>
      </c>
      <c r="F420" t="inlineStr">
        <is>
          <t>GÄVLEBORGS LÄN</t>
        </is>
      </c>
      <c r="G420" t="inlineStr">
        <is>
          <t>HUDIKSVALL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45738-2025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45923</v>
      </c>
      <c r="E421" s="1" t="n">
        <v>46303</v>
      </c>
      <c r="F421" t="inlineStr">
        <is>
          <t>GÄVLEBORGS LÄN</t>
        </is>
      </c>
      <c r="G421" t="inlineStr">
        <is>
          <t>HUDIKSVALL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46303</v>
      </c>
      <c r="F422" t="inlineStr">
        <is>
          <t>GÄVLEBORGS LÄN</t>
        </is>
      </c>
      <c r="G422" t="inlineStr">
        <is>
          <t>HUDIKSVALL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30408-2024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45491</v>
      </c>
      <c r="E423" s="1" t="n">
        <v>46303</v>
      </c>
      <c r="F423" t="inlineStr">
        <is>
          <t>GÄVLEBORGS LÄN</t>
        </is>
      </c>
      <c r="G423" t="inlineStr">
        <is>
          <t>HUDIKSVALL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46303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45092</v>
      </c>
      <c r="E425" s="1" t="n">
        <v>46303</v>
      </c>
      <c r="F425" t="inlineStr">
        <is>
          <t>GÄVLEBORGS LÄN</t>
        </is>
      </c>
      <c r="G425" t="inlineStr">
        <is>
          <t>HUDIKSVALL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27881-2025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46303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46303</v>
      </c>
      <c r="F427" t="inlineStr">
        <is>
          <t>GÄVLEBORGS LÄN</t>
        </is>
      </c>
      <c r="G427" t="inlineStr">
        <is>
          <t>HUDIKSVALL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46303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60847-2022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44914</v>
      </c>
      <c r="E429" s="1" t="n">
        <v>46303</v>
      </c>
      <c r="F429" t="inlineStr">
        <is>
          <t>GÄVLEBORGS LÄN</t>
        </is>
      </c>
      <c r="G429" t="inlineStr">
        <is>
          <t>HUDIKSVALL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46303</v>
      </c>
      <c r="F430" t="inlineStr">
        <is>
          <t>GÄVLEBORGS LÄN</t>
        </is>
      </c>
      <c r="G430" t="inlineStr">
        <is>
          <t>HUDIKSVALL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45819</v>
      </c>
      <c r="E431" s="1" t="n">
        <v>46303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46303</v>
      </c>
      <c r="F432" t="inlineStr">
        <is>
          <t>GÄVLEBORGS LÄN</t>
        </is>
      </c>
      <c r="G432" t="inlineStr">
        <is>
          <t>HUDIKSVALL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45181-2024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46303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46303</v>
      </c>
      <c r="F434" t="inlineStr">
        <is>
          <t>GÄVLEBORGS LÄN</t>
        </is>
      </c>
      <c r="G434" t="inlineStr">
        <is>
          <t>HUDIKSVALL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45547</v>
      </c>
      <c r="E435" s="1" t="n">
        <v>46303</v>
      </c>
      <c r="F435" t="inlineStr">
        <is>
          <t>GÄVLEBORGS LÄN</t>
        </is>
      </c>
      <c r="G435" t="inlineStr">
        <is>
          <t>HUDIKSVALL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46303</v>
      </c>
      <c r="F436" t="inlineStr">
        <is>
          <t>GÄVLEBORGS LÄN</t>
        </is>
      </c>
      <c r="G436" t="inlineStr">
        <is>
          <t>HUDIKSVALL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46303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45723-2025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46303</v>
      </c>
      <c r="F438" t="inlineStr">
        <is>
          <t>GÄVLEBORGS LÄN</t>
        </is>
      </c>
      <c r="G438" t="inlineStr">
        <is>
          <t>HUDIKSVALL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46303</v>
      </c>
      <c r="F439" t="inlineStr">
        <is>
          <t>GÄVLEBORGS LÄN</t>
        </is>
      </c>
      <c r="G439" t="inlineStr">
        <is>
          <t>HUDIKSVALL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45309</v>
      </c>
      <c r="E440" s="1" t="n">
        <v>46303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46303</v>
      </c>
      <c r="F441" t="inlineStr">
        <is>
          <t>GÄVLEBORGS LÄN</t>
        </is>
      </c>
      <c r="G441" t="inlineStr">
        <is>
          <t>HUDIKSVALL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46303</v>
      </c>
      <c r="F442" t="inlineStr">
        <is>
          <t>GÄVLEBORGS LÄN</t>
        </is>
      </c>
      <c r="G442" t="inlineStr">
        <is>
          <t>HUDIKSVALL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46303</v>
      </c>
      <c r="F443" t="inlineStr">
        <is>
          <t>GÄVLEBORGS LÄN</t>
        </is>
      </c>
      <c r="G443" t="inlineStr">
        <is>
          <t>HUDIKSVALL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45499</v>
      </c>
      <c r="E444" s="1" t="n">
        <v>46303</v>
      </c>
      <c r="F444" t="inlineStr">
        <is>
          <t>GÄVLEBORGS LÄN</t>
        </is>
      </c>
      <c r="G444" t="inlineStr">
        <is>
          <t>HUDIKSVALL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46303</v>
      </c>
      <c r="F445" t="inlineStr">
        <is>
          <t>GÄVLEBORGS LÄN</t>
        </is>
      </c>
      <c r="G445" t="inlineStr">
        <is>
          <t>HUDIKSVALL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46303</v>
      </c>
      <c r="F446" t="inlineStr">
        <is>
          <t>GÄVLEBORGS LÄN</t>
        </is>
      </c>
      <c r="G446" t="inlineStr">
        <is>
          <t>HUDIKSVALL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46303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46303</v>
      </c>
      <c r="F448" t="inlineStr">
        <is>
          <t>GÄVLEBORGS LÄN</t>
        </is>
      </c>
      <c r="G448" t="inlineStr">
        <is>
          <t>HUDIKSVALL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46303</v>
      </c>
      <c r="F449" t="inlineStr">
        <is>
          <t>GÄVLEBORGS LÄN</t>
        </is>
      </c>
      <c r="G449" t="inlineStr">
        <is>
          <t>HUDIKSVALL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46303</v>
      </c>
      <c r="F450" t="inlineStr">
        <is>
          <t>GÄVLEBORGS LÄN</t>
        </is>
      </c>
      <c r="G450" t="inlineStr">
        <is>
          <t>HUDIKSVALL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46303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46303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45824</v>
      </c>
      <c r="E453" s="1" t="n">
        <v>46303</v>
      </c>
      <c r="F453" t="inlineStr">
        <is>
          <t>GÄVLEBORGS LÄN</t>
        </is>
      </c>
      <c r="G453" t="inlineStr">
        <is>
          <t>HUDIKSVALL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46303</v>
      </c>
      <c r="F454" t="inlineStr">
        <is>
          <t>GÄVLEBORGS LÄN</t>
        </is>
      </c>
      <c r="G454" t="inlineStr">
        <is>
          <t>HUDIKSVALL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46303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46303</v>
      </c>
      <c r="F456" t="inlineStr">
        <is>
          <t>GÄVLEBORGS LÄN</t>
        </is>
      </c>
      <c r="G456" t="inlineStr">
        <is>
          <t>HUDIKSVALL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46303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45179-2024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45575</v>
      </c>
      <c r="E458" s="1" t="n">
        <v>46303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46303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45476</v>
      </c>
      <c r="E460" s="1" t="n">
        <v>46303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45496</v>
      </c>
      <c r="E461" s="1" t="n">
        <v>46303</v>
      </c>
      <c r="F461" t="inlineStr">
        <is>
          <t>GÄVLEBORGS LÄN</t>
        </is>
      </c>
      <c r="G461" t="inlineStr">
        <is>
          <t>HUDIKSVALL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47260-2025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45930</v>
      </c>
      <c r="E462" s="1" t="n">
        <v>46303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18.3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46886-2025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46303</v>
      </c>
      <c r="F463" t="inlineStr">
        <is>
          <t>GÄVLEBORGS LÄN</t>
        </is>
      </c>
      <c r="G463" t="inlineStr">
        <is>
          <t>HUDIKSVALL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44979</v>
      </c>
      <c r="E464" s="1" t="n">
        <v>46303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46303</v>
      </c>
      <c r="F465" t="inlineStr">
        <is>
          <t>GÄVLEBORGS LÄN</t>
        </is>
      </c>
      <c r="G465" t="inlineStr">
        <is>
          <t>HUDIKSVALL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45337</v>
      </c>
      <c r="E466" s="1" t="n">
        <v>46303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46303</v>
      </c>
      <c r="F467" t="inlineStr">
        <is>
          <t>GÄVLEBORGS LÄN</t>
        </is>
      </c>
      <c r="G467" t="inlineStr">
        <is>
          <t>HUDIKSVALL</t>
        </is>
      </c>
      <c r="I467" t="n">
        <v>16.4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47185-2025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46303</v>
      </c>
      <c r="F468" t="inlineStr">
        <is>
          <t>GÄVLEBORGS LÄN</t>
        </is>
      </c>
      <c r="G468" t="inlineStr">
        <is>
          <t>HUDIKSVALL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46303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45825</v>
      </c>
      <c r="E470" s="1" t="n">
        <v>46303</v>
      </c>
      <c r="F470" t="inlineStr">
        <is>
          <t>GÄVLEBORGS LÄN</t>
        </is>
      </c>
      <c r="G470" t="inlineStr">
        <is>
          <t>HUDIKSVALL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46992-2025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45929</v>
      </c>
      <c r="E471" s="1" t="n">
        <v>46303</v>
      </c>
      <c r="F471" t="inlineStr">
        <is>
          <t>GÄVLEBORGS LÄN</t>
        </is>
      </c>
      <c r="G471" t="inlineStr">
        <is>
          <t>HUDIKSVALL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45432</v>
      </c>
      <c r="E472" s="1" t="n">
        <v>46303</v>
      </c>
      <c r="F472" t="inlineStr">
        <is>
          <t>GÄVLEBORGS LÄN</t>
        </is>
      </c>
      <c r="G472" t="inlineStr">
        <is>
          <t>HUDIKSVALL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45828</v>
      </c>
      <c r="E473" s="1" t="n">
        <v>46303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45474</v>
      </c>
      <c r="E474" s="1" t="n">
        <v>46303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45929</v>
      </c>
      <c r="E475" s="1" t="n">
        <v>46303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46303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53721-2024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46303</v>
      </c>
      <c r="F477" t="inlineStr">
        <is>
          <t>GÄVLEBORGS LÄN</t>
        </is>
      </c>
      <c r="G477" t="inlineStr">
        <is>
          <t>HUDIKSVALL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46303</v>
      </c>
      <c r="F478" t="inlineStr">
        <is>
          <t>GÄVLEBORGS LÄN</t>
        </is>
      </c>
      <c r="G478" t="inlineStr">
        <is>
          <t>HUDIKSVALL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45314</v>
      </c>
      <c r="E479" s="1" t="n">
        <v>46303</v>
      </c>
      <c r="F479" t="inlineStr">
        <is>
          <t>GÄVLEBORGS LÄN</t>
        </is>
      </c>
      <c r="G479" t="inlineStr">
        <is>
          <t>HUDIKSVALL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45511</v>
      </c>
      <c r="E480" s="1" t="n">
        <v>46303</v>
      </c>
      <c r="F480" t="inlineStr">
        <is>
          <t>GÄVLEBORGS LÄN</t>
        </is>
      </c>
      <c r="G480" t="inlineStr">
        <is>
          <t>HUDIKSVALL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45931</v>
      </c>
      <c r="E481" s="1" t="n">
        <v>46303</v>
      </c>
      <c r="F481" t="inlineStr">
        <is>
          <t>GÄVLEBORGS LÄN</t>
        </is>
      </c>
      <c r="G481" t="inlineStr">
        <is>
          <t>HUDIKSVALL</t>
        </is>
      </c>
      <c r="I481" t="n">
        <v>20.1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44946</v>
      </c>
      <c r="E482" s="1" t="n">
        <v>46303</v>
      </c>
      <c r="F482" t="inlineStr">
        <is>
          <t>GÄVLEBORGS LÄN</t>
        </is>
      </c>
      <c r="G482" t="inlineStr">
        <is>
          <t>HUDIKSVALL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22977-2024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45449</v>
      </c>
      <c r="E483" s="1" t="n">
        <v>46303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45602</v>
      </c>
      <c r="E484" s="1" t="n">
        <v>46303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13.9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46303</v>
      </c>
      <c r="F485" t="inlineStr">
        <is>
          <t>GÄVLEBORGS LÄN</t>
        </is>
      </c>
      <c r="G485" t="inlineStr">
        <is>
          <t>HUDIKSVALL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46303</v>
      </c>
      <c r="F486" t="inlineStr">
        <is>
          <t>GÄVLEBORGS LÄN</t>
        </is>
      </c>
      <c r="G486" t="inlineStr">
        <is>
          <t>HUDIKSVALL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30480-2025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45828</v>
      </c>
      <c r="E487" s="1" t="n">
        <v>46303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30450-2025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45827</v>
      </c>
      <c r="E488" s="1" t="n">
        <v>46303</v>
      </c>
      <c r="F488" t="inlineStr">
        <is>
          <t>GÄVLEBORGS LÄN</t>
        </is>
      </c>
      <c r="G488" t="inlineStr">
        <is>
          <t>HUDIKSVALL</t>
        </is>
      </c>
      <c r="I488" t="n">
        <v>14.4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45827</v>
      </c>
      <c r="E489" s="1" t="n">
        <v>46303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48.3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45827</v>
      </c>
      <c r="E490" s="1" t="n">
        <v>46303</v>
      </c>
      <c r="F490" t="inlineStr">
        <is>
          <t>GÄVLEBORGS LÄN</t>
        </is>
      </c>
      <c r="G490" t="inlineStr">
        <is>
          <t>HUDIKSVALL</t>
        </is>
      </c>
      <c r="I490" t="n">
        <v>8.300000000000001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45828</v>
      </c>
      <c r="E491" s="1" t="n">
        <v>46303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45827</v>
      </c>
      <c r="E492" s="1" t="n">
        <v>46303</v>
      </c>
      <c r="F492" t="inlineStr">
        <is>
          <t>GÄVLEBORGS LÄN</t>
        </is>
      </c>
      <c r="G492" t="inlineStr">
        <is>
          <t>HUDIKSVALL</t>
        </is>
      </c>
      <c r="H492" t="inlineStr">
        <is>
          <t>Sveaskog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35061-2024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45527</v>
      </c>
      <c r="E493" s="1" t="n">
        <v>46303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30307-2025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45827</v>
      </c>
      <c r="E494" s="1" t="n">
        <v>46303</v>
      </c>
      <c r="F494" t="inlineStr">
        <is>
          <t>GÄVLEBORGS LÄN</t>
        </is>
      </c>
      <c r="G494" t="inlineStr">
        <is>
          <t>HUDIKSVALL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30309-2025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46303</v>
      </c>
      <c r="F495" t="inlineStr">
        <is>
          <t>GÄVLEBORGS LÄN</t>
        </is>
      </c>
      <c r="G495" t="inlineStr">
        <is>
          <t>HUDIKSVALL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45764</v>
      </c>
      <c r="E496" s="1" t="n">
        <v>46303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45303</v>
      </c>
      <c r="E497" s="1" t="n">
        <v>46303</v>
      </c>
      <c r="F497" t="inlineStr">
        <is>
          <t>GÄVLEBORGS LÄN</t>
        </is>
      </c>
      <c r="G497" t="inlineStr">
        <is>
          <t>HUDIKSVALL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48154-2025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46303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60517-2022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44911</v>
      </c>
      <c r="E499" s="1" t="n">
        <v>46303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46303</v>
      </c>
      <c r="F500" t="inlineStr">
        <is>
          <t>GÄVLEBORGS LÄN</t>
        </is>
      </c>
      <c r="G500" t="inlineStr">
        <is>
          <t>HUDIKSVALL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46303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45499</v>
      </c>
      <c r="E502" s="1" t="n">
        <v>46303</v>
      </c>
      <c r="F502" t="inlineStr">
        <is>
          <t>GÄVLEBORGS LÄN</t>
        </is>
      </c>
      <c r="G502" t="inlineStr">
        <is>
          <t>HUDIKSVALL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45664</v>
      </c>
      <c r="E503" s="1" t="n">
        <v>46303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46303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72899-2021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44547</v>
      </c>
      <c r="E505" s="1" t="n">
        <v>46303</v>
      </c>
      <c r="F505" t="inlineStr">
        <is>
          <t>GÄVLEBORGS LÄN</t>
        </is>
      </c>
      <c r="G505" t="inlineStr">
        <is>
          <t>HUDIKSVALL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45593</v>
      </c>
      <c r="E506" s="1" t="n">
        <v>46303</v>
      </c>
      <c r="F506" t="inlineStr">
        <is>
          <t>GÄVLEBORGS LÄN</t>
        </is>
      </c>
      <c r="G506" t="inlineStr">
        <is>
          <t>HUDIKSVALL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45834</v>
      </c>
      <c r="E507" s="1" t="n">
        <v>46303</v>
      </c>
      <c r="F507" t="inlineStr">
        <is>
          <t>GÄVLEBORGS LÄN</t>
        </is>
      </c>
      <c r="G507" t="inlineStr">
        <is>
          <t>HUDIKSVALL</t>
        </is>
      </c>
      <c r="I507" t="n">
        <v>8.9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45834</v>
      </c>
      <c r="E508" s="1" t="n">
        <v>46303</v>
      </c>
      <c r="F508" t="inlineStr">
        <is>
          <t>GÄVLEBORGS LÄN</t>
        </is>
      </c>
      <c r="G508" t="inlineStr">
        <is>
          <t>HUDIKSVALL</t>
        </is>
      </c>
      <c r="I508" t="n">
        <v>31.2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45833</v>
      </c>
      <c r="E509" s="1" t="n">
        <v>46303</v>
      </c>
      <c r="F509" t="inlineStr">
        <is>
          <t>GÄVLEBORGS LÄN</t>
        </is>
      </c>
      <c r="G509" t="inlineStr">
        <is>
          <t>HUDIKSVALL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31766-2025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45834</v>
      </c>
      <c r="E510" s="1" t="n">
        <v>46303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70264-2021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44536</v>
      </c>
      <c r="E511" s="1" t="n">
        <v>46303</v>
      </c>
      <c r="F511" t="inlineStr">
        <is>
          <t>GÄVLEBORGS LÄN</t>
        </is>
      </c>
      <c r="G511" t="inlineStr">
        <is>
          <t>HUDIKSVALL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66418-2021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44518</v>
      </c>
      <c r="E512" s="1" t="n">
        <v>46303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61579-2024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46303</v>
      </c>
      <c r="F513" t="inlineStr">
        <is>
          <t>GÄVLEBORGS LÄN</t>
        </is>
      </c>
      <c r="G513" t="inlineStr">
        <is>
          <t>HUDIKSVALL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45162</v>
      </c>
      <c r="E514" s="1" t="n">
        <v>46303</v>
      </c>
      <c r="F514" t="inlineStr">
        <is>
          <t>GÄVLEBORGS LÄN</t>
        </is>
      </c>
      <c r="G514" t="inlineStr">
        <is>
          <t>HUDIKSVALL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72083-2021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44544</v>
      </c>
      <c r="E515" s="1" t="n">
        <v>46303</v>
      </c>
      <c r="F515" t="inlineStr">
        <is>
          <t>GÄVLEBORGS LÄN</t>
        </is>
      </c>
      <c r="G515" t="inlineStr">
        <is>
          <t>HUDIKSVALL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46303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46303</v>
      </c>
      <c r="F517" t="inlineStr">
        <is>
          <t>GÄVLEBORGS LÄN</t>
        </is>
      </c>
      <c r="G517" t="inlineStr">
        <is>
          <t>HUDIKSVALL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46303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45835</v>
      </c>
      <c r="E519" s="1" t="n">
        <v>46303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46303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45168</v>
      </c>
      <c r="E521" s="1" t="n">
        <v>46303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50320-2025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45944</v>
      </c>
      <c r="E522" s="1" t="n">
        <v>46303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50321-2025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46303</v>
      </c>
      <c r="F523" t="inlineStr">
        <is>
          <t>GÄVLEBORGS LÄN</t>
        </is>
      </c>
      <c r="G523" t="inlineStr">
        <is>
          <t>HUDIKSVALL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50331-2025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46303</v>
      </c>
      <c r="F524" t="inlineStr">
        <is>
          <t>GÄVLEBORGS LÄN</t>
        </is>
      </c>
      <c r="G524" t="inlineStr">
        <is>
          <t>HUDIKSVALL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33197-2025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45840</v>
      </c>
      <c r="E525" s="1" t="n">
        <v>46303</v>
      </c>
      <c r="F525" t="inlineStr">
        <is>
          <t>GÄVLEBORGS LÄN</t>
        </is>
      </c>
      <c r="G525" t="inlineStr">
        <is>
          <t>HUDIKSVALL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46303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61977-2022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44918</v>
      </c>
      <c r="E527" s="1" t="n">
        <v>46303</v>
      </c>
      <c r="F527" t="inlineStr">
        <is>
          <t>GÄVLEBORGS LÄN</t>
        </is>
      </c>
      <c r="G527" t="inlineStr">
        <is>
          <t>HUDIKSVALL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50334-2025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45944</v>
      </c>
      <c r="E528" s="1" t="n">
        <v>46303</v>
      </c>
      <c r="F528" t="inlineStr">
        <is>
          <t>GÄVLEBORGS LÄN</t>
        </is>
      </c>
      <c r="G528" t="inlineStr">
        <is>
          <t>HUDIKSVALL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50313-2025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45944</v>
      </c>
      <c r="E529" s="1" t="n">
        <v>46303</v>
      </c>
      <c r="F529" t="inlineStr">
        <is>
          <t>GÄVLEBORGS LÄN</t>
        </is>
      </c>
      <c r="G529" t="inlineStr">
        <is>
          <t>HUDIKSVALL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46303</v>
      </c>
      <c r="F530" t="inlineStr">
        <is>
          <t>GÄVLEBORGS LÄN</t>
        </is>
      </c>
      <c r="G530" t="inlineStr">
        <is>
          <t>HUDIKSVALL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45545</v>
      </c>
      <c r="E531" s="1" t="n">
        <v>46303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45111</v>
      </c>
      <c r="E532" s="1" t="n">
        <v>46303</v>
      </c>
      <c r="F532" t="inlineStr">
        <is>
          <t>GÄVLEBORGS LÄN</t>
        </is>
      </c>
      <c r="G532" t="inlineStr">
        <is>
          <t>HUDIKSVALL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45043</v>
      </c>
      <c r="E533" s="1" t="n">
        <v>46303</v>
      </c>
      <c r="F533" t="inlineStr">
        <is>
          <t>GÄVLEBORGS LÄN</t>
        </is>
      </c>
      <c r="G533" t="inlineStr">
        <is>
          <t>HUDIKSVALL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45946</v>
      </c>
      <c r="E534" s="1" t="n">
        <v>46303</v>
      </c>
      <c r="F534" t="inlineStr">
        <is>
          <t>GÄVLEBORGS LÄN</t>
        </is>
      </c>
      <c r="G534" t="inlineStr">
        <is>
          <t>HUDIKSVALL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8005-2022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44609</v>
      </c>
      <c r="E535" s="1" t="n">
        <v>46303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45355</v>
      </c>
      <c r="E536" s="1" t="n">
        <v>46303</v>
      </c>
      <c r="F536" t="inlineStr">
        <is>
          <t>GÄVLEBORGS LÄN</t>
        </is>
      </c>
      <c r="G536" t="inlineStr">
        <is>
          <t>HUDIKSVALL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46828-2024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46303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19.1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45014</v>
      </c>
      <c r="E538" s="1" t="n">
        <v>46303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10.4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64344-2021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44511</v>
      </c>
      <c r="E539" s="1" t="n">
        <v>46303</v>
      </c>
      <c r="F539" t="inlineStr">
        <is>
          <t>GÄVLEBORGS LÄN</t>
        </is>
      </c>
      <c r="G539" t="inlineStr">
        <is>
          <t>HUDIKSVALL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45944</v>
      </c>
      <c r="E540" s="1" t="n">
        <v>46303</v>
      </c>
      <c r="F540" t="inlineStr">
        <is>
          <t>GÄVLEBORGS LÄN</t>
        </is>
      </c>
      <c r="G540" t="inlineStr">
        <is>
          <t>HUDIKSVALL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50898-2025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45946</v>
      </c>
      <c r="E541" s="1" t="n">
        <v>46303</v>
      </c>
      <c r="F541" t="inlineStr">
        <is>
          <t>GÄVLEBORGS LÄN</t>
        </is>
      </c>
      <c r="G541" t="inlineStr">
        <is>
          <t>HUDIKSVALL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45840</v>
      </c>
      <c r="E542" s="1" t="n">
        <v>46303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33254-2025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45840</v>
      </c>
      <c r="E543" s="1" t="n">
        <v>46303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46303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45840</v>
      </c>
      <c r="E545" s="1" t="n">
        <v>46303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33176-2025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45840</v>
      </c>
      <c r="E546" s="1" t="n">
        <v>46303</v>
      </c>
      <c r="F546" t="inlineStr">
        <is>
          <t>GÄVLEBORGS LÄN</t>
        </is>
      </c>
      <c r="G546" t="inlineStr">
        <is>
          <t>HUDIKSVALL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33714-2025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45841</v>
      </c>
      <c r="E547" s="1" t="n">
        <v>46303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45567</v>
      </c>
      <c r="E548" s="1" t="n">
        <v>46303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45842</v>
      </c>
      <c r="E549" s="1" t="n">
        <v>46303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32.2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59593-2021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44491</v>
      </c>
      <c r="E550" s="1" t="n">
        <v>46303</v>
      </c>
      <c r="F550" t="inlineStr">
        <is>
          <t>GÄVLEBORGS LÄN</t>
        </is>
      </c>
      <c r="G550" t="inlineStr">
        <is>
          <t>HUDIKSVALL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51329-2025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45950</v>
      </c>
      <c r="E551" s="1" t="n">
        <v>46303</v>
      </c>
      <c r="F551" t="inlineStr">
        <is>
          <t>GÄVLEBORGS LÄN</t>
        </is>
      </c>
      <c r="G551" t="inlineStr">
        <is>
          <t>HUDIKSVALL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45527</v>
      </c>
      <c r="E552" s="1" t="n">
        <v>46303</v>
      </c>
      <c r="F552" t="inlineStr">
        <is>
          <t>GÄVLEBORGS LÄN</t>
        </is>
      </c>
      <c r="G552" t="inlineStr">
        <is>
          <t>HUDIKSVALL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46303</v>
      </c>
      <c r="F553" t="inlineStr">
        <is>
          <t>GÄVLEBORGS LÄN</t>
        </is>
      </c>
      <c r="G553" t="inlineStr">
        <is>
          <t>HUDIKSVALL</t>
        </is>
      </c>
      <c r="I553" t="n">
        <v>15.2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46303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45775</v>
      </c>
      <c r="E555" s="1" t="n">
        <v>46303</v>
      </c>
      <c r="F555" t="inlineStr">
        <is>
          <t>GÄVLEBORGS LÄN</t>
        </is>
      </c>
      <c r="G555" t="inlineStr">
        <is>
          <t>HUDIKSVALL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51765-2025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45951</v>
      </c>
      <c r="E556" s="1" t="n">
        <v>46303</v>
      </c>
      <c r="F556" t="inlineStr">
        <is>
          <t>GÄVLEBORGS LÄN</t>
        </is>
      </c>
      <c r="G556" t="inlineStr">
        <is>
          <t>HUDIKSVALL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51766-2025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45951</v>
      </c>
      <c r="E557" s="1" t="n">
        <v>46303</v>
      </c>
      <c r="F557" t="inlineStr">
        <is>
          <t>GÄVLEBORGS LÄN</t>
        </is>
      </c>
      <c r="G557" t="inlineStr">
        <is>
          <t>HUDIKSVALL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46303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46303</v>
      </c>
      <c r="F559" t="inlineStr">
        <is>
          <t>GÄVLEBORGS LÄN</t>
        </is>
      </c>
      <c r="G559" t="inlineStr">
        <is>
          <t>HUDIKSVALL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45952</v>
      </c>
      <c r="E560" s="1" t="n">
        <v>46303</v>
      </c>
      <c r="F560" t="inlineStr">
        <is>
          <t>GÄVLEBORGS LÄN</t>
        </is>
      </c>
      <c r="G560" t="inlineStr">
        <is>
          <t>HUDIKSVALL</t>
        </is>
      </c>
      <c r="H560" t="inlineStr">
        <is>
          <t>Naturvårdsverket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51860-2025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46303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45664</v>
      </c>
      <c r="E562" s="1" t="n">
        <v>46303</v>
      </c>
      <c r="F562" t="inlineStr">
        <is>
          <t>GÄVLEBORGS LÄN</t>
        </is>
      </c>
      <c r="G562" t="inlineStr">
        <is>
          <t>HUDIKSVALL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46303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51897-2025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45952</v>
      </c>
      <c r="E564" s="1" t="n">
        <v>46303</v>
      </c>
      <c r="F564" t="inlineStr">
        <is>
          <t>GÄVLEBORGS LÄN</t>
        </is>
      </c>
      <c r="G564" t="inlineStr">
        <is>
          <t>HUDIKSVALL</t>
        </is>
      </c>
      <c r="H564" t="inlineStr">
        <is>
          <t>Naturvårdsverket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38687-2024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46303</v>
      </c>
      <c r="F565" t="inlineStr">
        <is>
          <t>GÄVLEBORGS LÄN</t>
        </is>
      </c>
      <c r="G565" t="inlineStr">
        <is>
          <t>HUDIKSVALL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38703-2024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46303</v>
      </c>
      <c r="F566" t="inlineStr">
        <is>
          <t>GÄVLEBORGS LÄN</t>
        </is>
      </c>
      <c r="G566" t="inlineStr">
        <is>
          <t>HUDIKSVALL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52478-2025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45954</v>
      </c>
      <c r="E567" s="1" t="n">
        <v>46303</v>
      </c>
      <c r="F567" t="inlineStr">
        <is>
          <t>GÄVLEBORGS LÄN</t>
        </is>
      </c>
      <c r="G567" t="inlineStr">
        <is>
          <t>HUDIKSVALL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45545</v>
      </c>
      <c r="E568" s="1" t="n">
        <v>46303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12880-2023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45001</v>
      </c>
      <c r="E569" s="1" t="n">
        <v>46303</v>
      </c>
      <c r="F569" t="inlineStr">
        <is>
          <t>GÄVLEBORGS LÄN</t>
        </is>
      </c>
      <c r="G569" t="inlineStr">
        <is>
          <t>HUDIKSVALL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45507</v>
      </c>
      <c r="E570" s="1" t="n">
        <v>46303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45188</v>
      </c>
      <c r="E571" s="1" t="n">
        <v>46303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14.6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44953</v>
      </c>
      <c r="E572" s="1" t="n">
        <v>46303</v>
      </c>
      <c r="F572" t="inlineStr">
        <is>
          <t>GÄVLEBORGS LÄN</t>
        </is>
      </c>
      <c r="G572" t="inlineStr">
        <is>
          <t>HUDIKSVALL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45355</v>
      </c>
      <c r="E573" s="1" t="n">
        <v>46303</v>
      </c>
      <c r="F573" t="inlineStr">
        <is>
          <t>GÄVLEBORGS LÄN</t>
        </is>
      </c>
      <c r="G573" t="inlineStr">
        <is>
          <t>HUDIKSVALL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45476</v>
      </c>
      <c r="E574" s="1" t="n">
        <v>46303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45028</v>
      </c>
      <c r="E575" s="1" t="n">
        <v>46303</v>
      </c>
      <c r="F575" t="inlineStr">
        <is>
          <t>GÄVLEBORGS LÄN</t>
        </is>
      </c>
      <c r="G575" t="inlineStr">
        <is>
          <t>HUDIKSVALL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45318-2023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45191</v>
      </c>
      <c r="E576" s="1" t="n">
        <v>46303</v>
      </c>
      <c r="F576" t="inlineStr">
        <is>
          <t>GÄVLEBORGS LÄN</t>
        </is>
      </c>
      <c r="G576" t="inlineStr">
        <is>
          <t>HUDIKSVALL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45462</v>
      </c>
      <c r="E577" s="1" t="n">
        <v>46303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44966</v>
      </c>
      <c r="E578" s="1" t="n">
        <v>46303</v>
      </c>
      <c r="F578" t="inlineStr">
        <is>
          <t>GÄVLEBORGS LÄN</t>
        </is>
      </c>
      <c r="G578" t="inlineStr">
        <is>
          <t>HUDIKSVALL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52870-2025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45957</v>
      </c>
      <c r="E579" s="1" t="n">
        <v>46303</v>
      </c>
      <c r="F579" t="inlineStr">
        <is>
          <t>GÄVLEBORGS LÄN</t>
        </is>
      </c>
      <c r="G579" t="inlineStr">
        <is>
          <t>HUDIKSVALL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45510</v>
      </c>
      <c r="E580" s="1" t="n">
        <v>46303</v>
      </c>
      <c r="F580" t="inlineStr">
        <is>
          <t>GÄVLEBORGS LÄN</t>
        </is>
      </c>
      <c r="G580" t="inlineStr">
        <is>
          <t>HUDIKSVALL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46303</v>
      </c>
      <c r="F581" t="inlineStr">
        <is>
          <t>GÄVLEBORGS LÄN</t>
        </is>
      </c>
      <c r="G581" t="inlineStr">
        <is>
          <t>HUDIKSVALL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52438-2023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46303</v>
      </c>
      <c r="F582" t="inlineStr">
        <is>
          <t>GÄVLEBORGS LÄN</t>
        </is>
      </c>
      <c r="G582" t="inlineStr">
        <is>
          <t>HUDIKSVALL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46303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69851-2021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44532</v>
      </c>
      <c r="E584" s="1" t="n">
        <v>46303</v>
      </c>
      <c r="F584" t="inlineStr">
        <is>
          <t>GÄVLEBORGS LÄN</t>
        </is>
      </c>
      <c r="G584" t="inlineStr">
        <is>
          <t>HUDIKSVALL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51424-2024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46303</v>
      </c>
      <c r="F585" t="inlineStr">
        <is>
          <t>GÄVLEBORGS LÄN</t>
        </is>
      </c>
      <c r="G585" t="inlineStr">
        <is>
          <t>HUDIKSVALL</t>
        </is>
      </c>
      <c r="I585" t="n">
        <v>8.800000000000001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42629-2024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45565</v>
      </c>
      <c r="E586" s="1" t="n">
        <v>46303</v>
      </c>
      <c r="F586" t="inlineStr">
        <is>
          <t>GÄVLEBORGS LÄN</t>
        </is>
      </c>
      <c r="G586" t="inlineStr">
        <is>
          <t>HUDIKSVALL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52839-2025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46303</v>
      </c>
      <c r="F587" t="inlineStr">
        <is>
          <t>GÄVLEBORGS LÄN</t>
        </is>
      </c>
      <c r="G587" t="inlineStr">
        <is>
          <t>HUDIKSVALL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46303</v>
      </c>
      <c r="F588" t="inlineStr">
        <is>
          <t>GÄVLEBORGS LÄN</t>
        </is>
      </c>
      <c r="G588" t="inlineStr">
        <is>
          <t>HUDIKSVALL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67049-2021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44522</v>
      </c>
      <c r="E589" s="1" t="n">
        <v>46303</v>
      </c>
      <c r="F589" t="inlineStr">
        <is>
          <t>GÄVLEBORGS LÄN</t>
        </is>
      </c>
      <c r="G589" t="inlineStr">
        <is>
          <t>HUDIKSVALL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74009-2021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44557</v>
      </c>
      <c r="E590" s="1" t="n">
        <v>46303</v>
      </c>
      <c r="F590" t="inlineStr">
        <is>
          <t>GÄVLEBORGS LÄN</t>
        </is>
      </c>
      <c r="G590" t="inlineStr">
        <is>
          <t>HUDIKSVALL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45771</v>
      </c>
      <c r="E591" s="1" t="n">
        <v>46303</v>
      </c>
      <c r="F591" t="inlineStr">
        <is>
          <t>GÄVLEBORGS LÄN</t>
        </is>
      </c>
      <c r="G591" t="inlineStr">
        <is>
          <t>HUDIKSVALL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45958</v>
      </c>
      <c r="E592" s="1" t="n">
        <v>46303</v>
      </c>
      <c r="F592" t="inlineStr">
        <is>
          <t>GÄVLEBORGS LÄN</t>
        </is>
      </c>
      <c r="G592" t="inlineStr">
        <is>
          <t>HUDIKSVALL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53755-2025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45960</v>
      </c>
      <c r="E593" s="1" t="n">
        <v>46303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22945-2023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45072</v>
      </c>
      <c r="E594" s="1" t="n">
        <v>46303</v>
      </c>
      <c r="F594" t="inlineStr">
        <is>
          <t>GÄVLEBORGS LÄN</t>
        </is>
      </c>
      <c r="G594" t="inlineStr">
        <is>
          <t>HUDIKSVALL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46303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45554</v>
      </c>
      <c r="E596" s="1" t="n">
        <v>46303</v>
      </c>
      <c r="F596" t="inlineStr">
        <is>
          <t>GÄVLEBORGS LÄN</t>
        </is>
      </c>
      <c r="G596" t="inlineStr">
        <is>
          <t>HUDIKSVALL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45849</v>
      </c>
      <c r="E597" s="1" t="n">
        <v>46303</v>
      </c>
      <c r="F597" t="inlineStr">
        <is>
          <t>GÄVLEBORGS LÄN</t>
        </is>
      </c>
      <c r="G597" t="inlineStr">
        <is>
          <t>HUDIKSVALL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34837-2025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45849</v>
      </c>
      <c r="E598" s="1" t="n">
        <v>46303</v>
      </c>
      <c r="F598" t="inlineStr">
        <is>
          <t>GÄVLEBORGS LÄN</t>
        </is>
      </c>
      <c r="G598" t="inlineStr">
        <is>
          <t>HUDIKSVALL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45852</v>
      </c>
      <c r="E599" s="1" t="n">
        <v>46303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58005-2024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45631</v>
      </c>
      <c r="E600" s="1" t="n">
        <v>46303</v>
      </c>
      <c r="F600" t="inlineStr">
        <is>
          <t>GÄVLEBORGS LÄN</t>
        </is>
      </c>
      <c r="G600" t="inlineStr">
        <is>
          <t>HUDIKSVALL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37689-2024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46303</v>
      </c>
      <c r="F601" t="inlineStr">
        <is>
          <t>GÄVLEBORGS LÄN</t>
        </is>
      </c>
      <c r="G601" t="inlineStr">
        <is>
          <t>HUDIKSVALL</t>
        </is>
      </c>
      <c r="H601" t="inlineStr">
        <is>
          <t>Kommuner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15985-2025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45749</v>
      </c>
      <c r="E602" s="1" t="n">
        <v>46303</v>
      </c>
      <c r="F602" t="inlineStr">
        <is>
          <t>GÄVLEBORGS LÄN</t>
        </is>
      </c>
      <c r="G602" t="inlineStr">
        <is>
          <t>HUDIKSVALL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13085-2023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45002</v>
      </c>
      <c r="E603" s="1" t="n">
        <v>46303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19942-2025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45771</v>
      </c>
      <c r="E604" s="1" t="n">
        <v>46303</v>
      </c>
      <c r="F604" t="inlineStr">
        <is>
          <t>GÄVLEBORGS LÄN</t>
        </is>
      </c>
      <c r="G604" t="inlineStr">
        <is>
          <t>HUDIKSVALL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60904-2024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45645</v>
      </c>
      <c r="E605" s="1" t="n">
        <v>46303</v>
      </c>
      <c r="F605" t="inlineStr">
        <is>
          <t>GÄVLEBORGS LÄN</t>
        </is>
      </c>
      <c r="G605" t="inlineStr">
        <is>
          <t>HUDIKSVALL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8096-2024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45351</v>
      </c>
      <c r="E606" s="1" t="n">
        <v>46303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54219-2023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45232</v>
      </c>
      <c r="E607" s="1" t="n">
        <v>46303</v>
      </c>
      <c r="F607" t="inlineStr">
        <is>
          <t>GÄVLEBORGS LÄN</t>
        </is>
      </c>
      <c r="G607" t="inlineStr">
        <is>
          <t>HUDIKSVALL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54515-2025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45965</v>
      </c>
      <c r="E608" s="1" t="n">
        <v>46303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35825-2025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45861</v>
      </c>
      <c r="E609" s="1" t="n">
        <v>46303</v>
      </c>
      <c r="F609" t="inlineStr">
        <is>
          <t>GÄVLEBORGS LÄN</t>
        </is>
      </c>
      <c r="G609" t="inlineStr">
        <is>
          <t>HUDIKSVALL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45861</v>
      </c>
      <c r="E610" s="1" t="n">
        <v>46303</v>
      </c>
      <c r="F610" t="inlineStr">
        <is>
          <t>GÄVLEBORGS LÄN</t>
        </is>
      </c>
      <c r="G610" t="inlineStr">
        <is>
          <t>HUDIKSVALL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28810-2023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45104</v>
      </c>
      <c r="E611" s="1" t="n">
        <v>46303</v>
      </c>
      <c r="F611" t="inlineStr">
        <is>
          <t>GÄVLEBORGS LÄN</t>
        </is>
      </c>
      <c r="G611" t="inlineStr">
        <is>
          <t>HUDIKSVALL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61536-2022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44916</v>
      </c>
      <c r="E612" s="1" t="n">
        <v>46303</v>
      </c>
      <c r="F612" t="inlineStr">
        <is>
          <t>GÄVLEBORGS LÄN</t>
        </is>
      </c>
      <c r="G612" t="inlineStr">
        <is>
          <t>HUDIKSVALL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45078</v>
      </c>
      <c r="E613" s="1" t="n">
        <v>46303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36200-2025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45867</v>
      </c>
      <c r="E614" s="1" t="n">
        <v>46303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45867</v>
      </c>
      <c r="E615" s="1" t="n">
        <v>46303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45868</v>
      </c>
      <c r="E616" s="1" t="n">
        <v>46303</v>
      </c>
      <c r="F616" t="inlineStr">
        <is>
          <t>GÄVLEBORGS LÄN</t>
        </is>
      </c>
      <c r="G616" t="inlineStr">
        <is>
          <t>HUDIKSVALL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45867</v>
      </c>
      <c r="E617" s="1" t="n">
        <v>46303</v>
      </c>
      <c r="F617" t="inlineStr">
        <is>
          <t>GÄVLEBORGS LÄN</t>
        </is>
      </c>
      <c r="G617" t="inlineStr">
        <is>
          <t>HUDIKSVALL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45560</v>
      </c>
      <c r="E618" s="1" t="n">
        <v>46303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31707-2024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45508</v>
      </c>
      <c r="E619" s="1" t="n">
        <v>46303</v>
      </c>
      <c r="F619" t="inlineStr">
        <is>
          <t>GÄVLEBORGS LÄN</t>
        </is>
      </c>
      <c r="G619" t="inlineStr">
        <is>
          <t>HUDIKSVALL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55072-2025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45967</v>
      </c>
      <c r="E620" s="1" t="n">
        <v>46303</v>
      </c>
      <c r="F620" t="inlineStr">
        <is>
          <t>GÄVLEBORGS LÄN</t>
        </is>
      </c>
      <c r="G620" t="inlineStr">
        <is>
          <t>HUDIKSVALL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54864-2025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45966</v>
      </c>
      <c r="E621" s="1" t="n">
        <v>46303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45754</v>
      </c>
      <c r="E622" s="1" t="n">
        <v>46303</v>
      </c>
      <c r="F622" t="inlineStr">
        <is>
          <t>GÄVLEBORGS LÄN</t>
        </is>
      </c>
      <c r="G622" t="inlineStr">
        <is>
          <t>HUDIKSVALL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58339-2024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45632</v>
      </c>
      <c r="E623" s="1" t="n">
        <v>46303</v>
      </c>
      <c r="F623" t="inlineStr">
        <is>
          <t>GÄVLEBORGS LÄN</t>
        </is>
      </c>
      <c r="G623" t="inlineStr">
        <is>
          <t>HUDIKSVALL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44610</v>
      </c>
      <c r="E624" s="1" t="n">
        <v>46303</v>
      </c>
      <c r="F624" t="inlineStr">
        <is>
          <t>GÄVLEBORGS LÄN</t>
        </is>
      </c>
      <c r="G624" t="inlineStr">
        <is>
          <t>HUDIKSVALL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11629-2024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45373</v>
      </c>
      <c r="E625" s="1" t="n">
        <v>46303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45872</v>
      </c>
      <c r="E626" s="1" t="n">
        <v>46303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37213-2025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45875</v>
      </c>
      <c r="E627" s="1" t="n">
        <v>46303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37082-2025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45875</v>
      </c>
      <c r="E628" s="1" t="n">
        <v>46303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37208-2025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45875</v>
      </c>
      <c r="E629" s="1" t="n">
        <v>46303</v>
      </c>
      <c r="F629" t="inlineStr">
        <is>
          <t>GÄVLEBORGS LÄN</t>
        </is>
      </c>
      <c r="G629" t="inlineStr">
        <is>
          <t>HUDIKSVALL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37083-2025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45875</v>
      </c>
      <c r="E630" s="1" t="n">
        <v>46303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37355-2025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45876</v>
      </c>
      <c r="E631" s="1" t="n">
        <v>46303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45880</v>
      </c>
      <c r="E632" s="1" t="n">
        <v>46303</v>
      </c>
      <c r="F632" t="inlineStr">
        <is>
          <t>GÄVLEBORGS LÄN</t>
        </is>
      </c>
      <c r="G632" t="inlineStr">
        <is>
          <t>HUDIKSVALL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45880</v>
      </c>
      <c r="E633" s="1" t="n">
        <v>46303</v>
      </c>
      <c r="F633" t="inlineStr">
        <is>
          <t>GÄVLEBORGS LÄN</t>
        </is>
      </c>
      <c r="G633" t="inlineStr">
        <is>
          <t>HUDIKSVALL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45670</v>
      </c>
      <c r="E634" s="1" t="n">
        <v>46303</v>
      </c>
      <c r="F634" t="inlineStr">
        <is>
          <t>GÄVLEBORGS LÄN</t>
        </is>
      </c>
      <c r="G634" t="inlineStr">
        <is>
          <t>HUDIKSVALL</t>
        </is>
      </c>
      <c r="I634" t="n">
        <v>11.8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19014-2024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45427</v>
      </c>
      <c r="E635" s="1" t="n">
        <v>46303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17.7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37701-2025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45880</v>
      </c>
      <c r="E636" s="1" t="n">
        <v>46303</v>
      </c>
      <c r="F636" t="inlineStr">
        <is>
          <t>GÄVLEBORGS LÄN</t>
        </is>
      </c>
      <c r="G636" t="inlineStr">
        <is>
          <t>HUDIKSVALL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37616-2025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45880</v>
      </c>
      <c r="E637" s="1" t="n">
        <v>46303</v>
      </c>
      <c r="F637" t="inlineStr">
        <is>
          <t>GÄVLEBORGS LÄN</t>
        </is>
      </c>
      <c r="G637" t="inlineStr">
        <is>
          <t>HUDIKSVALL</t>
        </is>
      </c>
      <c r="I637" t="n">
        <v>6.9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15964-2025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45749</v>
      </c>
      <c r="E638" s="1" t="n">
        <v>46303</v>
      </c>
      <c r="F638" t="inlineStr">
        <is>
          <t>GÄVLEBORGS LÄN</t>
        </is>
      </c>
      <c r="G638" t="inlineStr">
        <is>
          <t>HUDIKSVALL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37804-2025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45881</v>
      </c>
      <c r="E639" s="1" t="n">
        <v>46303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25.3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38077-2025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45882</v>
      </c>
      <c r="E640" s="1" t="n">
        <v>46303</v>
      </c>
      <c r="F640" t="inlineStr">
        <is>
          <t>GÄVLEBORGS LÄN</t>
        </is>
      </c>
      <c r="G640" t="inlineStr">
        <is>
          <t>HUDIKSVALL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46303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45582</v>
      </c>
      <c r="E642" s="1" t="n">
        <v>46303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46598-2024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45582</v>
      </c>
      <c r="E643" s="1" t="n">
        <v>46303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35000-2024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45527</v>
      </c>
      <c r="E644" s="1" t="n">
        <v>46303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9140-2023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44980</v>
      </c>
      <c r="E645" s="1" t="n">
        <v>46303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9163-2023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44980</v>
      </c>
      <c r="E646" s="1" t="n">
        <v>46303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45173</v>
      </c>
      <c r="E647" s="1" t="n">
        <v>46303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46303</v>
      </c>
      <c r="F648" t="inlineStr">
        <is>
          <t>GÄVLEBORGS LÄN</t>
        </is>
      </c>
      <c r="G648" t="inlineStr">
        <is>
          <t>HUDIKSVALL</t>
        </is>
      </c>
      <c r="H648" t="inlineStr">
        <is>
          <t>Kommuner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37697-2024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45541</v>
      </c>
      <c r="E649" s="1" t="n">
        <v>46303</v>
      </c>
      <c r="F649" t="inlineStr">
        <is>
          <t>GÄVLEBORGS LÄN</t>
        </is>
      </c>
      <c r="G649" t="inlineStr">
        <is>
          <t>HUDIKSVALL</t>
        </is>
      </c>
      <c r="H649" t="inlineStr">
        <is>
          <t>Kommuner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38633-2025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45884</v>
      </c>
      <c r="E650" s="1" t="n">
        <v>46303</v>
      </c>
      <c r="F650" t="inlineStr">
        <is>
          <t>GÄVLEBORGS LÄN</t>
        </is>
      </c>
      <c r="G650" t="inlineStr">
        <is>
          <t>HUDIKSVALL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45695</v>
      </c>
      <c r="E651" s="1" t="n">
        <v>46303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45677</v>
      </c>
      <c r="E652" s="1" t="n">
        <v>46303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55395-2025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45971</v>
      </c>
      <c r="E653" s="1" t="n">
        <v>46303</v>
      </c>
      <c r="F653" t="inlineStr">
        <is>
          <t>GÄVLEBORGS LÄN</t>
        </is>
      </c>
      <c r="G653" t="inlineStr">
        <is>
          <t>HUDIKSVALL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46303</v>
      </c>
      <c r="F654" t="inlineStr">
        <is>
          <t>GÄVLEBORGS LÄN</t>
        </is>
      </c>
      <c r="G654" t="inlineStr">
        <is>
          <t>HUDIKSVALL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45971</v>
      </c>
      <c r="E655" s="1" t="n">
        <v>46303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55375-2025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46303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55330-2025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46303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9321-2026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46303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11475-2024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45372</v>
      </c>
      <c r="E659" s="1" t="n">
        <v>46303</v>
      </c>
      <c r="F659" t="inlineStr">
        <is>
          <t>GÄVLEBORGS LÄN</t>
        </is>
      </c>
      <c r="G659" t="inlineStr">
        <is>
          <t>HUDIKSVALL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55370-2025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46303</v>
      </c>
      <c r="F660" t="inlineStr">
        <is>
          <t>GÄVLEBORGS LÄN</t>
        </is>
      </c>
      <c r="G660" t="inlineStr">
        <is>
          <t>HUDIKSVALL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59571-2022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44907</v>
      </c>
      <c r="E661" s="1" t="n">
        <v>46303</v>
      </c>
      <c r="F661" t="inlineStr">
        <is>
          <t>GÄVLEBORGS LÄN</t>
        </is>
      </c>
      <c r="G661" t="inlineStr">
        <is>
          <t>HUDIKSVALL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46303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13759-2022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44649</v>
      </c>
      <c r="E663" s="1" t="n">
        <v>46303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45297</v>
      </c>
      <c r="E664" s="1" t="n">
        <v>46303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55481-2025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46303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45071</v>
      </c>
      <c r="E666" s="1" t="n">
        <v>46303</v>
      </c>
      <c r="F666" t="inlineStr">
        <is>
          <t>GÄVLEBORGS LÄN</t>
        </is>
      </c>
      <c r="G666" t="inlineStr">
        <is>
          <t>HUDIKSVALL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56244-2025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46303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56250-2025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45974</v>
      </c>
      <c r="E668" s="1" t="n">
        <v>46303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8137-2023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44974</v>
      </c>
      <c r="E669" s="1" t="n">
        <v>46303</v>
      </c>
      <c r="F669" t="inlineStr">
        <is>
          <t>GÄVLEBORGS LÄN</t>
        </is>
      </c>
      <c r="G669" t="inlineStr">
        <is>
          <t>HUDIKSVALL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56738-2023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45244</v>
      </c>
      <c r="E670" s="1" t="n">
        <v>46303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56755-2023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45244</v>
      </c>
      <c r="E671" s="1" t="n">
        <v>46303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45911</v>
      </c>
      <c r="E672" s="1" t="n">
        <v>46303</v>
      </c>
      <c r="F672" t="inlineStr">
        <is>
          <t>GÄVLEBORGS LÄN</t>
        </is>
      </c>
      <c r="G672" t="inlineStr">
        <is>
          <t>HUDIKSVALL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9918-2025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45717</v>
      </c>
      <c r="E673" s="1" t="n">
        <v>46303</v>
      </c>
      <c r="F673" t="inlineStr">
        <is>
          <t>GÄVLEBORGS LÄN</t>
        </is>
      </c>
      <c r="G673" t="inlineStr">
        <is>
          <t>HUDIKSVALL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46827-2024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45583</v>
      </c>
      <c r="E674" s="1" t="n">
        <v>46303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Sveaskog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46303</v>
      </c>
      <c r="F675" t="inlineStr">
        <is>
          <t>GÄVLEBORGS LÄN</t>
        </is>
      </c>
      <c r="G675" t="inlineStr">
        <is>
          <t>HUDIKSVALL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56021-2025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45973</v>
      </c>
      <c r="E676" s="1" t="n">
        <v>46303</v>
      </c>
      <c r="F676" t="inlineStr">
        <is>
          <t>GÄVLEBORGS LÄN</t>
        </is>
      </c>
      <c r="G676" t="inlineStr">
        <is>
          <t>HUDIKSVALL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56151-2025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46303</v>
      </c>
      <c r="F677" t="inlineStr">
        <is>
          <t>GÄVLEBORGS LÄN</t>
        </is>
      </c>
      <c r="G677" t="inlineStr">
        <is>
          <t>HUDIKSVALL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30591-2022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44762</v>
      </c>
      <c r="E678" s="1" t="n">
        <v>46303</v>
      </c>
      <c r="F678" t="inlineStr">
        <is>
          <t>GÄVLEBORGS LÄN</t>
        </is>
      </c>
      <c r="G678" t="inlineStr">
        <is>
          <t>HUDIKSVALL</t>
        </is>
      </c>
      <c r="H678" t="inlineStr">
        <is>
          <t>Sveaskog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47314-2024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45587</v>
      </c>
      <c r="E679" s="1" t="n">
        <v>46303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56694-2025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45976</v>
      </c>
      <c r="E680" s="1" t="n">
        <v>46303</v>
      </c>
      <c r="F680" t="inlineStr">
        <is>
          <t>GÄVLEBORGS LÄN</t>
        </is>
      </c>
      <c r="G680" t="inlineStr">
        <is>
          <t>HUDIKSVALL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56637-2025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45975</v>
      </c>
      <c r="E681" s="1" t="n">
        <v>46303</v>
      </c>
      <c r="F681" t="inlineStr">
        <is>
          <t>GÄVLEBORGS LÄN</t>
        </is>
      </c>
      <c r="G681" t="inlineStr">
        <is>
          <t>HUDIKSVALL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59823-2024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45639</v>
      </c>
      <c r="E682" s="1" t="n">
        <v>46303</v>
      </c>
      <c r="F682" t="inlineStr">
        <is>
          <t>GÄVLEBORGS LÄN</t>
        </is>
      </c>
      <c r="G682" t="inlineStr">
        <is>
          <t>HUDIKSVALL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46207-2024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45581</v>
      </c>
      <c r="E683" s="1" t="n">
        <v>46303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45978</v>
      </c>
      <c r="E684" s="1" t="n">
        <v>46303</v>
      </c>
      <c r="F684" t="inlineStr">
        <is>
          <t>GÄVLEBORGS LÄN</t>
        </is>
      </c>
      <c r="G684" t="inlineStr">
        <is>
          <t>HUDIKSVALL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50325-2025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45944</v>
      </c>
      <c r="E685" s="1" t="n">
        <v>46303</v>
      </c>
      <c r="F685" t="inlineStr">
        <is>
          <t>GÄVLEBORGS LÄN</t>
        </is>
      </c>
      <c r="G685" t="inlineStr">
        <is>
          <t>HUDIKSVALL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45975</v>
      </c>
      <c r="E686" s="1" t="n">
        <v>46303</v>
      </c>
      <c r="F686" t="inlineStr">
        <is>
          <t>GÄVLEBORGS LÄN</t>
        </is>
      </c>
      <c r="G686" t="inlineStr">
        <is>
          <t>HUDIKSVALL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56818-2025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46303</v>
      </c>
      <c r="F687" t="inlineStr">
        <is>
          <t>GÄVLEBORGS LÄN</t>
        </is>
      </c>
      <c r="G687" t="inlineStr">
        <is>
          <t>HUDIKSVALL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46140</v>
      </c>
      <c r="E688" s="1" t="n">
        <v>46303</v>
      </c>
      <c r="F688" t="inlineStr">
        <is>
          <t>GÄVLEBORGS LÄN</t>
        </is>
      </c>
      <c r="G688" t="inlineStr">
        <is>
          <t>HUDIKSVALL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56858-2024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45628</v>
      </c>
      <c r="E689" s="1" t="n">
        <v>46303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56834-2025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45978</v>
      </c>
      <c r="E690" s="1" t="n">
        <v>46303</v>
      </c>
      <c r="F690" t="inlineStr">
        <is>
          <t>GÄVLEBORGS LÄN</t>
        </is>
      </c>
      <c r="G690" t="inlineStr">
        <is>
          <t>HUDIKSVALL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54225-2023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45232</v>
      </c>
      <c r="E691" s="1" t="n">
        <v>46303</v>
      </c>
      <c r="F691" t="inlineStr">
        <is>
          <t>GÄVLEBORGS LÄN</t>
        </is>
      </c>
      <c r="G691" t="inlineStr">
        <is>
          <t>HUDIKSVALL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22641-2024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45447</v>
      </c>
      <c r="E692" s="1" t="n">
        <v>46303</v>
      </c>
      <c r="F692" t="inlineStr">
        <is>
          <t>GÄVLEBORGS LÄN</t>
        </is>
      </c>
      <c r="G692" t="inlineStr">
        <is>
          <t>HUDIKSVALL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56698-2025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45976</v>
      </c>
      <c r="E693" s="1" t="n">
        <v>46303</v>
      </c>
      <c r="F693" t="inlineStr">
        <is>
          <t>GÄVLEBORGS LÄN</t>
        </is>
      </c>
      <c r="G693" t="inlineStr">
        <is>
          <t>HUDIKSVALL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10843-2022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44627</v>
      </c>
      <c r="E694" s="1" t="n">
        <v>46303</v>
      </c>
      <c r="F694" t="inlineStr">
        <is>
          <t>GÄVLEBORGS LÄN</t>
        </is>
      </c>
      <c r="G694" t="inlineStr">
        <is>
          <t>HUDIKSVALL</t>
        </is>
      </c>
      <c r="I694" t="n">
        <v>15.4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56695-2025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45976</v>
      </c>
      <c r="E695" s="1" t="n">
        <v>46303</v>
      </c>
      <c r="F695" t="inlineStr">
        <is>
          <t>GÄVLEBORGS LÄN</t>
        </is>
      </c>
      <c r="G695" t="inlineStr">
        <is>
          <t>HUDIKSVALL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48645-2024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45593</v>
      </c>
      <c r="E696" s="1" t="n">
        <v>46303</v>
      </c>
      <c r="F696" t="inlineStr">
        <is>
          <t>GÄVLEBORGS LÄN</t>
        </is>
      </c>
      <c r="G696" t="inlineStr">
        <is>
          <t>HUDIKSVALL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57210-2025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45979</v>
      </c>
      <c r="E697" s="1" t="n">
        <v>46303</v>
      </c>
      <c r="F697" t="inlineStr">
        <is>
          <t>GÄVLEBORGS LÄN</t>
        </is>
      </c>
      <c r="G697" t="inlineStr">
        <is>
          <t>HUDIKSVALL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57213-2025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45979</v>
      </c>
      <c r="E698" s="1" t="n">
        <v>46303</v>
      </c>
      <c r="F698" t="inlineStr">
        <is>
          <t>GÄVLEBORGS LÄN</t>
        </is>
      </c>
      <c r="G698" t="inlineStr">
        <is>
          <t>HUDIKSVALL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35002-2023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45142</v>
      </c>
      <c r="E699" s="1" t="n">
        <v>46303</v>
      </c>
      <c r="F699" t="inlineStr">
        <is>
          <t>GÄVLEBORGS LÄN</t>
        </is>
      </c>
      <c r="G699" t="inlineStr">
        <is>
          <t>HUDIKSVALL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8041-2026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46303</v>
      </c>
      <c r="F700" t="inlineStr">
        <is>
          <t>GÄVLEBORGS LÄN</t>
        </is>
      </c>
      <c r="G700" t="inlineStr">
        <is>
          <t>HUDIKSVALL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46303</v>
      </c>
      <c r="F701" t="inlineStr">
        <is>
          <t>GÄVLEBORGS LÄN</t>
        </is>
      </c>
      <c r="G701" t="inlineStr">
        <is>
          <t>HUDIKSVALL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46140</v>
      </c>
      <c r="E702" s="1" t="n">
        <v>46303</v>
      </c>
      <c r="F702" t="inlineStr">
        <is>
          <t>GÄVLEBORGS LÄN</t>
        </is>
      </c>
      <c r="G702" t="inlineStr">
        <is>
          <t>HUDIKSVALL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45096-2023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45191</v>
      </c>
      <c r="E703" s="1" t="n">
        <v>46303</v>
      </c>
      <c r="F703" t="inlineStr">
        <is>
          <t>GÄVLEBORGS LÄN</t>
        </is>
      </c>
      <c r="G703" t="inlineStr">
        <is>
          <t>HUDIKSVALL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13853-2025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45737</v>
      </c>
      <c r="E704" s="1" t="n">
        <v>46303</v>
      </c>
      <c r="F704" t="inlineStr">
        <is>
          <t>GÄVLEBORGS LÄN</t>
        </is>
      </c>
      <c r="G704" t="inlineStr">
        <is>
          <t>HUDIKSVALL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46303</v>
      </c>
      <c r="F705" t="inlineStr">
        <is>
          <t>GÄVLEBORGS LÄN</t>
        </is>
      </c>
      <c r="G705" t="inlineStr">
        <is>
          <t>HUDIKSVALL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46058</v>
      </c>
      <c r="E706" s="1" t="n">
        <v>46303</v>
      </c>
      <c r="F706" t="inlineStr">
        <is>
          <t>GÄVLEBORGS LÄN</t>
        </is>
      </c>
      <c r="G706" t="inlineStr">
        <is>
          <t>HUDIKSVALL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41535-2024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45560</v>
      </c>
      <c r="E707" s="1" t="n">
        <v>46303</v>
      </c>
      <c r="F707" t="inlineStr">
        <is>
          <t>GÄVLEBORGS LÄN</t>
        </is>
      </c>
      <c r="G707" t="inlineStr">
        <is>
          <t>HUDIKSVALL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22892-2023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45072</v>
      </c>
      <c r="E708" s="1" t="n">
        <v>46303</v>
      </c>
      <c r="F708" t="inlineStr">
        <is>
          <t>GÄVLEBORGS LÄN</t>
        </is>
      </c>
      <c r="G708" t="inlineStr">
        <is>
          <t>HUDIKSVALL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57191-2025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45979</v>
      </c>
      <c r="E709" s="1" t="n">
        <v>46303</v>
      </c>
      <c r="F709" t="inlineStr">
        <is>
          <t>GÄVLEBORGS LÄN</t>
        </is>
      </c>
      <c r="G709" t="inlineStr">
        <is>
          <t>HUDIKSVALL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10379-2026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46076</v>
      </c>
      <c r="E710" s="1" t="n">
        <v>46303</v>
      </c>
      <c r="F710" t="inlineStr">
        <is>
          <t>GÄVLEBORGS LÄN</t>
        </is>
      </c>
      <c r="G710" t="inlineStr">
        <is>
          <t>HUDIKSVALL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18828-2024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45426</v>
      </c>
      <c r="E711" s="1" t="n">
        <v>46303</v>
      </c>
      <c r="F711" t="inlineStr">
        <is>
          <t>GÄVLEBORGS LÄN</t>
        </is>
      </c>
      <c r="G711" t="inlineStr">
        <is>
          <t>HUDIKSVALL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46303</v>
      </c>
      <c r="F712" t="inlineStr">
        <is>
          <t>GÄVLEBORGS LÄN</t>
        </is>
      </c>
      <c r="G712" t="inlineStr">
        <is>
          <t>HUDIKSVALL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34284-2024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45524</v>
      </c>
      <c r="E713" s="1" t="n">
        <v>46303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14863-2024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45398</v>
      </c>
      <c r="E714" s="1" t="n">
        <v>46303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45082</v>
      </c>
      <c r="E715" s="1" t="n">
        <v>46303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44736-2024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45574</v>
      </c>
      <c r="E716" s="1" t="n">
        <v>46303</v>
      </c>
      <c r="F716" t="inlineStr">
        <is>
          <t>GÄVLEBORGS LÄN</t>
        </is>
      </c>
      <c r="G716" t="inlineStr">
        <is>
          <t>HUDIKSVALL</t>
        </is>
      </c>
      <c r="I716" t="n">
        <v>43.7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57322-2025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45980</v>
      </c>
      <c r="E717" s="1" t="n">
        <v>46303</v>
      </c>
      <c r="F717" t="inlineStr">
        <is>
          <t>GÄVLEBORGS LÄN</t>
        </is>
      </c>
      <c r="G717" t="inlineStr">
        <is>
          <t>HUDIKSVALL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9905-2024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45363</v>
      </c>
      <c r="E718" s="1" t="n">
        <v>46303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2528-2025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45674</v>
      </c>
      <c r="E719" s="1" t="n">
        <v>46303</v>
      </c>
      <c r="F719" t="inlineStr">
        <is>
          <t>GÄVLEBORGS LÄN</t>
        </is>
      </c>
      <c r="G719" t="inlineStr">
        <is>
          <t>HUDIKSVALL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45676</v>
      </c>
      <c r="E720" s="1" t="n">
        <v>46303</v>
      </c>
      <c r="F720" t="inlineStr">
        <is>
          <t>GÄVLEBORGS LÄN</t>
        </is>
      </c>
      <c r="G720" t="inlineStr">
        <is>
          <t>HUDIKSVALL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27051-2022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44741</v>
      </c>
      <c r="E721" s="1" t="n">
        <v>46303</v>
      </c>
      <c r="F721" t="inlineStr">
        <is>
          <t>GÄVLEBORGS LÄN</t>
        </is>
      </c>
      <c r="G721" t="inlineStr">
        <is>
          <t>HUDIKSVALL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45770</v>
      </c>
      <c r="E722" s="1" t="n">
        <v>46303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57999-2025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45982</v>
      </c>
      <c r="E723" s="1" t="n">
        <v>46303</v>
      </c>
      <c r="F723" t="inlineStr">
        <is>
          <t>GÄVLEBORGS LÄN</t>
        </is>
      </c>
      <c r="G723" t="inlineStr">
        <is>
          <t>HUDIKSVALL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45695</v>
      </c>
      <c r="E724" s="1" t="n">
        <v>46303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5940-2025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45695</v>
      </c>
      <c r="E725" s="1" t="n">
        <v>46303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5946-2025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45695</v>
      </c>
      <c r="E726" s="1" t="n">
        <v>46303</v>
      </c>
      <c r="F726" t="inlineStr">
        <is>
          <t>GÄVLEBORGS LÄN</t>
        </is>
      </c>
      <c r="G726" t="inlineStr">
        <is>
          <t>HUDIKSVALL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12429-2026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46090</v>
      </c>
      <c r="E727" s="1" t="n">
        <v>46303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45819</v>
      </c>
      <c r="E728" s="1" t="n">
        <v>46303</v>
      </c>
      <c r="F728" t="inlineStr">
        <is>
          <t>GÄVLEBORGS LÄN</t>
        </is>
      </c>
      <c r="G728" t="inlineStr">
        <is>
          <t>HUDIKSVALL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30590-2022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44762</v>
      </c>
      <c r="E729" s="1" t="n">
        <v>46303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Sveaskog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40060-2023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45168</v>
      </c>
      <c r="E730" s="1" t="n">
        <v>46303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46024</v>
      </c>
      <c r="E731" s="1" t="n">
        <v>46303</v>
      </c>
      <c r="F731" t="inlineStr">
        <is>
          <t>GÄVLEBORGS LÄN</t>
        </is>
      </c>
      <c r="G731" t="inlineStr">
        <is>
          <t>HUDIKSVALL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63933-2025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46020</v>
      </c>
      <c r="E732" s="1" t="n">
        <v>46303</v>
      </c>
      <c r="F732" t="inlineStr">
        <is>
          <t>GÄVLEBORGS LÄN</t>
        </is>
      </c>
      <c r="G732" t="inlineStr">
        <is>
          <t>HUDIKSVALL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34757-2023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45141</v>
      </c>
      <c r="E733" s="1" t="n">
        <v>46303</v>
      </c>
      <c r="F733" t="inlineStr">
        <is>
          <t>GÄVLEBORGS LÄN</t>
        </is>
      </c>
      <c r="G733" t="inlineStr">
        <is>
          <t>HUDIKSVALL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7973-2026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46303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45431</v>
      </c>
      <c r="E735" s="1" t="n">
        <v>46303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58040-2025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46303</v>
      </c>
      <c r="F736" t="inlineStr">
        <is>
          <t>GÄVLEBORGS LÄN</t>
        </is>
      </c>
      <c r="G736" t="inlineStr">
        <is>
          <t>HUDIKSVALL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41254-2024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46303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6.4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15486-2024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45401</v>
      </c>
      <c r="E738" s="1" t="n">
        <v>46303</v>
      </c>
      <c r="F738" t="inlineStr">
        <is>
          <t>GÄVLEBORGS LÄN</t>
        </is>
      </c>
      <c r="G738" t="inlineStr">
        <is>
          <t>HUDIKSVALL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58035-2025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45982</v>
      </c>
      <c r="E739" s="1" t="n">
        <v>46303</v>
      </c>
      <c r="F739" t="inlineStr">
        <is>
          <t>GÄVLEBORGS LÄN</t>
        </is>
      </c>
      <c r="G739" t="inlineStr">
        <is>
          <t>HUDIKSVALL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58038-2025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45982</v>
      </c>
      <c r="E740" s="1" t="n">
        <v>46303</v>
      </c>
      <c r="F740" t="inlineStr">
        <is>
          <t>GÄVLEBORGS LÄN</t>
        </is>
      </c>
      <c r="G740" t="inlineStr">
        <is>
          <t>HUDIKSVALL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46028</v>
      </c>
      <c r="E741" s="1" t="n">
        <v>46303</v>
      </c>
      <c r="F741" t="inlineStr">
        <is>
          <t>GÄVLEBORGS LÄN</t>
        </is>
      </c>
      <c r="G741" t="inlineStr">
        <is>
          <t>HUDIKSVALL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58562-2025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45986</v>
      </c>
      <c r="E742" s="1" t="n">
        <v>46303</v>
      </c>
      <c r="F742" t="inlineStr">
        <is>
          <t>GÄVLEBORGS LÄN</t>
        </is>
      </c>
      <c r="G742" t="inlineStr">
        <is>
          <t>HUDIKSVALL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58782-2025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45986</v>
      </c>
      <c r="E743" s="1" t="n">
        <v>46303</v>
      </c>
      <c r="F743" t="inlineStr">
        <is>
          <t>GÄVLEBORGS LÄN</t>
        </is>
      </c>
      <c r="G743" t="inlineStr">
        <is>
          <t>HUDIKSVALL</t>
        </is>
      </c>
      <c r="I743" t="n">
        <v>8.9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58481-2025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45985</v>
      </c>
      <c r="E744" s="1" t="n">
        <v>46303</v>
      </c>
      <c r="F744" t="inlineStr">
        <is>
          <t>GÄVLEBORGS LÄN</t>
        </is>
      </c>
      <c r="G744" t="inlineStr">
        <is>
          <t>HUDIKSVALL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46303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45985</v>
      </c>
      <c r="E746" s="1" t="n">
        <v>46303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45684</v>
      </c>
      <c r="E747" s="1" t="n">
        <v>46303</v>
      </c>
      <c r="F747" t="inlineStr">
        <is>
          <t>GÄVLEBORGS LÄN</t>
        </is>
      </c>
      <c r="G747" t="inlineStr">
        <is>
          <t>HUDIKSVALL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46045</v>
      </c>
      <c r="E748" s="1" t="n">
        <v>46303</v>
      </c>
      <c r="F748" t="inlineStr">
        <is>
          <t>GÄVLEBORGS LÄN</t>
        </is>
      </c>
      <c r="G748" t="inlineStr">
        <is>
          <t>HUDIKSVALL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20204-2026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46139</v>
      </c>
      <c r="E749" s="1" t="n">
        <v>46303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46303</v>
      </c>
      <c r="F750" t="inlineStr">
        <is>
          <t>GÄVLEBORGS LÄN</t>
        </is>
      </c>
      <c r="G750" t="inlineStr">
        <is>
          <t>HUDIKSVALL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845-2026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46303</v>
      </c>
      <c r="F751" t="inlineStr">
        <is>
          <t>GÄVLEBORGS LÄN</t>
        </is>
      </c>
      <c r="G751" t="inlineStr">
        <is>
          <t>HUDIKSVALL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46090</v>
      </c>
      <c r="E752" s="1" t="n">
        <v>46303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43070-2024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45567</v>
      </c>
      <c r="E753" s="1" t="n">
        <v>46303</v>
      </c>
      <c r="F753" t="inlineStr">
        <is>
          <t>GÄVLEBORGS LÄN</t>
        </is>
      </c>
      <c r="G753" t="inlineStr">
        <is>
          <t>HUDIKSVALL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20920-2026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46142</v>
      </c>
      <c r="E754" s="1" t="n">
        <v>46303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46141</v>
      </c>
      <c r="E755" s="1" t="n">
        <v>46303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46062</v>
      </c>
      <c r="E756" s="1" t="n">
        <v>46303</v>
      </c>
      <c r="F756" t="inlineStr">
        <is>
          <t>GÄVLEBORGS LÄN</t>
        </is>
      </c>
      <c r="G756" t="inlineStr">
        <is>
          <t>HUDIKSVALL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20791-2026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46303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59875-2023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45257</v>
      </c>
      <c r="E758" s="1" t="n">
        <v>46303</v>
      </c>
      <c r="F758" t="inlineStr">
        <is>
          <t>GÄVLEBORGS LÄN</t>
        </is>
      </c>
      <c r="G758" t="inlineStr">
        <is>
          <t>HUDIKSVALL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45297</v>
      </c>
      <c r="E759" s="1" t="n">
        <v>46303</v>
      </c>
      <c r="F759" t="inlineStr">
        <is>
          <t>GÄVLEBORGS LÄN</t>
        </is>
      </c>
      <c r="G759" t="inlineStr">
        <is>
          <t>HUDIKSVALL</t>
        </is>
      </c>
      <c r="I759" t="n">
        <v>43.2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46083</v>
      </c>
      <c r="E760" s="1" t="n">
        <v>46303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58243-2025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45985</v>
      </c>
      <c r="E761" s="1" t="n">
        <v>46303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58530-2025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45985</v>
      </c>
      <c r="E762" s="1" t="n">
        <v>46303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12392-2026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46090</v>
      </c>
      <c r="E763" s="1" t="n">
        <v>46303</v>
      </c>
      <c r="F763" t="inlineStr">
        <is>
          <t>GÄVLEBORGS LÄN</t>
        </is>
      </c>
      <c r="G763" t="inlineStr">
        <is>
          <t>HUDIKSVALL</t>
        </is>
      </c>
      <c r="I763" t="n">
        <v>7.1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20728-2026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46303</v>
      </c>
      <c r="F764" t="inlineStr">
        <is>
          <t>GÄVLEBORGS LÄN</t>
        </is>
      </c>
      <c r="G764" t="inlineStr">
        <is>
          <t>HUDIKSVALL</t>
        </is>
      </c>
      <c r="I764" t="n">
        <v>6.1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58560-2025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45986</v>
      </c>
      <c r="E765" s="1" t="n">
        <v>46303</v>
      </c>
      <c r="F765" t="inlineStr">
        <is>
          <t>GÄVLEBORGS LÄN</t>
        </is>
      </c>
      <c r="G765" t="inlineStr">
        <is>
          <t>HUDIKSVALL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27204-2023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45096</v>
      </c>
      <c r="E766" s="1" t="n">
        <v>46303</v>
      </c>
      <c r="F766" t="inlineStr">
        <is>
          <t>GÄVLEBORGS LÄN</t>
        </is>
      </c>
      <c r="G766" t="inlineStr">
        <is>
          <t>HUDIKSVALL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43496-2025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45911</v>
      </c>
      <c r="E767" s="1" t="n">
        <v>46303</v>
      </c>
      <c r="F767" t="inlineStr">
        <is>
          <t>GÄVLEBORGS LÄN</t>
        </is>
      </c>
      <c r="G767" t="inlineStr">
        <is>
          <t>HUDIKSVALL</t>
        </is>
      </c>
      <c r="H767" t="inlineStr">
        <is>
          <t>Naturvårdsverket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58561-2025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45986</v>
      </c>
      <c r="E768" s="1" t="n">
        <v>46303</v>
      </c>
      <c r="F768" t="inlineStr">
        <is>
          <t>GÄVLEBORGS LÄN</t>
        </is>
      </c>
      <c r="G768" t="inlineStr">
        <is>
          <t>HUDIKSVALL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58254-2025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45985</v>
      </c>
      <c r="E769" s="1" t="n">
        <v>46303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58257-2025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45985</v>
      </c>
      <c r="E770" s="1" t="n">
        <v>46303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20017-2022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44697</v>
      </c>
      <c r="E771" s="1" t="n">
        <v>46303</v>
      </c>
      <c r="F771" t="inlineStr">
        <is>
          <t>GÄVLEBORGS LÄN</t>
        </is>
      </c>
      <c r="G771" t="inlineStr">
        <is>
          <t>HUDIKSVALL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46066</v>
      </c>
      <c r="E772" s="1" t="n">
        <v>46303</v>
      </c>
      <c r="F772" t="inlineStr">
        <is>
          <t>GÄVLEBORGS LÄN</t>
        </is>
      </c>
      <c r="G772" t="inlineStr">
        <is>
          <t>HUDIKSVALL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12312-2026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46087</v>
      </c>
      <c r="E773" s="1" t="n">
        <v>46303</v>
      </c>
      <c r="F773" t="inlineStr">
        <is>
          <t>GÄVLEBORGS LÄN</t>
        </is>
      </c>
      <c r="G773" t="inlineStr">
        <is>
          <t>HUDIKSVALL</t>
        </is>
      </c>
      <c r="H773" t="inlineStr">
        <is>
          <t>Kyrkan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9894-2026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46073</v>
      </c>
      <c r="E774" s="1" t="n">
        <v>46303</v>
      </c>
      <c r="F774" t="inlineStr">
        <is>
          <t>GÄVLEBORGS LÄN</t>
        </is>
      </c>
      <c r="G774" t="inlineStr">
        <is>
          <t>HUDIKSVALL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20921-2026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46142</v>
      </c>
      <c r="E775" s="1" t="n">
        <v>46303</v>
      </c>
      <c r="F775" t="inlineStr">
        <is>
          <t>GÄVLEBORGS LÄN</t>
        </is>
      </c>
      <c r="G775" t="inlineStr">
        <is>
          <t>HUDIKSVALL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2280-2022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44578</v>
      </c>
      <c r="E776" s="1" t="n">
        <v>46303</v>
      </c>
      <c r="F776" t="inlineStr">
        <is>
          <t>GÄVLEBORGS LÄN</t>
        </is>
      </c>
      <c r="G776" t="inlineStr">
        <is>
          <t>HUDIKSVALL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62674-2023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45271</v>
      </c>
      <c r="E777" s="1" t="n">
        <v>46303</v>
      </c>
      <c r="F777" t="inlineStr">
        <is>
          <t>GÄVLEBORGS LÄN</t>
        </is>
      </c>
      <c r="G777" t="inlineStr">
        <is>
          <t>HUDIKSVALL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7065-2023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44969</v>
      </c>
      <c r="E778" s="1" t="n">
        <v>46303</v>
      </c>
      <c r="F778" t="inlineStr">
        <is>
          <t>GÄVLEBORGS LÄN</t>
        </is>
      </c>
      <c r="G778" t="inlineStr">
        <is>
          <t>HUDIKSVALL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46303</v>
      </c>
      <c r="F779" t="inlineStr">
        <is>
          <t>GÄVLEBORGS LÄN</t>
        </is>
      </c>
      <c r="G779" t="inlineStr">
        <is>
          <t>HUDIKSVALL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11432-2023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44993</v>
      </c>
      <c r="E780" s="1" t="n">
        <v>46303</v>
      </c>
      <c r="F780" t="inlineStr">
        <is>
          <t>GÄVLEBORGS LÄN</t>
        </is>
      </c>
      <c r="G780" t="inlineStr">
        <is>
          <t>HUDIKSVALL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10157-2026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46076</v>
      </c>
      <c r="E781" s="1" t="n">
        <v>46303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56754-2022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44894</v>
      </c>
      <c r="E782" s="1" t="n">
        <v>46303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46141</v>
      </c>
      <c r="E783" s="1" t="n">
        <v>46303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46303</v>
      </c>
      <c r="F784" t="inlineStr">
        <is>
          <t>GÄVLEBORGS LÄN</t>
        </is>
      </c>
      <c r="G784" t="inlineStr">
        <is>
          <t>HUDIKSVALL</t>
        </is>
      </c>
      <c r="I784" t="n">
        <v>6.2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10426-2025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46303</v>
      </c>
      <c r="F785" t="inlineStr">
        <is>
          <t>GÄVLEBORGS LÄN</t>
        </is>
      </c>
      <c r="G785" t="inlineStr">
        <is>
          <t>HUDIKSVALL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46303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20964-2026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46142</v>
      </c>
      <c r="E787" s="1" t="n">
        <v>46303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7298-2026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46303</v>
      </c>
      <c r="F788" t="inlineStr">
        <is>
          <t>GÄVLEBORGS LÄN</t>
        </is>
      </c>
      <c r="G788" t="inlineStr">
        <is>
          <t>HUDIKSVALL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58843-2025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45987</v>
      </c>
      <c r="E789" s="1" t="n">
        <v>46303</v>
      </c>
      <c r="F789" t="inlineStr">
        <is>
          <t>GÄVLEBORGS LÄN</t>
        </is>
      </c>
      <c r="G789" t="inlineStr">
        <is>
          <t>HUDIKSVALL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63862-2025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46020</v>
      </c>
      <c r="E790" s="1" t="n">
        <v>46303</v>
      </c>
      <c r="F790" t="inlineStr">
        <is>
          <t>GÄVLEBORGS LÄN</t>
        </is>
      </c>
      <c r="G790" t="inlineStr">
        <is>
          <t>HUDIKSVALL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53977-2025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45961</v>
      </c>
      <c r="E791" s="1" t="n">
        <v>46303</v>
      </c>
      <c r="F791" t="inlineStr">
        <is>
          <t>GÄVLEBORGS LÄN</t>
        </is>
      </c>
      <c r="G791" t="inlineStr">
        <is>
          <t>HUDIKSVALL</t>
        </is>
      </c>
      <c r="H791" t="inlineStr">
        <is>
          <t>Naturvårdsverket</t>
        </is>
      </c>
      <c r="I791" t="n">
        <v>9.5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45700</v>
      </c>
      <c r="E792" s="1" t="n">
        <v>46303</v>
      </c>
      <c r="F792" t="inlineStr">
        <is>
          <t>GÄVLEBORGS LÄN</t>
        </is>
      </c>
      <c r="G792" t="inlineStr">
        <is>
          <t>HUDIKSVALL</t>
        </is>
      </c>
      <c r="I792" t="n">
        <v>25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46024</v>
      </c>
      <c r="E793" s="1" t="n">
        <v>46303</v>
      </c>
      <c r="F793" t="inlineStr">
        <is>
          <t>GÄVLEBORGS LÄN</t>
        </is>
      </c>
      <c r="G793" t="inlineStr">
        <is>
          <t>HUDIKSVALL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46063</v>
      </c>
      <c r="E794" s="1" t="n">
        <v>46303</v>
      </c>
      <c r="F794" t="inlineStr">
        <is>
          <t>GÄVLEBORGS LÄN</t>
        </is>
      </c>
      <c r="G794" t="inlineStr">
        <is>
          <t>HUDIKSVALL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20825-2026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46141</v>
      </c>
      <c r="E795" s="1" t="n">
        <v>46303</v>
      </c>
      <c r="F795" t="inlineStr">
        <is>
          <t>GÄVLEBORGS LÄN</t>
        </is>
      </c>
      <c r="G795" t="inlineStr">
        <is>
          <t>HUDIKSVALL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45317</v>
      </c>
      <c r="E796" s="1" t="n">
        <v>46303</v>
      </c>
      <c r="F796" t="inlineStr">
        <is>
          <t>GÄVLEBORGS LÄN</t>
        </is>
      </c>
      <c r="G796" t="inlineStr">
        <is>
          <t>HUDIKSVALL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20816-2026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46141</v>
      </c>
      <c r="E797" s="1" t="n">
        <v>46303</v>
      </c>
      <c r="F797" t="inlineStr">
        <is>
          <t>GÄVLEBORGS LÄN</t>
        </is>
      </c>
      <c r="G797" t="inlineStr">
        <is>
          <t>HUDIKSVALL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6895-2026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46057</v>
      </c>
      <c r="E798" s="1" t="n">
        <v>46303</v>
      </c>
      <c r="F798" t="inlineStr">
        <is>
          <t>GÄVLEBORGS LÄN</t>
        </is>
      </c>
      <c r="G798" t="inlineStr">
        <is>
          <t>HUDIKSVALL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21094-2026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46303</v>
      </c>
      <c r="F799" t="inlineStr">
        <is>
          <t>GÄVLEBORGS LÄN</t>
        </is>
      </c>
      <c r="G799" t="inlineStr">
        <is>
          <t>HUDIKSVALL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21097-2026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46303</v>
      </c>
      <c r="F800" t="inlineStr">
        <is>
          <t>GÄVLEBORGS LÄN</t>
        </is>
      </c>
      <c r="G800" t="inlineStr">
        <is>
          <t>HUDIKSVALL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21105-2026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46146</v>
      </c>
      <c r="E801" s="1" t="n">
        <v>46303</v>
      </c>
      <c r="F801" t="inlineStr">
        <is>
          <t>GÄVLEBORGS LÄN</t>
        </is>
      </c>
      <c r="G801" t="inlineStr">
        <is>
          <t>HUDIKSVALL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4758-2026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46048</v>
      </c>
      <c r="E802" s="1" t="n">
        <v>46303</v>
      </c>
      <c r="F802" t="inlineStr">
        <is>
          <t>GÄVLEBORGS LÄN</t>
        </is>
      </c>
      <c r="G802" t="inlineStr">
        <is>
          <t>HUDIKSVALL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21159-2026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46146</v>
      </c>
      <c r="E803" s="1" t="n">
        <v>46303</v>
      </c>
      <c r="F803" t="inlineStr">
        <is>
          <t>GÄVLEBORGS LÄN</t>
        </is>
      </c>
      <c r="G803" t="inlineStr">
        <is>
          <t>HUDIKSVALL</t>
        </is>
      </c>
      <c r="H803" t="inlineStr">
        <is>
          <t>Kyrkan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46048</v>
      </c>
      <c r="E804" s="1" t="n">
        <v>46303</v>
      </c>
      <c r="F804" t="inlineStr">
        <is>
          <t>GÄVLEBORGS LÄN</t>
        </is>
      </c>
      <c r="G804" t="inlineStr">
        <is>
          <t>HUDIKSVALL</t>
        </is>
      </c>
      <c r="I804" t="n">
        <v>8.1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20805-2026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46141</v>
      </c>
      <c r="E805" s="1" t="n">
        <v>46303</v>
      </c>
      <c r="F805" t="inlineStr">
        <is>
          <t>GÄVLEBORGS LÄN</t>
        </is>
      </c>
      <c r="G805" t="inlineStr">
        <is>
          <t>HUDIKSVALL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46146</v>
      </c>
      <c r="E806" s="1" t="n">
        <v>46303</v>
      </c>
      <c r="F806" t="inlineStr">
        <is>
          <t>GÄVLEBORGS LÄN</t>
        </is>
      </c>
      <c r="G806" t="inlineStr">
        <is>
          <t>HUDIKSVALL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46121</v>
      </c>
      <c r="E807" s="1" t="n">
        <v>46303</v>
      </c>
      <c r="F807" t="inlineStr">
        <is>
          <t>GÄVLEBORGS LÄN</t>
        </is>
      </c>
      <c r="G807" t="inlineStr">
        <is>
          <t>HUDIKSVALL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46090</v>
      </c>
      <c r="E808" s="1" t="n">
        <v>46303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21243-2026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46147</v>
      </c>
      <c r="E809" s="1" t="n">
        <v>46303</v>
      </c>
      <c r="F809" t="inlineStr">
        <is>
          <t>GÄVLEBORGS LÄN</t>
        </is>
      </c>
      <c r="G809" t="inlineStr">
        <is>
          <t>HUDIKSVALL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21431-2026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46148</v>
      </c>
      <c r="E810" s="1" t="n">
        <v>46303</v>
      </c>
      <c r="F810" t="inlineStr">
        <is>
          <t>GÄVLEBORGS LÄN</t>
        </is>
      </c>
      <c r="G810" t="inlineStr">
        <is>
          <t>HUDIKSVALL</t>
        </is>
      </c>
      <c r="H810" t="inlineStr">
        <is>
          <t>Kyrkan</t>
        </is>
      </c>
      <c r="I810" t="n">
        <v>8.800000000000001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21249-2026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46147</v>
      </c>
      <c r="E811" s="1" t="n">
        <v>46303</v>
      </c>
      <c r="F811" t="inlineStr">
        <is>
          <t>GÄVLEBORGS LÄN</t>
        </is>
      </c>
      <c r="G811" t="inlineStr">
        <is>
          <t>HUDIKSVALL</t>
        </is>
      </c>
      <c r="I811" t="n">
        <v>13.8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21546-2026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46148</v>
      </c>
      <c r="E812" s="1" t="n">
        <v>46303</v>
      </c>
      <c r="F812" t="inlineStr">
        <is>
          <t>GÄVLEBORGS LÄN</t>
        </is>
      </c>
      <c r="G812" t="inlineStr">
        <is>
          <t>HUDIKSVALL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21508-2026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46148</v>
      </c>
      <c r="E813" s="1" t="n">
        <v>46303</v>
      </c>
      <c r="F813" t="inlineStr">
        <is>
          <t>GÄVLEBORGS LÄN</t>
        </is>
      </c>
      <c r="G813" t="inlineStr">
        <is>
          <t>HUDIKSVALL</t>
        </is>
      </c>
      <c r="I813" t="n">
        <v>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21574-2026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46148</v>
      </c>
      <c r="E814" s="1" t="n">
        <v>46303</v>
      </c>
      <c r="F814" t="inlineStr">
        <is>
          <t>GÄVLEBORGS LÄN</t>
        </is>
      </c>
      <c r="G814" t="inlineStr">
        <is>
          <t>HUDIKSVALL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46148</v>
      </c>
      <c r="E815" s="1" t="n">
        <v>46303</v>
      </c>
      <c r="F815" t="inlineStr">
        <is>
          <t>GÄVLEBORGS LÄN</t>
        </is>
      </c>
      <c r="G815" t="inlineStr">
        <is>
          <t>HUDIKSVALL</t>
        </is>
      </c>
      <c r="H815" t="inlineStr">
        <is>
          <t>Kyrkan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21318-2026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46147</v>
      </c>
      <c r="E816" s="1" t="n">
        <v>46303</v>
      </c>
      <c r="F816" t="inlineStr">
        <is>
          <t>GÄVLEBORGS LÄN</t>
        </is>
      </c>
      <c r="G816" t="inlineStr">
        <is>
          <t>HUDIKSVALL</t>
        </is>
      </c>
      <c r="H816" t="inlineStr">
        <is>
          <t>Kyrkan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21568-2026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46148</v>
      </c>
      <c r="E817" s="1" t="n">
        <v>46303</v>
      </c>
      <c r="F817" t="inlineStr">
        <is>
          <t>GÄVLEBORGS LÄN</t>
        </is>
      </c>
      <c r="G817" t="inlineStr">
        <is>
          <t>HUDIKSVALL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35737-2023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45147</v>
      </c>
      <c r="E818" s="1" t="n">
        <v>46303</v>
      </c>
      <c r="F818" t="inlineStr">
        <is>
          <t>GÄVLEBORGS LÄN</t>
        </is>
      </c>
      <c r="G818" t="inlineStr">
        <is>
          <t>HUDIKSVALL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6990-2025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46303</v>
      </c>
      <c r="F819" t="inlineStr">
        <is>
          <t>GÄVLEBORGS LÄN</t>
        </is>
      </c>
      <c r="G819" t="inlineStr">
        <is>
          <t>HUDIKSVALL</t>
        </is>
      </c>
      <c r="I819" t="n">
        <v>7.2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21557-2026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46148</v>
      </c>
      <c r="E820" s="1" t="n">
        <v>46303</v>
      </c>
      <c r="F820" t="inlineStr">
        <is>
          <t>GÄVLEBORGS LÄN</t>
        </is>
      </c>
      <c r="G820" t="inlineStr">
        <is>
          <t>HUDIKSVALL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46147</v>
      </c>
      <c r="E821" s="1" t="n">
        <v>46303</v>
      </c>
      <c r="F821" t="inlineStr">
        <is>
          <t>GÄVLEBORGS LÄN</t>
        </is>
      </c>
      <c r="G821" t="inlineStr">
        <is>
          <t>HUDIKSVALL</t>
        </is>
      </c>
      <c r="H821" t="inlineStr">
        <is>
          <t>Kyrkan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21353-2026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46303</v>
      </c>
      <c r="F822" t="inlineStr">
        <is>
          <t>GÄVLEBORGS LÄN</t>
        </is>
      </c>
      <c r="G822" t="inlineStr">
        <is>
          <t>HUDIKSVALL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46114</v>
      </c>
      <c r="E823" s="1" t="n">
        <v>46303</v>
      </c>
      <c r="F823" t="inlineStr">
        <is>
          <t>GÄVLEBORGS LÄN</t>
        </is>
      </c>
      <c r="G823" t="inlineStr">
        <is>
          <t>HUDIKSVALL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59096-2025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45988</v>
      </c>
      <c r="E824" s="1" t="n">
        <v>46303</v>
      </c>
      <c r="F824" t="inlineStr">
        <is>
          <t>GÄVLEBORGS LÄN</t>
        </is>
      </c>
      <c r="G824" t="inlineStr">
        <is>
          <t>HUDIKSVALL</t>
        </is>
      </c>
      <c r="I824" t="n">
        <v>12.9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60789-2023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45260</v>
      </c>
      <c r="E825" s="1" t="n">
        <v>46303</v>
      </c>
      <c r="F825" t="inlineStr">
        <is>
          <t>GÄVLEBORGS LÄN</t>
        </is>
      </c>
      <c r="G825" t="inlineStr">
        <is>
          <t>HUDIKSVALL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21792-2026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46150</v>
      </c>
      <c r="E826" s="1" t="n">
        <v>46303</v>
      </c>
      <c r="F826" t="inlineStr">
        <is>
          <t>GÄVLEBORGS LÄN</t>
        </is>
      </c>
      <c r="G826" t="inlineStr">
        <is>
          <t>HUDIKSVALL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21622-2026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46149</v>
      </c>
      <c r="E827" s="1" t="n">
        <v>46303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16.9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65363-2021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44515</v>
      </c>
      <c r="E828" s="1" t="n">
        <v>46303</v>
      </c>
      <c r="F828" t="inlineStr">
        <is>
          <t>GÄVLEBORGS LÄN</t>
        </is>
      </c>
      <c r="G828" t="inlineStr">
        <is>
          <t>HUDIKSVALL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17919-2026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46122</v>
      </c>
      <c r="E829" s="1" t="n">
        <v>46303</v>
      </c>
      <c r="F829" t="inlineStr">
        <is>
          <t>GÄVLEBORGS LÄN</t>
        </is>
      </c>
      <c r="G829" t="inlineStr">
        <is>
          <t>HUDIKSVALL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11639-2026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46303</v>
      </c>
      <c r="F830" t="inlineStr">
        <is>
          <t>GÄVLEBORGS LÄN</t>
        </is>
      </c>
      <c r="G830" t="inlineStr">
        <is>
          <t>HUDIKSVALL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45715</v>
      </c>
      <c r="E831" s="1" t="n">
        <v>46303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46034</v>
      </c>
      <c r="E832" s="1" t="n">
        <v>46303</v>
      </c>
      <c r="F832" t="inlineStr">
        <is>
          <t>GÄVLEBORGS LÄN</t>
        </is>
      </c>
      <c r="G832" t="inlineStr">
        <is>
          <t>HUDIKSVALL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46097</v>
      </c>
      <c r="E833" s="1" t="n">
        <v>46303</v>
      </c>
      <c r="F833" t="inlineStr">
        <is>
          <t>GÄVLEBORGS LÄN</t>
        </is>
      </c>
      <c r="G833" t="inlineStr">
        <is>
          <t>HUDIKSVALL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16112-2026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46108</v>
      </c>
      <c r="E834" s="1" t="n">
        <v>46303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37485-2025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45877</v>
      </c>
      <c r="E835" s="1" t="n">
        <v>46303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13246-2026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46093</v>
      </c>
      <c r="E836" s="1" t="n">
        <v>46303</v>
      </c>
      <c r="F836" t="inlineStr">
        <is>
          <t>GÄVLEBORGS LÄN</t>
        </is>
      </c>
      <c r="G836" t="inlineStr">
        <is>
          <t>HUDIKSVALL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6312-2026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46055</v>
      </c>
      <c r="E837" s="1" t="n">
        <v>46303</v>
      </c>
      <c r="F837" t="inlineStr">
        <is>
          <t>GÄVLEBORGS LÄN</t>
        </is>
      </c>
      <c r="G837" t="inlineStr">
        <is>
          <t>HUDIKSVALL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59488-2025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45989</v>
      </c>
      <c r="E838" s="1" t="n">
        <v>46303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59325-2025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45989</v>
      </c>
      <c r="E839" s="1" t="n">
        <v>46303</v>
      </c>
      <c r="F839" t="inlineStr">
        <is>
          <t>GÄVLEBORGS LÄN</t>
        </is>
      </c>
      <c r="G839" t="inlineStr">
        <is>
          <t>HUDIKSVALL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12474-2026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46303</v>
      </c>
      <c r="F840" t="inlineStr">
        <is>
          <t>GÄVLEBORGS LÄN</t>
        </is>
      </c>
      <c r="G840" t="inlineStr">
        <is>
          <t>HUDIKSVALL</t>
        </is>
      </c>
      <c r="H840" t="inlineStr">
        <is>
          <t>Naturvårdsverket</t>
        </is>
      </c>
      <c r="I840" t="n">
        <v>6.3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59781-2025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45992</v>
      </c>
      <c r="E841" s="1" t="n">
        <v>46303</v>
      </c>
      <c r="F841" t="inlineStr">
        <is>
          <t>GÄVLEBORGS LÄN</t>
        </is>
      </c>
      <c r="G841" t="inlineStr">
        <is>
          <t>HUDIKSVALL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9834-2026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46072</v>
      </c>
      <c r="E842" s="1" t="n">
        <v>46303</v>
      </c>
      <c r="F842" t="inlineStr">
        <is>
          <t>GÄVLEBORGS LÄN</t>
        </is>
      </c>
      <c r="G842" t="inlineStr">
        <is>
          <t>HUDIKSVALL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46303</v>
      </c>
      <c r="F843" t="inlineStr">
        <is>
          <t>GÄVLEBORGS LÄN</t>
        </is>
      </c>
      <c r="G843" t="inlineStr">
        <is>
          <t>HUDIKSVALL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4471-2026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46045</v>
      </c>
      <c r="E844" s="1" t="n">
        <v>46303</v>
      </c>
      <c r="F844" t="inlineStr">
        <is>
          <t>GÄVLEBORGS LÄN</t>
        </is>
      </c>
      <c r="G844" t="inlineStr">
        <is>
          <t>HUDIKSVALL</t>
        </is>
      </c>
      <c r="I844" t="n">
        <v>16.1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59595-2025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45992</v>
      </c>
      <c r="E845" s="1" t="n">
        <v>46303</v>
      </c>
      <c r="F845" t="inlineStr">
        <is>
          <t>GÄVLEBORGS LÄN</t>
        </is>
      </c>
      <c r="G845" t="inlineStr">
        <is>
          <t>HUDIKSVALL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21525-2022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44706</v>
      </c>
      <c r="E846" s="1" t="n">
        <v>46303</v>
      </c>
      <c r="F846" t="inlineStr">
        <is>
          <t>GÄVLEBORGS LÄN</t>
        </is>
      </c>
      <c r="G846" t="inlineStr">
        <is>
          <t>HUDIKSVALL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57871-2023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45247</v>
      </c>
      <c r="E847" s="1" t="n">
        <v>46303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45695</v>
      </c>
      <c r="E848" s="1" t="n">
        <v>46303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22427-2026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46154</v>
      </c>
      <c r="E849" s="1" t="n">
        <v>46303</v>
      </c>
      <c r="F849" t="inlineStr">
        <is>
          <t>GÄVLEBORGS LÄN</t>
        </is>
      </c>
      <c r="G849" t="inlineStr">
        <is>
          <t>HUDIKSVALL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22332-2026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46154</v>
      </c>
      <c r="E850" s="1" t="n">
        <v>46303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24890-2023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45085</v>
      </c>
      <c r="E851" s="1" t="n">
        <v>46303</v>
      </c>
      <c r="F851" t="inlineStr">
        <is>
          <t>GÄVLEBORGS LÄN</t>
        </is>
      </c>
      <c r="G851" t="inlineStr">
        <is>
          <t>HUDIKSVALL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22330-2026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46303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44720-2024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45574</v>
      </c>
      <c r="E853" s="1" t="n">
        <v>46303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9.1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35433-2022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44798</v>
      </c>
      <c r="E854" s="1" t="n">
        <v>46303</v>
      </c>
      <c r="F854" t="inlineStr">
        <is>
          <t>GÄVLEBORGS LÄN</t>
        </is>
      </c>
      <c r="G854" t="inlineStr">
        <is>
          <t>HUDIKSVALL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19887-2025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45771</v>
      </c>
      <c r="E855" s="1" t="n">
        <v>46303</v>
      </c>
      <c r="F855" t="inlineStr">
        <is>
          <t>GÄVLEBORGS LÄN</t>
        </is>
      </c>
      <c r="G855" t="inlineStr">
        <is>
          <t>HUDIKSVALL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60066-2025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45993</v>
      </c>
      <c r="E856" s="1" t="n">
        <v>46303</v>
      </c>
      <c r="F856" t="inlineStr">
        <is>
          <t>GÄVLEBORGS LÄN</t>
        </is>
      </c>
      <c r="G856" t="inlineStr">
        <is>
          <t>HUDIKSVALL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36125-2023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45149</v>
      </c>
      <c r="E857" s="1" t="n">
        <v>46303</v>
      </c>
      <c r="F857" t="inlineStr">
        <is>
          <t>GÄVLEBORGS LÄN</t>
        </is>
      </c>
      <c r="G857" t="inlineStr">
        <is>
          <t>HUDIKSVALL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60073-2025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45993</v>
      </c>
      <c r="E858" s="1" t="n">
        <v>46303</v>
      </c>
      <c r="F858" t="inlineStr">
        <is>
          <t>GÄVLEBORGS LÄN</t>
        </is>
      </c>
      <c r="G858" t="inlineStr">
        <is>
          <t>HUDIKSVALL</t>
        </is>
      </c>
      <c r="I858" t="n">
        <v>3.9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60188-2023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45258</v>
      </c>
      <c r="E859" s="1" t="n">
        <v>46303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47472-2023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45202</v>
      </c>
      <c r="E860" s="1" t="n">
        <v>46303</v>
      </c>
      <c r="F860" t="inlineStr">
        <is>
          <t>GÄVLEBORGS LÄN</t>
        </is>
      </c>
      <c r="G860" t="inlineStr">
        <is>
          <t>HUDIKSVALL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22553-2026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46155</v>
      </c>
      <c r="E861" s="1" t="n">
        <v>46303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67.5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22455-2026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46155</v>
      </c>
      <c r="E862" s="1" t="n">
        <v>46303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46155</v>
      </c>
      <c r="E863" s="1" t="n">
        <v>46303</v>
      </c>
      <c r="F863" t="inlineStr">
        <is>
          <t>GÄVLEBORGS LÄN</t>
        </is>
      </c>
      <c r="G863" t="inlineStr">
        <is>
          <t>HUDIKSVALL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60319-2025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45994</v>
      </c>
      <c r="E864" s="1" t="n">
        <v>46303</v>
      </c>
      <c r="F864" t="inlineStr">
        <is>
          <t>GÄVLEBORGS LÄN</t>
        </is>
      </c>
      <c r="G864" t="inlineStr">
        <is>
          <t>HUDIKSVALL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56256-2025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45974</v>
      </c>
      <c r="E865" s="1" t="n">
        <v>46303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17322-2022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44678</v>
      </c>
      <c r="E866" s="1" t="n">
        <v>46303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5.3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52221-2024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45608</v>
      </c>
      <c r="E867" s="1" t="n">
        <v>46303</v>
      </c>
      <c r="F867" t="inlineStr">
        <is>
          <t>GÄVLEBORGS LÄN</t>
        </is>
      </c>
      <c r="G867" t="inlineStr">
        <is>
          <t>HUDIKSVALL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47415-2023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45202</v>
      </c>
      <c r="E868" s="1" t="n">
        <v>46303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4428-2025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45686</v>
      </c>
      <c r="E869" s="1" t="n">
        <v>46303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22783-2026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46157</v>
      </c>
      <c r="E870" s="1" t="n">
        <v>46303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60366-2025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45995</v>
      </c>
      <c r="E871" s="1" t="n">
        <v>46303</v>
      </c>
      <c r="F871" t="inlineStr">
        <is>
          <t>GÄVLEBORGS LÄN</t>
        </is>
      </c>
      <c r="G871" t="inlineStr">
        <is>
          <t>HUDIKSVALL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22996-2026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46160</v>
      </c>
      <c r="E872" s="1" t="n">
        <v>46303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39669-2022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44818</v>
      </c>
      <c r="E873" s="1" t="n">
        <v>46303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5.9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58088-2022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44900</v>
      </c>
      <c r="E874" s="1" t="n">
        <v>46303</v>
      </c>
      <c r="F874" t="inlineStr">
        <is>
          <t>GÄVLEBORGS LÄN</t>
        </is>
      </c>
      <c r="G874" t="inlineStr">
        <is>
          <t>HUDIKSVALL</t>
        </is>
      </c>
      <c r="I874" t="n">
        <v>7.5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24119-2024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45456</v>
      </c>
      <c r="E875" s="1" t="n">
        <v>46303</v>
      </c>
      <c r="F875" t="inlineStr">
        <is>
          <t>GÄVLEBORGS LÄN</t>
        </is>
      </c>
      <c r="G875" t="inlineStr">
        <is>
          <t>HUDIKSVALL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22165-2022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44712</v>
      </c>
      <c r="E876" s="1" t="n">
        <v>46303</v>
      </c>
      <c r="F876" t="inlineStr">
        <is>
          <t>GÄVLEBORGS LÄN</t>
        </is>
      </c>
      <c r="G876" t="inlineStr">
        <is>
          <t>HUDIKSVALL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23663-2025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45792</v>
      </c>
      <c r="E877" s="1" t="n">
        <v>46303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24.7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60427-2025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45995</v>
      </c>
      <c r="E878" s="1" t="n">
        <v>46303</v>
      </c>
      <c r="F878" t="inlineStr">
        <is>
          <t>GÄVLEBORGS LÄN</t>
        </is>
      </c>
      <c r="G878" t="inlineStr">
        <is>
          <t>HUDIKSVALL</t>
        </is>
      </c>
      <c r="I878" t="n">
        <v>11.5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23964-2025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45796</v>
      </c>
      <c r="E879" s="1" t="n">
        <v>46303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60431-2025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45995</v>
      </c>
      <c r="E880" s="1" t="n">
        <v>46303</v>
      </c>
      <c r="F880" t="inlineStr">
        <is>
          <t>GÄVLEBORGS LÄN</t>
        </is>
      </c>
      <c r="G880" t="inlineStr">
        <is>
          <t>HUDIKSVALL</t>
        </is>
      </c>
      <c r="I880" t="n">
        <v>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56805-2022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44894</v>
      </c>
      <c r="E881" s="1" t="n">
        <v>46303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59244-2025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45988</v>
      </c>
      <c r="E882" s="1" t="n">
        <v>46303</v>
      </c>
      <c r="F882" t="inlineStr">
        <is>
          <t>GÄVLEBORGS LÄN</t>
        </is>
      </c>
      <c r="G882" t="inlineStr">
        <is>
          <t>HUDIKSVALL</t>
        </is>
      </c>
      <c r="H882" t="inlineStr">
        <is>
          <t>Kommuner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43659-2023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45187</v>
      </c>
      <c r="E883" s="1" t="n">
        <v>46303</v>
      </c>
      <c r="F883" t="inlineStr">
        <is>
          <t>GÄVLEBORGS LÄN</t>
        </is>
      </c>
      <c r="G883" t="inlineStr">
        <is>
          <t>HUDIKSVALL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64632-2021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44511</v>
      </c>
      <c r="E884" s="1" t="n">
        <v>46303</v>
      </c>
      <c r="F884" t="inlineStr">
        <is>
          <t>GÄVLEBORGS LÄN</t>
        </is>
      </c>
      <c r="G884" t="inlineStr">
        <is>
          <t>HUDIKSVALL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58248-2025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45985</v>
      </c>
      <c r="E885" s="1" t="n">
        <v>46303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13.3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45663</v>
      </c>
      <c r="E886" s="1" t="n">
        <v>46303</v>
      </c>
      <c r="F886" t="inlineStr">
        <is>
          <t>GÄVLEBORGS LÄN</t>
        </is>
      </c>
      <c r="G886" t="inlineStr">
        <is>
          <t>HUDIKSVALL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9477-2025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45715</v>
      </c>
      <c r="E887" s="1" t="n">
        <v>46303</v>
      </c>
      <c r="F887" t="inlineStr">
        <is>
          <t>GÄVLEBORGS LÄN</t>
        </is>
      </c>
      <c r="G887" t="inlineStr">
        <is>
          <t>HUDIKSVALL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14647-2026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46303</v>
      </c>
      <c r="F888" t="inlineStr">
        <is>
          <t>GÄVLEBORGS LÄN</t>
        </is>
      </c>
      <c r="G888" t="inlineStr">
        <is>
          <t>HUDIKSVALL</t>
        </is>
      </c>
      <c r="I888" t="n">
        <v>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22828-2026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46160</v>
      </c>
      <c r="E889" s="1" t="n">
        <v>46303</v>
      </c>
      <c r="F889" t="inlineStr">
        <is>
          <t>GÄVLEBORGS LÄN</t>
        </is>
      </c>
      <c r="G889" t="inlineStr">
        <is>
          <t>HUDIKSVALL</t>
        </is>
      </c>
      <c r="H889" t="inlineStr">
        <is>
          <t>Kyrkan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22893-2026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46160</v>
      </c>
      <c r="E890" s="1" t="n">
        <v>46303</v>
      </c>
      <c r="F890" t="inlineStr">
        <is>
          <t>GÄVLEBORGS LÄN</t>
        </is>
      </c>
      <c r="G890" t="inlineStr">
        <is>
          <t>HUDIKSVALL</t>
        </is>
      </c>
      <c r="H890" t="inlineStr">
        <is>
          <t>Kyrkan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22936-2026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46160</v>
      </c>
      <c r="E891" s="1" t="n">
        <v>46303</v>
      </c>
      <c r="F891" t="inlineStr">
        <is>
          <t>GÄVLEBORGS LÄN</t>
        </is>
      </c>
      <c r="G891" t="inlineStr">
        <is>
          <t>HUDIKSVALL</t>
        </is>
      </c>
      <c r="H891" t="inlineStr">
        <is>
          <t>Naturvårdsverket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43930-2023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45187</v>
      </c>
      <c r="E892" s="1" t="n">
        <v>46303</v>
      </c>
      <c r="F892" t="inlineStr">
        <is>
          <t>GÄVLEBORGS LÄN</t>
        </is>
      </c>
      <c r="G892" t="inlineStr">
        <is>
          <t>HUDIKSVALL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61343-2025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46001</v>
      </c>
      <c r="E893" s="1" t="n">
        <v>46303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35303-2023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45146</v>
      </c>
      <c r="E894" s="1" t="n">
        <v>46303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61696-2025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46002</v>
      </c>
      <c r="E895" s="1" t="n">
        <v>46303</v>
      </c>
      <c r="F895" t="inlineStr">
        <is>
          <t>GÄVLEBORGS LÄN</t>
        </is>
      </c>
      <c r="G895" t="inlineStr">
        <is>
          <t>HUDIKSVALL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61546-2025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46001</v>
      </c>
      <c r="E896" s="1" t="n">
        <v>46303</v>
      </c>
      <c r="F896" t="inlineStr">
        <is>
          <t>GÄVLEBORGS LÄN</t>
        </is>
      </c>
      <c r="G896" t="inlineStr">
        <is>
          <t>HUDIKSVALL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23067-2026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46161</v>
      </c>
      <c r="E897" s="1" t="n">
        <v>46303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23070-2026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46161</v>
      </c>
      <c r="E898" s="1" t="n">
        <v>46303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17.4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20858-2026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46142</v>
      </c>
      <c r="E899" s="1" t="n">
        <v>46303</v>
      </c>
      <c r="F899" t="inlineStr">
        <is>
          <t>GÄVLEBORGS LÄN</t>
        </is>
      </c>
      <c r="G899" t="inlineStr">
        <is>
          <t>HUDIKSVALL</t>
        </is>
      </c>
      <c r="I899" t="n">
        <v>5.8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61649-2025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46002</v>
      </c>
      <c r="E900" s="1" t="n">
        <v>46303</v>
      </c>
      <c r="F900" t="inlineStr">
        <is>
          <t>GÄVLEBORGS LÄN</t>
        </is>
      </c>
      <c r="G900" t="inlineStr">
        <is>
          <t>HUDIKSVALL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18829-2024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45426</v>
      </c>
      <c r="E901" s="1" t="n">
        <v>46303</v>
      </c>
      <c r="F901" t="inlineStr">
        <is>
          <t>GÄVLEBORGS LÄN</t>
        </is>
      </c>
      <c r="G901" t="inlineStr">
        <is>
          <t>HUDIKSVALL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27418-2024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45474</v>
      </c>
      <c r="E902" s="1" t="n">
        <v>46303</v>
      </c>
      <c r="F902" t="inlineStr">
        <is>
          <t>GÄVLEBORGS LÄN</t>
        </is>
      </c>
      <c r="G902" t="inlineStr">
        <is>
          <t>HUDIKSVALL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23339-2026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46162</v>
      </c>
      <c r="E903" s="1" t="n">
        <v>46303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34370-2022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44792</v>
      </c>
      <c r="E904" s="1" t="n">
        <v>46303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23224-2026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46162</v>
      </c>
      <c r="E905" s="1" t="n">
        <v>46303</v>
      </c>
      <c r="F905" t="inlineStr">
        <is>
          <t>GÄVLEBORGS LÄN</t>
        </is>
      </c>
      <c r="G905" t="inlineStr">
        <is>
          <t>HUDIKSVALL</t>
        </is>
      </c>
      <c r="H905" t="inlineStr">
        <is>
          <t>Kyrkan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62036-2025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46004</v>
      </c>
      <c r="E906" s="1" t="n">
        <v>46303</v>
      </c>
      <c r="F906" t="inlineStr">
        <is>
          <t>GÄVLEBORGS LÄN</t>
        </is>
      </c>
      <c r="G906" t="inlineStr">
        <is>
          <t>HUDIKSVALL</t>
        </is>
      </c>
      <c r="I906" t="n">
        <v>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14659-2026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46101</v>
      </c>
      <c r="E907" s="1" t="n">
        <v>46303</v>
      </c>
      <c r="F907" t="inlineStr">
        <is>
          <t>GÄVLEBORGS LÄN</t>
        </is>
      </c>
      <c r="G907" t="inlineStr">
        <is>
          <t>HUDIKSVALL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19473-2026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46303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27302-2023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45096</v>
      </c>
      <c r="E909" s="1" t="n">
        <v>46303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17345-2024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45414</v>
      </c>
      <c r="E910" s="1" t="n">
        <v>46303</v>
      </c>
      <c r="F910" t="inlineStr">
        <is>
          <t>GÄVLEBORGS LÄN</t>
        </is>
      </c>
      <c r="G910" t="inlineStr">
        <is>
          <t>HUDIKSVALL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23246-2026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46162</v>
      </c>
      <c r="E911" s="1" t="n">
        <v>46303</v>
      </c>
      <c r="F911" t="inlineStr">
        <is>
          <t>GÄVLEBORGS LÄN</t>
        </is>
      </c>
      <c r="G911" t="inlineStr">
        <is>
          <t>HUDIKSVALL</t>
        </is>
      </c>
      <c r="I911" t="n">
        <v>16.2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27467-2024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45474</v>
      </c>
      <c r="E912" s="1" t="n">
        <v>46303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62313-2025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46006</v>
      </c>
      <c r="E913" s="1" t="n">
        <v>46303</v>
      </c>
      <c r="F913" t="inlineStr">
        <is>
          <t>GÄVLEBORGS LÄN</t>
        </is>
      </c>
      <c r="G913" t="inlineStr">
        <is>
          <t>HUDIKSVALL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23686-2026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46164</v>
      </c>
      <c r="E914" s="1" t="n">
        <v>46303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Kommuner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53156-2024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45611</v>
      </c>
      <c r="E915" s="1" t="n">
        <v>46303</v>
      </c>
      <c r="F915" t="inlineStr">
        <is>
          <t>GÄVLEBORGS LÄN</t>
        </is>
      </c>
      <c r="G915" t="inlineStr">
        <is>
          <t>HUDIKSVALL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13039-2023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45002</v>
      </c>
      <c r="E916" s="1" t="n">
        <v>46303</v>
      </c>
      <c r="F916" t="inlineStr">
        <is>
          <t>GÄVLEBORGS LÄN</t>
        </is>
      </c>
      <c r="G916" t="inlineStr">
        <is>
          <t>HUDIKSVALL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3077-2025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45678</v>
      </c>
      <c r="E917" s="1" t="n">
        <v>46303</v>
      </c>
      <c r="F917" t="inlineStr">
        <is>
          <t>GÄVLEBORGS LÄN</t>
        </is>
      </c>
      <c r="G917" t="inlineStr">
        <is>
          <t>HUDIKSVALL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23463-2026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46163</v>
      </c>
      <c r="E918" s="1" t="n">
        <v>46303</v>
      </c>
      <c r="F918" t="inlineStr">
        <is>
          <t>GÄVLEBORGS LÄN</t>
        </is>
      </c>
      <c r="G918" t="inlineStr">
        <is>
          <t>HUDIKSVALL</t>
        </is>
      </c>
      <c r="H918" t="inlineStr">
        <is>
          <t>Kyrkan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43665-2023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45187</v>
      </c>
      <c r="E919" s="1" t="n">
        <v>46303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6019-2025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45695</v>
      </c>
      <c r="E920" s="1" t="n">
        <v>46303</v>
      </c>
      <c r="F920" t="inlineStr">
        <is>
          <t>GÄVLEBORGS LÄN</t>
        </is>
      </c>
      <c r="G920" t="inlineStr">
        <is>
          <t>HUDIKSVALL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60938-2023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45261</v>
      </c>
      <c r="E921" s="1" t="n">
        <v>46303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53434-2023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45229</v>
      </c>
      <c r="E922" s="1" t="n">
        <v>46303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62665-2025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46008</v>
      </c>
      <c r="E923" s="1" t="n">
        <v>46303</v>
      </c>
      <c r="F923" t="inlineStr">
        <is>
          <t>GÄVLEBORGS LÄN</t>
        </is>
      </c>
      <c r="G923" t="inlineStr">
        <is>
          <t>HUDIKSVALL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16633-2024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45408</v>
      </c>
      <c r="E924" s="1" t="n">
        <v>46303</v>
      </c>
      <c r="F924" t="inlineStr">
        <is>
          <t>GÄVLEBORGS LÄN</t>
        </is>
      </c>
      <c r="G924" t="inlineStr">
        <is>
          <t>HUDIKSVALL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52986-2024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45611</v>
      </c>
      <c r="E925" s="1" t="n">
        <v>46303</v>
      </c>
      <c r="F925" t="inlineStr">
        <is>
          <t>GÄVLEBORGS LÄN</t>
        </is>
      </c>
      <c r="G925" t="inlineStr">
        <is>
          <t>HUDIKSVALL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62378-2025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46007</v>
      </c>
      <c r="E926" s="1" t="n">
        <v>46303</v>
      </c>
      <c r="F926" t="inlineStr">
        <is>
          <t>GÄVLEBORGS LÄN</t>
        </is>
      </c>
      <c r="G926" t="inlineStr">
        <is>
          <t>HUDIKSVALL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25349-2022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44732</v>
      </c>
      <c r="E927" s="1" t="n">
        <v>46303</v>
      </c>
      <c r="F927" t="inlineStr">
        <is>
          <t>GÄVLEBORGS LÄN</t>
        </is>
      </c>
      <c r="G927" t="inlineStr">
        <is>
          <t>HUDIKSVALL</t>
        </is>
      </c>
      <c r="I927" t="n">
        <v>5.4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36086-2024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45533</v>
      </c>
      <c r="E928" s="1" t="n">
        <v>46303</v>
      </c>
      <c r="F928" t="inlineStr">
        <is>
          <t>GÄVLEBORGS LÄN</t>
        </is>
      </c>
      <c r="G928" t="inlineStr">
        <is>
          <t>HUDIKSVALL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41555-2024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45560</v>
      </c>
      <c r="E929" s="1" t="n">
        <v>46303</v>
      </c>
      <c r="F929" t="inlineStr">
        <is>
          <t>GÄVLEBORGS LÄN</t>
        </is>
      </c>
      <c r="G929" t="inlineStr">
        <is>
          <t>HUDIKSVALL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2760-2024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45314</v>
      </c>
      <c r="E930" s="1" t="n">
        <v>46303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23768-2026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46164</v>
      </c>
      <c r="E931" s="1" t="n">
        <v>46303</v>
      </c>
      <c r="F931" t="inlineStr">
        <is>
          <t>GÄVLEBORGS LÄN</t>
        </is>
      </c>
      <c r="G931" t="inlineStr">
        <is>
          <t>HUDIKSVALL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63067-2025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46009</v>
      </c>
      <c r="E932" s="1" t="n">
        <v>46303</v>
      </c>
      <c r="F932" t="inlineStr">
        <is>
          <t>GÄVLEBORGS LÄN</t>
        </is>
      </c>
      <c r="G932" t="inlineStr">
        <is>
          <t>HUDIKSVALL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2707-2024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45314</v>
      </c>
      <c r="E933" s="1" t="n">
        <v>46303</v>
      </c>
      <c r="F933" t="inlineStr">
        <is>
          <t>GÄVLEBORGS LÄN</t>
        </is>
      </c>
      <c r="G933" t="inlineStr">
        <is>
          <t>HUDIKSVALL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1297-2024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45303</v>
      </c>
      <c r="E934" s="1" t="n">
        <v>46303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11093-2025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45723</v>
      </c>
      <c r="E935" s="1" t="n">
        <v>46303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6083-2025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45697</v>
      </c>
      <c r="E936" s="1" t="n">
        <v>46303</v>
      </c>
      <c r="F936" t="inlineStr">
        <is>
          <t>GÄVLEBORGS LÄN</t>
        </is>
      </c>
      <c r="G936" t="inlineStr">
        <is>
          <t>HUDIKSVALL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21561-2022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44706</v>
      </c>
      <c r="E937" s="1" t="n">
        <v>46303</v>
      </c>
      <c r="F937" t="inlineStr">
        <is>
          <t>GÄVLEBORGS LÄN</t>
        </is>
      </c>
      <c r="G937" t="inlineStr">
        <is>
          <t>HUDIKSVALL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64015-2023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45278</v>
      </c>
      <c r="E938" s="1" t="n">
        <v>46303</v>
      </c>
      <c r="F938" t="inlineStr">
        <is>
          <t>GÄVLEBORGS LÄN</t>
        </is>
      </c>
      <c r="G938" t="inlineStr">
        <is>
          <t>HUDIKSVALL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60872-2024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45644</v>
      </c>
      <c r="E939" s="1" t="n">
        <v>46303</v>
      </c>
      <c r="F939" t="inlineStr">
        <is>
          <t>GÄVLEBORGS LÄN</t>
        </is>
      </c>
      <c r="G939" t="inlineStr">
        <is>
          <t>HUDIKSVALL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62439-2023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45268</v>
      </c>
      <c r="E940" s="1" t="n">
        <v>46303</v>
      </c>
      <c r="F940" t="inlineStr">
        <is>
          <t>GÄVLEBORGS LÄN</t>
        </is>
      </c>
      <c r="G940" t="inlineStr">
        <is>
          <t>HUDIKSVALL</t>
        </is>
      </c>
      <c r="I940" t="n">
        <v>13.3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63072-2025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46009</v>
      </c>
      <c r="E941" s="1" t="n">
        <v>46303</v>
      </c>
      <c r="F941" t="inlineStr">
        <is>
          <t>GÄVLEBORGS LÄN</t>
        </is>
      </c>
      <c r="G941" t="inlineStr">
        <is>
          <t>HUDIKSVALL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63557-2025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46013</v>
      </c>
      <c r="E942" s="1" t="n">
        <v>46303</v>
      </c>
      <c r="F942" t="inlineStr">
        <is>
          <t>GÄVLEBORGS LÄN</t>
        </is>
      </c>
      <c r="G942" t="inlineStr">
        <is>
          <t>HUDIKSVALL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18991-2025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45764</v>
      </c>
      <c r="E943" s="1" t="n">
        <v>46303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6.8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18997-2025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45764</v>
      </c>
      <c r="E944" s="1" t="n">
        <v>46303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19509-2025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45770</v>
      </c>
      <c r="E945" s="1" t="n">
        <v>46303</v>
      </c>
      <c r="F945" t="inlineStr">
        <is>
          <t>GÄVLEBORGS LÄN</t>
        </is>
      </c>
      <c r="G945" t="inlineStr">
        <is>
          <t>HUDIKSVALL</t>
        </is>
      </c>
      <c r="I945" t="n">
        <v>13.7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2645-2024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45314</v>
      </c>
      <c r="E946" s="1" t="n">
        <v>46303</v>
      </c>
      <c r="F946" t="inlineStr">
        <is>
          <t>GÄVLEBORGS LÄN</t>
        </is>
      </c>
      <c r="G946" t="inlineStr">
        <is>
          <t>HUDIKSVALL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2654-2024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45314</v>
      </c>
      <c r="E947" s="1" t="n">
        <v>46303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63541-2025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46013</v>
      </c>
      <c r="E948" s="1" t="n">
        <v>46303</v>
      </c>
      <c r="F948" t="inlineStr">
        <is>
          <t>GÄVLEBORGS LÄN</t>
        </is>
      </c>
      <c r="G948" t="inlineStr">
        <is>
          <t>HUDIKSVALL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4493-2026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46303</v>
      </c>
      <c r="F949" t="inlineStr">
        <is>
          <t>GÄVLEBORGS LÄN</t>
        </is>
      </c>
      <c r="G949" t="inlineStr">
        <is>
          <t>HUDIKSVALL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23293-2026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46162</v>
      </c>
      <c r="E950" s="1" t="n">
        <v>46303</v>
      </c>
      <c r="F950" t="inlineStr">
        <is>
          <t>GÄVLEBORGS LÄN</t>
        </is>
      </c>
      <c r="G950" t="inlineStr">
        <is>
          <t>HUDIKSVALL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44229-2024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45573</v>
      </c>
      <c r="E951" s="1" t="n">
        <v>46303</v>
      </c>
      <c r="F951" t="inlineStr">
        <is>
          <t>GÄVLEBORGS LÄN</t>
        </is>
      </c>
      <c r="G951" t="inlineStr">
        <is>
          <t>HUDIKSVALL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45726</v>
      </c>
      <c r="E952" s="1" t="n">
        <v>46303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9.6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4504-2024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45327</v>
      </c>
      <c r="E953" s="1" t="n">
        <v>46303</v>
      </c>
      <c r="F953" t="inlineStr">
        <is>
          <t>GÄVLEBORGS LÄN</t>
        </is>
      </c>
      <c r="G953" t="inlineStr">
        <is>
          <t>HUDIKSVALL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5788-2025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45694</v>
      </c>
      <c r="E954" s="1" t="n">
        <v>46303</v>
      </c>
      <c r="F954" t="inlineStr">
        <is>
          <t>GÄVLEBORGS LÄN</t>
        </is>
      </c>
      <c r="G954" t="inlineStr">
        <is>
          <t>HUDIKSVALL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63819-2025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46020</v>
      </c>
      <c r="E955" s="1" t="n">
        <v>46303</v>
      </c>
      <c r="F955" t="inlineStr">
        <is>
          <t>GÄVLEBORGS LÄN</t>
        </is>
      </c>
      <c r="G955" t="inlineStr">
        <is>
          <t>HUDIKSVALL</t>
        </is>
      </c>
      <c r="I955" t="n">
        <v>3.9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63798-2025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46019</v>
      </c>
      <c r="E956" s="1" t="n">
        <v>46303</v>
      </c>
      <c r="F956" t="inlineStr">
        <is>
          <t>GÄVLEBORGS LÄN</t>
        </is>
      </c>
      <c r="G956" t="inlineStr">
        <is>
          <t>HUDIKSVALL</t>
        </is>
      </c>
      <c r="I956" t="n">
        <v>6.8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24017-2026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46167</v>
      </c>
      <c r="E957" s="1" t="n">
        <v>46303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63925-2025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46020</v>
      </c>
      <c r="E958" s="1" t="n">
        <v>46303</v>
      </c>
      <c r="F958" t="inlineStr">
        <is>
          <t>GÄVLEBORGS LÄN</t>
        </is>
      </c>
      <c r="G958" t="inlineStr">
        <is>
          <t>HUDIKSVALL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59851-2023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45257</v>
      </c>
      <c r="E959" s="1" t="n">
        <v>46303</v>
      </c>
      <c r="F959" t="inlineStr">
        <is>
          <t>GÄVLEBORGS LÄN</t>
        </is>
      </c>
      <c r="G959" t="inlineStr">
        <is>
          <t>HUDIKSVALL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63911-2025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46020</v>
      </c>
      <c r="E960" s="1" t="n">
        <v>46303</v>
      </c>
      <c r="F960" t="inlineStr">
        <is>
          <t>GÄVLEBORGS LÄN</t>
        </is>
      </c>
      <c r="G960" t="inlineStr">
        <is>
          <t>HUDIKSVALL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  <c r="Z960">
        <f>HYPERLINK("https://klasma.github.io/Logging_2184/knärot/A 63911-2025 karta knärot.png", "A 63911-2025")</f>
        <v/>
      </c>
      <c r="AA960">
        <f>HYPERLINK("https://klasma.github.io/Logging_2184/klagomål/A 63911-2025 FSC-klagomål.docx", "A 63911-2025")</f>
        <v/>
      </c>
      <c r="AB960">
        <f>HYPERLINK("https://klasma.github.io/Logging_2184/klagomålsmail/A 63911-2025 FSC-klagomål mail.docx", "A 63911-2025")</f>
        <v/>
      </c>
      <c r="AC960">
        <f>HYPERLINK("https://klasma.github.io/Logging_2184/tillsyn/A 63911-2025 tillsynsbegäran.docx", "A 63911-2025")</f>
        <v/>
      </c>
      <c r="AD960">
        <f>HYPERLINK("https://klasma.github.io/Logging_2184/tillsynsmail/A 63911-2025 tillsynsbegäran mail.docx", "A 63911-2025")</f>
        <v/>
      </c>
    </row>
    <row r="961" ht="15" customHeight="1">
      <c r="A961" t="inlineStr">
        <is>
          <t>A 43929-2023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45187</v>
      </c>
      <c r="E961" s="1" t="n">
        <v>46303</v>
      </c>
      <c r="F961" t="inlineStr">
        <is>
          <t>GÄVLEBORGS LÄN</t>
        </is>
      </c>
      <c r="G961" t="inlineStr">
        <is>
          <t>HUDIKSVALL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63963-2025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46020</v>
      </c>
      <c r="E962" s="1" t="n">
        <v>46303</v>
      </c>
      <c r="F962" t="inlineStr">
        <is>
          <t>GÄVLEBORGS LÄN</t>
        </is>
      </c>
      <c r="G962" t="inlineStr">
        <is>
          <t>HUDIKSVALL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64082-2025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46021</v>
      </c>
      <c r="E963" s="1" t="n">
        <v>46303</v>
      </c>
      <c r="F963" t="inlineStr">
        <is>
          <t>GÄVLEBORGS LÄN</t>
        </is>
      </c>
      <c r="G963" t="inlineStr">
        <is>
          <t>HUDIKSVALL</t>
        </is>
      </c>
      <c r="I963" t="n">
        <v>4.4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35679-2023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45147</v>
      </c>
      <c r="E964" s="1" t="n">
        <v>46303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6.5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64086-2025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46021</v>
      </c>
      <c r="E965" s="1" t="n">
        <v>46303</v>
      </c>
      <c r="F965" t="inlineStr">
        <is>
          <t>GÄVLEBORGS LÄN</t>
        </is>
      </c>
      <c r="G965" t="inlineStr">
        <is>
          <t>HUDIKSVALL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64091-2025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46021</v>
      </c>
      <c r="E966" s="1" t="n">
        <v>46303</v>
      </c>
      <c r="F966" t="inlineStr">
        <is>
          <t>GÄVLEBORGS LÄN</t>
        </is>
      </c>
      <c r="G966" t="inlineStr">
        <is>
          <t>HUDIKSVALL</t>
        </is>
      </c>
      <c r="I966" t="n">
        <v>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46024</v>
      </c>
      <c r="E967" s="1" t="n">
        <v>46303</v>
      </c>
      <c r="F967" t="inlineStr">
        <is>
          <t>GÄVLEBORGS LÄN</t>
        </is>
      </c>
      <c r="G967" t="inlineStr">
        <is>
          <t>HUDIKSVALL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10994-2025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45723</v>
      </c>
      <c r="E968" s="1" t="n">
        <v>46303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5.7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55201-2023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45237</v>
      </c>
      <c r="E969" s="1" t="n">
        <v>46303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46024</v>
      </c>
      <c r="E970" s="1" t="n">
        <v>46303</v>
      </c>
      <c r="F970" t="inlineStr">
        <is>
          <t>GÄVLEBORGS LÄN</t>
        </is>
      </c>
      <c r="G970" t="inlineStr">
        <is>
          <t>HUDIKSVALL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16070-2025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45749</v>
      </c>
      <c r="E971" s="1" t="n">
        <v>46303</v>
      </c>
      <c r="F971" t="inlineStr">
        <is>
          <t>GÄVLEBORGS LÄN</t>
        </is>
      </c>
      <c r="G971" t="inlineStr">
        <is>
          <t>HUDIKSVALL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46027</v>
      </c>
      <c r="E972" s="1" t="n">
        <v>46303</v>
      </c>
      <c r="F972" t="inlineStr">
        <is>
          <t>GÄVLEBORGS LÄN</t>
        </is>
      </c>
      <c r="G972" t="inlineStr">
        <is>
          <t>HUDIKSVALL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10130-2025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45719</v>
      </c>
      <c r="E973" s="1" t="n">
        <v>46303</v>
      </c>
      <c r="F973" t="inlineStr">
        <is>
          <t>GÄVLEBORGS LÄN</t>
        </is>
      </c>
      <c r="G973" t="inlineStr">
        <is>
          <t>HUDIKSVALL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62469-2025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46007</v>
      </c>
      <c r="E974" s="1" t="n">
        <v>46303</v>
      </c>
      <c r="F974" t="inlineStr">
        <is>
          <t>GÄVLEBORGS LÄN</t>
        </is>
      </c>
      <c r="G974" t="inlineStr">
        <is>
          <t>HUDIKSVALL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7496-2025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45702</v>
      </c>
      <c r="E975" s="1" t="n">
        <v>46303</v>
      </c>
      <c r="F975" t="inlineStr">
        <is>
          <t>GÄVLEBORGS LÄN</t>
        </is>
      </c>
      <c r="G975" t="inlineStr">
        <is>
          <t>HUDIKSVALL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46026</v>
      </c>
      <c r="E976" s="1" t="n">
        <v>46303</v>
      </c>
      <c r="F976" t="inlineStr">
        <is>
          <t>GÄVLEBORGS LÄN</t>
        </is>
      </c>
      <c r="G976" t="inlineStr">
        <is>
          <t>HUDIKSVALL</t>
        </is>
      </c>
      <c r="I976" t="n">
        <v>3.7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9563-2025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45715</v>
      </c>
      <c r="E977" s="1" t="n">
        <v>46303</v>
      </c>
      <c r="F977" t="inlineStr">
        <is>
          <t>GÄVLEBORGS LÄN</t>
        </is>
      </c>
      <c r="G977" t="inlineStr">
        <is>
          <t>HUDIKSVALL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36388-2025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45868</v>
      </c>
      <c r="E978" s="1" t="n">
        <v>46303</v>
      </c>
      <c r="F978" t="inlineStr">
        <is>
          <t>GÄVLEBORGS LÄN</t>
        </is>
      </c>
      <c r="G978" t="inlineStr">
        <is>
          <t>HUDIKSVALL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36394-2025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45868</v>
      </c>
      <c r="E979" s="1" t="n">
        <v>46303</v>
      </c>
      <c r="F979" t="inlineStr">
        <is>
          <t>GÄVLEBORGS LÄN</t>
        </is>
      </c>
      <c r="G979" t="inlineStr">
        <is>
          <t>HUDIKSVALL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39335-2025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45889</v>
      </c>
      <c r="E980" s="1" t="n">
        <v>46303</v>
      </c>
      <c r="F980" t="inlineStr">
        <is>
          <t>GÄVLEBORGS LÄN</t>
        </is>
      </c>
      <c r="G980" t="inlineStr">
        <is>
          <t>HUDIKSVALL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46026</v>
      </c>
      <c r="E981" s="1" t="n">
        <v>46303</v>
      </c>
      <c r="F981" t="inlineStr">
        <is>
          <t>GÄVLEBORGS LÄN</t>
        </is>
      </c>
      <c r="G981" t="inlineStr">
        <is>
          <t>HUDIKSVALL</t>
        </is>
      </c>
      <c r="I981" t="n">
        <v>4.2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46026</v>
      </c>
      <c r="E982" s="1" t="n">
        <v>46303</v>
      </c>
      <c r="F982" t="inlineStr">
        <is>
          <t>GÄVLEBORGS LÄN</t>
        </is>
      </c>
      <c r="G982" t="inlineStr">
        <is>
          <t>HUDIKSVALL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46026</v>
      </c>
      <c r="E983" s="1" t="n">
        <v>46303</v>
      </c>
      <c r="F983" t="inlineStr">
        <is>
          <t>GÄVLEBORGS LÄN</t>
        </is>
      </c>
      <c r="G983" t="inlineStr">
        <is>
          <t>HUDIKSVALL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46026</v>
      </c>
      <c r="E984" s="1" t="n">
        <v>46303</v>
      </c>
      <c r="F984" t="inlineStr">
        <is>
          <t>GÄVLEBORGS LÄN</t>
        </is>
      </c>
      <c r="G984" t="inlineStr">
        <is>
          <t>HUDIKSVALL</t>
        </is>
      </c>
      <c r="I984" t="n">
        <v>15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20639-2025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45776</v>
      </c>
      <c r="E985" s="1" t="n">
        <v>46303</v>
      </c>
      <c r="F985" t="inlineStr">
        <is>
          <t>GÄVLEBORGS LÄN</t>
        </is>
      </c>
      <c r="G985" t="inlineStr">
        <is>
          <t>HUDIKSVALL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13603-2025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45736</v>
      </c>
      <c r="E986" s="1" t="n">
        <v>46303</v>
      </c>
      <c r="F986" t="inlineStr">
        <is>
          <t>GÄVLEBORGS LÄN</t>
        </is>
      </c>
      <c r="G986" t="inlineStr">
        <is>
          <t>HUDIKSVALL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36503-2025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45869</v>
      </c>
      <c r="E987" s="1" t="n">
        <v>46303</v>
      </c>
      <c r="F987" t="inlineStr">
        <is>
          <t>GÄVLEBORGS LÄN</t>
        </is>
      </c>
      <c r="G987" t="inlineStr">
        <is>
          <t>HUDIKSVALL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35268-2022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44798</v>
      </c>
      <c r="E988" s="1" t="n">
        <v>46303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9989-2025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45719</v>
      </c>
      <c r="E989" s="1" t="n">
        <v>46303</v>
      </c>
      <c r="F989" t="inlineStr">
        <is>
          <t>GÄVLEBORGS LÄN</t>
        </is>
      </c>
      <c r="G989" t="inlineStr">
        <is>
          <t>HUDIKSVALL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10890-2025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45722</v>
      </c>
      <c r="E990" s="1" t="n">
        <v>46303</v>
      </c>
      <c r="F990" t="inlineStr">
        <is>
          <t>GÄVLEBORGS LÄN</t>
        </is>
      </c>
      <c r="G990" t="inlineStr">
        <is>
          <t>HUDIKSVALL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46029</v>
      </c>
      <c r="E991" s="1" t="n">
        <v>46303</v>
      </c>
      <c r="F991" t="inlineStr">
        <is>
          <t>GÄVLEBORGS LÄN</t>
        </is>
      </c>
      <c r="G991" t="inlineStr">
        <is>
          <t>HUDIKSVALL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25187-2025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45800</v>
      </c>
      <c r="E992" s="1" t="n">
        <v>46303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53.6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46029</v>
      </c>
      <c r="E993" s="1" t="n">
        <v>46303</v>
      </c>
      <c r="F993" t="inlineStr">
        <is>
          <t>GÄVLEBORGS LÄN</t>
        </is>
      </c>
      <c r="G993" t="inlineStr">
        <is>
          <t>HUDIKSVALL</t>
        </is>
      </c>
      <c r="I993" t="n">
        <v>4.2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40136-2023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45169</v>
      </c>
      <c r="E994" s="1" t="n">
        <v>46303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6.3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46030</v>
      </c>
      <c r="E995" s="1" t="n">
        <v>46303</v>
      </c>
      <c r="F995" t="inlineStr">
        <is>
          <t>GÄVLEBORGS LÄN</t>
        </is>
      </c>
      <c r="G995" t="inlineStr">
        <is>
          <t>HUDIKSVALL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19366-2026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46133</v>
      </c>
      <c r="E996" s="1" t="n">
        <v>46303</v>
      </c>
      <c r="F996" t="inlineStr">
        <is>
          <t>GÄVLEBORGS LÄN</t>
        </is>
      </c>
      <c r="G996" t="inlineStr">
        <is>
          <t>HUDIKSVALL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1006-2026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46030</v>
      </c>
      <c r="E997" s="1" t="n">
        <v>46303</v>
      </c>
      <c r="F997" t="inlineStr">
        <is>
          <t>GÄVLEBORGS LÄN</t>
        </is>
      </c>
      <c r="G997" t="inlineStr">
        <is>
          <t>HUDIKSVALL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1017-2026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46030</v>
      </c>
      <c r="E998" s="1" t="n">
        <v>46303</v>
      </c>
      <c r="F998" t="inlineStr">
        <is>
          <t>GÄVLEBORGS LÄN</t>
        </is>
      </c>
      <c r="G998" t="inlineStr">
        <is>
          <t>HUDIKSVALL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46030</v>
      </c>
      <c r="E999" s="1" t="n">
        <v>46303</v>
      </c>
      <c r="F999" t="inlineStr">
        <is>
          <t>GÄVLEBORGS LÄN</t>
        </is>
      </c>
      <c r="G999" t="inlineStr">
        <is>
          <t>HUDIKSVALL</t>
        </is>
      </c>
      <c r="I999" t="n">
        <v>12.5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46030</v>
      </c>
      <c r="E1000" s="1" t="n">
        <v>46303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9.1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1077-2026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46030</v>
      </c>
      <c r="E1001" s="1" t="n">
        <v>46303</v>
      </c>
      <c r="F1001" t="inlineStr">
        <is>
          <t>GÄVLEBORGS LÄN</t>
        </is>
      </c>
      <c r="G1001" t="inlineStr">
        <is>
          <t>HUDIKSVALL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47530-2023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45203</v>
      </c>
      <c r="E1002" s="1" t="n">
        <v>46303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37.8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778-2026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46029</v>
      </c>
      <c r="E1003" s="1" t="n">
        <v>46303</v>
      </c>
      <c r="F1003" t="inlineStr">
        <is>
          <t>GÄVLEBORGS LÄN</t>
        </is>
      </c>
      <c r="G1003" t="inlineStr">
        <is>
          <t>HUDIKSVALL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25043-2026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46174</v>
      </c>
      <c r="E1004" s="1" t="n">
        <v>46303</v>
      </c>
      <c r="F1004" t="inlineStr">
        <is>
          <t>GÄVLEBORGS LÄN</t>
        </is>
      </c>
      <c r="G1004" t="inlineStr">
        <is>
          <t>HUDIKSVALL</t>
        </is>
      </c>
      <c r="I1004" t="n">
        <v>9.4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1111-2025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45666</v>
      </c>
      <c r="E1005" s="1" t="n">
        <v>46303</v>
      </c>
      <c r="F1005" t="inlineStr">
        <is>
          <t>GÄVLEBORGS LÄN</t>
        </is>
      </c>
      <c r="G1005" t="inlineStr">
        <is>
          <t>HUDIKSVALL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46034</v>
      </c>
      <c r="E1006" s="1" t="n">
        <v>46303</v>
      </c>
      <c r="F1006" t="inlineStr">
        <is>
          <t>GÄVLEBORGS LÄN</t>
        </is>
      </c>
      <c r="G1006" t="inlineStr">
        <is>
          <t>HUDIKSVALL</t>
        </is>
      </c>
      <c r="I1006" t="n">
        <v>4.6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60899-2023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45261</v>
      </c>
      <c r="E1007" s="1" t="n">
        <v>46303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60901-2023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45261</v>
      </c>
      <c r="E1008" s="1" t="n">
        <v>46303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67082-2021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44522</v>
      </c>
      <c r="E1009" s="1" t="n">
        <v>46303</v>
      </c>
      <c r="F1009" t="inlineStr">
        <is>
          <t>GÄVLEBORGS LÄN</t>
        </is>
      </c>
      <c r="G1009" t="inlineStr">
        <is>
          <t>HUDIKSVALL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1777-2026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46034</v>
      </c>
      <c r="E1010" s="1" t="n">
        <v>46303</v>
      </c>
      <c r="F1010" t="inlineStr">
        <is>
          <t>GÄVLEBORGS LÄN</t>
        </is>
      </c>
      <c r="G1010" t="inlineStr">
        <is>
          <t>HUDIKSVALL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46034</v>
      </c>
      <c r="E1011" s="1" t="n">
        <v>46303</v>
      </c>
      <c r="F1011" t="inlineStr">
        <is>
          <t>GÄVLEBORGS LÄN</t>
        </is>
      </c>
      <c r="G1011" t="inlineStr">
        <is>
          <t>HUDIKSVALL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34427-2022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44792</v>
      </c>
      <c r="E1012" s="1" t="n">
        <v>46303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25191-2026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46175</v>
      </c>
      <c r="E1013" s="1" t="n">
        <v>46303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43469-2023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45184</v>
      </c>
      <c r="E1014" s="1" t="n">
        <v>46303</v>
      </c>
      <c r="F1014" t="inlineStr">
        <is>
          <t>GÄVLEBORGS LÄN</t>
        </is>
      </c>
      <c r="G1014" t="inlineStr">
        <is>
          <t>HUDIKSVALL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24868-2026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46174</v>
      </c>
      <c r="E1015" s="1" t="n">
        <v>46303</v>
      </c>
      <c r="F1015" t="inlineStr">
        <is>
          <t>GÄVLEBORGS LÄN</t>
        </is>
      </c>
      <c r="G1015" t="inlineStr">
        <is>
          <t>HUDIKSVALL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24863-2026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46303</v>
      </c>
      <c r="F1016" t="inlineStr">
        <is>
          <t>GÄVLEBORGS LÄN</t>
        </is>
      </c>
      <c r="G1016" t="inlineStr">
        <is>
          <t>HUDIKSVALL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35593-2023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45147</v>
      </c>
      <c r="E1017" s="1" t="n">
        <v>46303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4.8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25590-2026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46177</v>
      </c>
      <c r="E1018" s="1" t="n">
        <v>46303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35964-2024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45533</v>
      </c>
      <c r="E1019" s="1" t="n">
        <v>46303</v>
      </c>
      <c r="F1019" t="inlineStr">
        <is>
          <t>GÄVLEBORGS LÄN</t>
        </is>
      </c>
      <c r="G1019" t="inlineStr">
        <is>
          <t>HUDIKSVALL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35985-2024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45533</v>
      </c>
      <c r="E1020" s="1" t="n">
        <v>46303</v>
      </c>
      <c r="F1020" t="inlineStr">
        <is>
          <t>GÄVLEBORGS LÄN</t>
        </is>
      </c>
      <c r="G1020" t="inlineStr">
        <is>
          <t>HUDIKSVALL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46176</v>
      </c>
      <c r="E1021" s="1" t="n">
        <v>46303</v>
      </c>
      <c r="F1021" t="inlineStr">
        <is>
          <t>GÄVLEBORGS LÄN</t>
        </is>
      </c>
      <c r="G1021" t="inlineStr">
        <is>
          <t>HUDIKSVALL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8522-2024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45355</v>
      </c>
      <c r="E1022" s="1" t="n">
        <v>46303</v>
      </c>
      <c r="F1022" t="inlineStr">
        <is>
          <t>GÄVLEBORGS LÄN</t>
        </is>
      </c>
      <c r="G1022" t="inlineStr">
        <is>
          <t>HUDIKSVALL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10108-2024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45364</v>
      </c>
      <c r="E1023" s="1" t="n">
        <v>46303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23.1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56832-2025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45978</v>
      </c>
      <c r="E1024" s="1" t="n">
        <v>46303</v>
      </c>
      <c r="F1024" t="inlineStr">
        <is>
          <t>GÄVLEBORGS LÄN</t>
        </is>
      </c>
      <c r="G1024" t="inlineStr">
        <is>
          <t>HUDIKSVALL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25573-2026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46177</v>
      </c>
      <c r="E1025" s="1" t="n">
        <v>46303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19156-2023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45048</v>
      </c>
      <c r="E1026" s="1" t="n">
        <v>46303</v>
      </c>
      <c r="F1026" t="inlineStr">
        <is>
          <t>GÄVLEBORGS LÄN</t>
        </is>
      </c>
      <c r="G1026" t="inlineStr">
        <is>
          <t>HUDIKSVALL</t>
        </is>
      </c>
      <c r="I1026" t="n">
        <v>3.7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62628-2023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45271</v>
      </c>
      <c r="E1027" s="1" t="n">
        <v>46303</v>
      </c>
      <c r="F1027" t="inlineStr">
        <is>
          <t>GÄVLEBORGS LÄN</t>
        </is>
      </c>
      <c r="G1027" t="inlineStr">
        <is>
          <t>HUDIKSVALL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1692-2026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46034</v>
      </c>
      <c r="E1028" s="1" t="n">
        <v>46303</v>
      </c>
      <c r="F1028" t="inlineStr">
        <is>
          <t>GÄVLEBORGS LÄN</t>
        </is>
      </c>
      <c r="G1028" t="inlineStr">
        <is>
          <t>HUDIKSVALL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46036</v>
      </c>
      <c r="E1029" s="1" t="n">
        <v>46303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5.6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61234-2023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45264</v>
      </c>
      <c r="E1030" s="1" t="n">
        <v>46303</v>
      </c>
      <c r="F1030" t="inlineStr">
        <is>
          <t>GÄVLEBORGS LÄN</t>
        </is>
      </c>
      <c r="G1030" t="inlineStr">
        <is>
          <t>HUDIKSVALL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46035</v>
      </c>
      <c r="E1031" s="1" t="n">
        <v>46303</v>
      </c>
      <c r="F1031" t="inlineStr">
        <is>
          <t>GÄVLEBORGS LÄN</t>
        </is>
      </c>
      <c r="G1031" t="inlineStr">
        <is>
          <t>HUDIKSVALL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1759-2026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46034</v>
      </c>
      <c r="E1032" s="1" t="n">
        <v>46303</v>
      </c>
      <c r="F1032" t="inlineStr">
        <is>
          <t>GÄVLEBORGS LÄN</t>
        </is>
      </c>
      <c r="G1032" t="inlineStr">
        <is>
          <t>HUDIKSVALL</t>
        </is>
      </c>
      <c r="I1032" t="n">
        <v>38.9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46035</v>
      </c>
      <c r="E1033" s="1" t="n">
        <v>46303</v>
      </c>
      <c r="F1033" t="inlineStr">
        <is>
          <t>GÄVLEBORGS LÄN</t>
        </is>
      </c>
      <c r="G1033" t="inlineStr">
        <is>
          <t>HUDIKSVALL</t>
        </is>
      </c>
      <c r="I1033" t="n">
        <v>15.9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70258-2021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44536</v>
      </c>
      <c r="E1034" s="1" t="n">
        <v>46303</v>
      </c>
      <c r="F1034" t="inlineStr">
        <is>
          <t>GÄVLEBORGS LÄN</t>
        </is>
      </c>
      <c r="G1034" t="inlineStr">
        <is>
          <t>HUDIKSVALL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2383-2026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46036</v>
      </c>
      <c r="E1035" s="1" t="n">
        <v>46303</v>
      </c>
      <c r="F1035" t="inlineStr">
        <is>
          <t>GÄVLEBORGS LÄN</t>
        </is>
      </c>
      <c r="G1035" t="inlineStr">
        <is>
          <t>HUDIKSVALL</t>
        </is>
      </c>
      <c r="I1035" t="n">
        <v>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2498-2026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46037</v>
      </c>
      <c r="E1036" s="1" t="n">
        <v>46303</v>
      </c>
      <c r="F1036" t="inlineStr">
        <is>
          <t>GÄVLEBORGS LÄN</t>
        </is>
      </c>
      <c r="G1036" t="inlineStr">
        <is>
          <t>HUDIKSVALL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2793-2026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46038</v>
      </c>
      <c r="E1037" s="1" t="n">
        <v>46303</v>
      </c>
      <c r="F1037" t="inlineStr">
        <is>
          <t>GÄVLEBORGS LÄN</t>
        </is>
      </c>
      <c r="G1037" t="inlineStr">
        <is>
          <t>HUDIKSVALL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2797-2026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46038</v>
      </c>
      <c r="E1038" s="1" t="n">
        <v>46303</v>
      </c>
      <c r="F1038" t="inlineStr">
        <is>
          <t>GÄVLEBORGS LÄN</t>
        </is>
      </c>
      <c r="G1038" t="inlineStr">
        <is>
          <t>HUDIKSVALL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2799-2026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46038</v>
      </c>
      <c r="E1039" s="1" t="n">
        <v>46303</v>
      </c>
      <c r="F1039" t="inlineStr">
        <is>
          <t>GÄVLEBORGS LÄN</t>
        </is>
      </c>
      <c r="G1039" t="inlineStr">
        <is>
          <t>HUDIKSVALL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2801-2026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46038</v>
      </c>
      <c r="E1040" s="1" t="n">
        <v>46303</v>
      </c>
      <c r="F1040" t="inlineStr">
        <is>
          <t>GÄVLEBORGS LÄN</t>
        </is>
      </c>
      <c r="G1040" t="inlineStr">
        <is>
          <t>HUDIKSVALL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32201-2022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44781</v>
      </c>
      <c r="E1041" s="1" t="n">
        <v>46303</v>
      </c>
      <c r="F1041" t="inlineStr">
        <is>
          <t>GÄVLEBORGS LÄN</t>
        </is>
      </c>
      <c r="G1041" t="inlineStr">
        <is>
          <t>HUDIKSVALL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1192-2026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46031</v>
      </c>
      <c r="E1042" s="1" t="n">
        <v>46303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2478-2026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46303</v>
      </c>
      <c r="F1043" t="inlineStr">
        <is>
          <t>GÄVLEBORGS LÄN</t>
        </is>
      </c>
      <c r="G1043" t="inlineStr">
        <is>
          <t>HUDIKSVALL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63643-2023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45275</v>
      </c>
      <c r="E1044" s="1" t="n">
        <v>46303</v>
      </c>
      <c r="F1044" t="inlineStr">
        <is>
          <t>GÄVLEBORGS LÄN</t>
        </is>
      </c>
      <c r="G1044" t="inlineStr">
        <is>
          <t>HUDIKSVALL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2972-2026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46038</v>
      </c>
      <c r="E1045" s="1" t="n">
        <v>46303</v>
      </c>
      <c r="F1045" t="inlineStr">
        <is>
          <t>GÄVLEBORGS LÄN</t>
        </is>
      </c>
      <c r="G1045" t="inlineStr">
        <is>
          <t>HUDIKSVALL</t>
        </is>
      </c>
      <c r="I1045" t="n">
        <v>7.3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3605-2026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46042</v>
      </c>
      <c r="E1046" s="1" t="n">
        <v>46303</v>
      </c>
      <c r="F1046" t="inlineStr">
        <is>
          <t>GÄVLEBORGS LÄN</t>
        </is>
      </c>
      <c r="G1046" t="inlineStr">
        <is>
          <t>HUDIKSVALL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3271-2026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46303</v>
      </c>
      <c r="F1047" t="inlineStr">
        <is>
          <t>GÄVLEBORGS LÄN</t>
        </is>
      </c>
      <c r="G1047" t="inlineStr">
        <is>
          <t>HUDIKSVALL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35026-2024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45527</v>
      </c>
      <c r="E1048" s="1" t="n">
        <v>46303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46030</v>
      </c>
      <c r="E1049" s="1" t="n">
        <v>46303</v>
      </c>
      <c r="F1049" t="inlineStr">
        <is>
          <t>GÄVLEBORGS LÄN</t>
        </is>
      </c>
      <c r="G1049" t="inlineStr">
        <is>
          <t>HUDIKSVALL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35882-2025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45862</v>
      </c>
      <c r="E1050" s="1" t="n">
        <v>46303</v>
      </c>
      <c r="F1050" t="inlineStr">
        <is>
          <t>GÄVLEBORGS LÄN</t>
        </is>
      </c>
      <c r="G1050" t="inlineStr">
        <is>
          <t>HUDIKSVALL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14059-2025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45740</v>
      </c>
      <c r="E1051" s="1" t="n">
        <v>46303</v>
      </c>
      <c r="F1051" t="inlineStr">
        <is>
          <t>GÄVLEBORGS LÄN</t>
        </is>
      </c>
      <c r="G1051" t="inlineStr">
        <is>
          <t>HUDIKSVALL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781-2026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46029</v>
      </c>
      <c r="E1052" s="1" t="n">
        <v>46303</v>
      </c>
      <c r="F1052" t="inlineStr">
        <is>
          <t>GÄVLEBORGS LÄN</t>
        </is>
      </c>
      <c r="G1052" t="inlineStr">
        <is>
          <t>HUDIKSVALL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1072-2026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46030</v>
      </c>
      <c r="E1053" s="1" t="n">
        <v>46303</v>
      </c>
      <c r="F1053" t="inlineStr">
        <is>
          <t>GÄVLEBORGS LÄN</t>
        </is>
      </c>
      <c r="G1053" t="inlineStr">
        <is>
          <t>HUDIKSVALL</t>
        </is>
      </c>
      <c r="I1053" t="n">
        <v>8.6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3860-2026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46043</v>
      </c>
      <c r="E1054" s="1" t="n">
        <v>46303</v>
      </c>
      <c r="F1054" t="inlineStr">
        <is>
          <t>GÄVLEBORGS LÄN</t>
        </is>
      </c>
      <c r="G1054" t="inlineStr">
        <is>
          <t>HUDIKSVALL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4006-2026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46044</v>
      </c>
      <c r="E1055" s="1" t="n">
        <v>46303</v>
      </c>
      <c r="F1055" t="inlineStr">
        <is>
          <t>GÄVLEBORGS LÄN</t>
        </is>
      </c>
      <c r="G1055" t="inlineStr">
        <is>
          <t>HUDIKSVALL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4220-2026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46044</v>
      </c>
      <c r="E1056" s="1" t="n">
        <v>46303</v>
      </c>
      <c r="F1056" t="inlineStr">
        <is>
          <t>GÄVLEBORGS LÄN</t>
        </is>
      </c>
      <c r="G1056" t="inlineStr">
        <is>
          <t>HUDIKSVALL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33968-2024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45523</v>
      </c>
      <c r="E1057" s="1" t="n">
        <v>46303</v>
      </c>
      <c r="F1057" t="inlineStr">
        <is>
          <t>GÄVLEBORGS LÄN</t>
        </is>
      </c>
      <c r="G1057" t="inlineStr">
        <is>
          <t>HUDIKSVALL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46303</v>
      </c>
      <c r="F1058" t="inlineStr">
        <is>
          <t>GÄVLEBORGS LÄN</t>
        </is>
      </c>
      <c r="G1058" t="inlineStr">
        <is>
          <t>HUDIKSVALL</t>
        </is>
      </c>
      <c r="I1058" t="n">
        <v>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3636-2026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46043</v>
      </c>
      <c r="E1059" s="1" t="n">
        <v>46303</v>
      </c>
      <c r="F1059" t="inlineStr">
        <is>
          <t>GÄVLEBORGS LÄN</t>
        </is>
      </c>
      <c r="G1059" t="inlineStr">
        <is>
          <t>HUDIKSVALL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3975-2026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46044</v>
      </c>
      <c r="E1060" s="1" t="n">
        <v>46303</v>
      </c>
      <c r="F1060" t="inlineStr">
        <is>
          <t>GÄVLEBORGS LÄN</t>
        </is>
      </c>
      <c r="G1060" t="inlineStr">
        <is>
          <t>HUDIKSVALL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4843-2026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46048</v>
      </c>
      <c r="E1061" s="1" t="n">
        <v>46303</v>
      </c>
      <c r="F1061" t="inlineStr">
        <is>
          <t>GÄVLEBORGS LÄN</t>
        </is>
      </c>
      <c r="G1061" t="inlineStr">
        <is>
          <t>HUDIKSVALL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4875-2026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46048</v>
      </c>
      <c r="E1062" s="1" t="n">
        <v>46303</v>
      </c>
      <c r="F1062" t="inlineStr">
        <is>
          <t>GÄVLEBORGS LÄN</t>
        </is>
      </c>
      <c r="G1062" t="inlineStr">
        <is>
          <t>HUDIKSVALL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4611-2026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46048</v>
      </c>
      <c r="E1063" s="1" t="n">
        <v>46303</v>
      </c>
      <c r="F1063" t="inlineStr">
        <is>
          <t>GÄVLEBORGS LÄN</t>
        </is>
      </c>
      <c r="G1063" t="inlineStr">
        <is>
          <t>HUDIKSVALL</t>
        </is>
      </c>
      <c r="I1063" t="n">
        <v>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4783-2026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46048</v>
      </c>
      <c r="E1064" s="1" t="n">
        <v>46303</v>
      </c>
      <c r="F1064" t="inlineStr">
        <is>
          <t>GÄVLEBORGS LÄN</t>
        </is>
      </c>
      <c r="G1064" t="inlineStr">
        <is>
          <t>HUDIKSVALL</t>
        </is>
      </c>
      <c r="I1064" t="n">
        <v>0.3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58723-2022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44902</v>
      </c>
      <c r="E1065" s="1" t="n">
        <v>46303</v>
      </c>
      <c r="F1065" t="inlineStr">
        <is>
          <t>GÄVLEBORGS LÄN</t>
        </is>
      </c>
      <c r="G1065" t="inlineStr">
        <is>
          <t>HUDIKSVALL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10858-2025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45722</v>
      </c>
      <c r="E1066" s="1" t="n">
        <v>46303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4604-2026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46048</v>
      </c>
      <c r="E1067" s="1" t="n">
        <v>46303</v>
      </c>
      <c r="F1067" t="inlineStr">
        <is>
          <t>GÄVLEBORGS LÄN</t>
        </is>
      </c>
      <c r="G1067" t="inlineStr">
        <is>
          <t>HUDIKSVALL</t>
        </is>
      </c>
      <c r="I1067" t="n">
        <v>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4272-2026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46045</v>
      </c>
      <c r="E1068" s="1" t="n">
        <v>46303</v>
      </c>
      <c r="F1068" t="inlineStr">
        <is>
          <t>GÄVLEBORGS LÄN</t>
        </is>
      </c>
      <c r="G1068" t="inlineStr">
        <is>
          <t>HUDIKSVALL</t>
        </is>
      </c>
      <c r="I1068" t="n">
        <v>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4323-2026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46303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4387-2026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46303</v>
      </c>
      <c r="F1070" t="inlineStr">
        <is>
          <t>GÄVLEBORGS LÄN</t>
        </is>
      </c>
      <c r="G1070" t="inlineStr">
        <is>
          <t>HUDIKSVALL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35201-2024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45530</v>
      </c>
      <c r="E1071" s="1" t="n">
        <v>46303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7.3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4499-2026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46045</v>
      </c>
      <c r="E1072" s="1" t="n">
        <v>46303</v>
      </c>
      <c r="F1072" t="inlineStr">
        <is>
          <t>GÄVLEBORGS LÄN</t>
        </is>
      </c>
      <c r="G1072" t="inlineStr">
        <is>
          <t>HUDIKSVALL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26413-2026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46183</v>
      </c>
      <c r="E1073" s="1" t="n">
        <v>46303</v>
      </c>
      <c r="F1073" t="inlineStr">
        <is>
          <t>GÄVLEBORGS LÄN</t>
        </is>
      </c>
      <c r="G1073" t="inlineStr">
        <is>
          <t>HUDIKSVALL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63798-2021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44509</v>
      </c>
      <c r="E1074" s="1" t="n">
        <v>46303</v>
      </c>
      <c r="F1074" t="inlineStr">
        <is>
          <t>GÄVLEBORGS LÄN</t>
        </is>
      </c>
      <c r="G1074" t="inlineStr">
        <is>
          <t>HUDIKSVALL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26803-2026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46185</v>
      </c>
      <c r="E1075" s="1" t="n">
        <v>46303</v>
      </c>
      <c r="F1075" t="inlineStr">
        <is>
          <t>GÄVLEBORGS LÄN</t>
        </is>
      </c>
      <c r="G1075" t="inlineStr">
        <is>
          <t>HUDIKSVALL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5420-2026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46050</v>
      </c>
      <c r="E1076" s="1" t="n">
        <v>46303</v>
      </c>
      <c r="F1076" t="inlineStr">
        <is>
          <t>GÄVLEBORGS LÄN</t>
        </is>
      </c>
      <c r="G1076" t="inlineStr">
        <is>
          <t>HUDIKSVALL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18939-2025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45764</v>
      </c>
      <c r="E1077" s="1" t="n">
        <v>46303</v>
      </c>
      <c r="F1077" t="inlineStr">
        <is>
          <t>GÄVLEBORGS LÄN</t>
        </is>
      </c>
      <c r="G1077" t="inlineStr">
        <is>
          <t>HUDIKSVALL</t>
        </is>
      </c>
      <c r="I1077" t="n">
        <v>10.4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5049-2026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46049</v>
      </c>
      <c r="E1078" s="1" t="n">
        <v>46303</v>
      </c>
      <c r="F1078" t="inlineStr">
        <is>
          <t>GÄVLEBORGS LÄN</t>
        </is>
      </c>
      <c r="G1078" t="inlineStr">
        <is>
          <t>HUDIKSVALL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5451-2026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46050</v>
      </c>
      <c r="E1079" s="1" t="n">
        <v>46303</v>
      </c>
      <c r="F1079" t="inlineStr">
        <is>
          <t>GÄVLEBORGS LÄN</t>
        </is>
      </c>
      <c r="G1079" t="inlineStr">
        <is>
          <t>HUDIKSVALL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5447-2026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46050</v>
      </c>
      <c r="E1080" s="1" t="n">
        <v>46303</v>
      </c>
      <c r="F1080" t="inlineStr">
        <is>
          <t>GÄVLEBORGS LÄN</t>
        </is>
      </c>
      <c r="G1080" t="inlineStr">
        <is>
          <t>HUDIKSVALL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5560-2026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46050</v>
      </c>
      <c r="E1081" s="1" t="n">
        <v>46303</v>
      </c>
      <c r="F1081" t="inlineStr">
        <is>
          <t>GÄVLEBORGS LÄN</t>
        </is>
      </c>
      <c r="G1081" t="inlineStr">
        <is>
          <t>HUDIKSVALL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46051</v>
      </c>
      <c r="E1082" s="1" t="n">
        <v>46303</v>
      </c>
      <c r="F1082" t="inlineStr">
        <is>
          <t>GÄVLEBORGS LÄN</t>
        </is>
      </c>
      <c r="G1082" t="inlineStr">
        <is>
          <t>HUDIKSVALL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46303</v>
      </c>
      <c r="F1083" t="inlineStr">
        <is>
          <t>GÄVLEBORGS LÄN</t>
        </is>
      </c>
      <c r="G1083" t="inlineStr">
        <is>
          <t>HUDIKSVALL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46051</v>
      </c>
      <c r="E1084" s="1" t="n">
        <v>46303</v>
      </c>
      <c r="F1084" t="inlineStr">
        <is>
          <t>GÄVLEBORGS LÄN</t>
        </is>
      </c>
      <c r="G1084" t="inlineStr">
        <is>
          <t>HUDIKSVALL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44687-2024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45574</v>
      </c>
      <c r="E1085" s="1" t="n">
        <v>46303</v>
      </c>
      <c r="F1085" t="inlineStr">
        <is>
          <t>GÄVLEBORGS LÄN</t>
        </is>
      </c>
      <c r="G1085" t="inlineStr">
        <is>
          <t>HUDIKSVALL</t>
        </is>
      </c>
      <c r="I1085" t="n">
        <v>17.3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6066-2026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46303</v>
      </c>
      <c r="F1086" t="inlineStr">
        <is>
          <t>GÄVLEBORGS LÄN</t>
        </is>
      </c>
      <c r="G1086" t="inlineStr">
        <is>
          <t>HUDIKSVALL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6061-2026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46052</v>
      </c>
      <c r="E1087" s="1" t="n">
        <v>46303</v>
      </c>
      <c r="F1087" t="inlineStr">
        <is>
          <t>GÄVLEBORGS LÄN</t>
        </is>
      </c>
      <c r="G1087" t="inlineStr">
        <is>
          <t>HUDIKSVALL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5635-2026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46051</v>
      </c>
      <c r="E1088" s="1" t="n">
        <v>46303</v>
      </c>
      <c r="F1088" t="inlineStr">
        <is>
          <t>GÄVLEBORGS LÄN</t>
        </is>
      </c>
      <c r="G1088" t="inlineStr">
        <is>
          <t>HUDIKSVALL</t>
        </is>
      </c>
      <c r="I1088" t="n">
        <v>5.6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46052</v>
      </c>
      <c r="E1089" s="1" t="n">
        <v>46303</v>
      </c>
      <c r="F1089" t="inlineStr">
        <is>
          <t>GÄVLEBORGS LÄN</t>
        </is>
      </c>
      <c r="G1089" t="inlineStr">
        <is>
          <t>HUDIKSVALL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24834-2024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45461</v>
      </c>
      <c r="E1090" s="1" t="n">
        <v>46303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6369-2026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46303</v>
      </c>
      <c r="F1091" t="inlineStr">
        <is>
          <t>GÄVLEBORGS LÄN</t>
        </is>
      </c>
      <c r="G1091" t="inlineStr">
        <is>
          <t>HUDIKSVALL</t>
        </is>
      </c>
      <c r="I1091" t="n">
        <v>4.5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36084-2024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45533</v>
      </c>
      <c r="E1092" s="1" t="n">
        <v>46303</v>
      </c>
      <c r="F1092" t="inlineStr">
        <is>
          <t>GÄVLEBORGS LÄN</t>
        </is>
      </c>
      <c r="G1092" t="inlineStr">
        <is>
          <t>HUDIKSVALL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18493-2024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45425</v>
      </c>
      <c r="E1093" s="1" t="n">
        <v>46303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6198-2026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46303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6487-2026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46303</v>
      </c>
      <c r="F1095" t="inlineStr">
        <is>
          <t>GÄVLEBORGS LÄN</t>
        </is>
      </c>
      <c r="G1095" t="inlineStr">
        <is>
          <t>HUDIKSVALL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6591-2026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46303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6721-2026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46303</v>
      </c>
      <c r="F1097" t="inlineStr">
        <is>
          <t>GÄVLEBORGS LÄN</t>
        </is>
      </c>
      <c r="G1097" t="inlineStr">
        <is>
          <t>HUDIKSVALL</t>
        </is>
      </c>
      <c r="I1097" t="n">
        <v>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6488-2026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46303</v>
      </c>
      <c r="F1098" t="inlineStr">
        <is>
          <t>GÄVLEBORGS LÄN</t>
        </is>
      </c>
      <c r="G1098" t="inlineStr">
        <is>
          <t>HUDIKSVALL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6755-2026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46056</v>
      </c>
      <c r="E1099" s="1" t="n">
        <v>46303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6294-2026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46055</v>
      </c>
      <c r="E1100" s="1" t="n">
        <v>46303</v>
      </c>
      <c r="F1100" t="inlineStr">
        <is>
          <t>GÄVLEBORGS LÄN</t>
        </is>
      </c>
      <c r="G1100" t="inlineStr">
        <is>
          <t>HUDIKSVALL</t>
        </is>
      </c>
      <c r="I1100" t="n">
        <v>14.2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27510-2026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46189</v>
      </c>
      <c r="E1101" s="1" t="n">
        <v>46303</v>
      </c>
      <c r="F1101" t="inlineStr">
        <is>
          <t>GÄVLEBORGS LÄN</t>
        </is>
      </c>
      <c r="G1101" t="inlineStr">
        <is>
          <t>HUDIKSVALL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27259-2026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46188</v>
      </c>
      <c r="E1102" s="1" t="n">
        <v>46303</v>
      </c>
      <c r="F1102" t="inlineStr">
        <is>
          <t>GÄVLEBORGS LÄN</t>
        </is>
      </c>
      <c r="G1102" t="inlineStr">
        <is>
          <t>HUDIKSVALL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7301-2026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46058</v>
      </c>
      <c r="E1103" s="1" t="n">
        <v>46303</v>
      </c>
      <c r="F1103" t="inlineStr">
        <is>
          <t>GÄVLEBORGS LÄN</t>
        </is>
      </c>
      <c r="G1103" t="inlineStr">
        <is>
          <t>HUDIKSVALL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6849-2026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46057</v>
      </c>
      <c r="E1104" s="1" t="n">
        <v>46303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Naturvårdsverket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27410-2026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46189</v>
      </c>
      <c r="E1105" s="1" t="n">
        <v>46303</v>
      </c>
      <c r="F1105" t="inlineStr">
        <is>
          <t>GÄVLEBORGS LÄN</t>
        </is>
      </c>
      <c r="G1105" t="inlineStr">
        <is>
          <t>HUDIKSVALL</t>
        </is>
      </c>
      <c r="I1105" t="n">
        <v>13.9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6826-2026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46057</v>
      </c>
      <c r="E1106" s="1" t="n">
        <v>46303</v>
      </c>
      <c r="F1106" t="inlineStr">
        <is>
          <t>GÄVLEBORGS LÄN</t>
        </is>
      </c>
      <c r="G1106" t="inlineStr">
        <is>
          <t>HUDIKSVALL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7092-2026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46058</v>
      </c>
      <c r="E1107" s="1" t="n">
        <v>46303</v>
      </c>
      <c r="F1107" t="inlineStr">
        <is>
          <t>GÄVLEBORGS LÄN</t>
        </is>
      </c>
      <c r="G1107" t="inlineStr">
        <is>
          <t>HUDIKSVALL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7058-2026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46057</v>
      </c>
      <c r="E1108" s="1" t="n">
        <v>46303</v>
      </c>
      <c r="F1108" t="inlineStr">
        <is>
          <t>GÄVLEBORGS LÄN</t>
        </is>
      </c>
      <c r="G1108" t="inlineStr">
        <is>
          <t>HUDIKSVALL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50898-2023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45218</v>
      </c>
      <c r="E1109" s="1" t="n">
        <v>46303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6.5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60796-2023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45260</v>
      </c>
      <c r="E1110" s="1" t="n">
        <v>46303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60801-2023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45260</v>
      </c>
      <c r="E1111" s="1" t="n">
        <v>46303</v>
      </c>
      <c r="F1111" t="inlineStr">
        <is>
          <t>GÄVLEBORGS LÄN</t>
        </is>
      </c>
      <c r="G1111" t="inlineStr">
        <is>
          <t>HUDIKSVALL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7033-2026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46057</v>
      </c>
      <c r="E1112" s="1" t="n">
        <v>46303</v>
      </c>
      <c r="F1112" t="inlineStr">
        <is>
          <t>GÄVLEBORGS LÄN</t>
        </is>
      </c>
      <c r="G1112" t="inlineStr">
        <is>
          <t>HUDIKSVALL</t>
        </is>
      </c>
      <c r="I1112" t="n">
        <v>4.2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27505-2026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46189</v>
      </c>
      <c r="E1113" s="1" t="n">
        <v>46303</v>
      </c>
      <c r="F1113" t="inlineStr">
        <is>
          <t>GÄVLEBORGS LÄN</t>
        </is>
      </c>
      <c r="G1113" t="inlineStr">
        <is>
          <t>HUDIKSVALL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7137-2026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46058</v>
      </c>
      <c r="E1114" s="1" t="n">
        <v>46303</v>
      </c>
      <c r="F1114" t="inlineStr">
        <is>
          <t>GÄVLEBORGS LÄN</t>
        </is>
      </c>
      <c r="G1114" t="inlineStr">
        <is>
          <t>HUDIKSVALL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7141-2026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46058</v>
      </c>
      <c r="E1115" s="1" t="n">
        <v>46303</v>
      </c>
      <c r="F1115" t="inlineStr">
        <is>
          <t>GÄVLEBORGS LÄN</t>
        </is>
      </c>
      <c r="G1115" t="inlineStr">
        <is>
          <t>HUDIKSVALL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6832-2026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46303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7085-2026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46058</v>
      </c>
      <c r="E1117" s="1" t="n">
        <v>46303</v>
      </c>
      <c r="F1117" t="inlineStr">
        <is>
          <t>GÄVLEBORGS LÄN</t>
        </is>
      </c>
      <c r="G1117" t="inlineStr">
        <is>
          <t>HUDIKSVALL</t>
        </is>
      </c>
      <c r="I1117" t="n">
        <v>41.1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7484-2026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46059</v>
      </c>
      <c r="E1118" s="1" t="n">
        <v>46303</v>
      </c>
      <c r="F1118" t="inlineStr">
        <is>
          <t>GÄVLEBORGS LÄN</t>
        </is>
      </c>
      <c r="G1118" t="inlineStr">
        <is>
          <t>HUDIKSVALL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7379-2026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46059</v>
      </c>
      <c r="E1119" s="1" t="n">
        <v>46303</v>
      </c>
      <c r="F1119" t="inlineStr">
        <is>
          <t>GÄVLEBORGS LÄN</t>
        </is>
      </c>
      <c r="G1119" t="inlineStr">
        <is>
          <t>HUDIKSVALL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7702-2026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46062</v>
      </c>
      <c r="E1120" s="1" t="n">
        <v>46303</v>
      </c>
      <c r="F1120" t="inlineStr">
        <is>
          <t>GÄVLEBORGS LÄN</t>
        </is>
      </c>
      <c r="G1120" t="inlineStr">
        <is>
          <t>HUDIKSVALL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27171-2026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46188</v>
      </c>
      <c r="E1121" s="1" t="n">
        <v>46303</v>
      </c>
      <c r="F1121" t="inlineStr">
        <is>
          <t>GÄVLEBORGS LÄN</t>
        </is>
      </c>
      <c r="G1121" t="inlineStr">
        <is>
          <t>HUDIKSVALL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7781-2026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46062</v>
      </c>
      <c r="E1122" s="1" t="n">
        <v>46303</v>
      </c>
      <c r="F1122" t="inlineStr">
        <is>
          <t>GÄVLEBORGS LÄN</t>
        </is>
      </c>
      <c r="G1122" t="inlineStr">
        <is>
          <t>HUDIKSVALL</t>
        </is>
      </c>
      <c r="I1122" t="n">
        <v>10.9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43803-2022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44838</v>
      </c>
      <c r="E1123" s="1" t="n">
        <v>46303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7048-2026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46057</v>
      </c>
      <c r="E1124" s="1" t="n">
        <v>46303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7.6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8214-2026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46064</v>
      </c>
      <c r="E1125" s="1" t="n">
        <v>46303</v>
      </c>
      <c r="F1125" t="inlineStr">
        <is>
          <t>GÄVLEBORGS LÄN</t>
        </is>
      </c>
      <c r="G1125" t="inlineStr">
        <is>
          <t>HUDIKSVALL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8307-2026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46064</v>
      </c>
      <c r="E1126" s="1" t="n">
        <v>46303</v>
      </c>
      <c r="F1126" t="inlineStr">
        <is>
          <t>GÄVLEBORGS LÄN</t>
        </is>
      </c>
      <c r="G1126" t="inlineStr">
        <is>
          <t>HUDIKSVALL</t>
        </is>
      </c>
      <c r="I1126" t="n">
        <v>5.6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8001-2026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46063</v>
      </c>
      <c r="E1127" s="1" t="n">
        <v>46303</v>
      </c>
      <c r="F1127" t="inlineStr">
        <is>
          <t>GÄVLEBORGS LÄN</t>
        </is>
      </c>
      <c r="G1127" t="inlineStr">
        <is>
          <t>HUDIKSVALL</t>
        </is>
      </c>
      <c r="I1127" t="n">
        <v>5.6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27891-2026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46191</v>
      </c>
      <c r="E1128" s="1" t="n">
        <v>46303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27819-2026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46191</v>
      </c>
      <c r="E1129" s="1" t="n">
        <v>46303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29.5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8370-2026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46064</v>
      </c>
      <c r="E1130" s="1" t="n">
        <v>46303</v>
      </c>
      <c r="F1130" t="inlineStr">
        <is>
          <t>GÄVLEBORGS LÄN</t>
        </is>
      </c>
      <c r="G1130" t="inlineStr">
        <is>
          <t>HUDIKSVALL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27827-2026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46303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6.9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27846-2026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46191</v>
      </c>
      <c r="E1132" s="1" t="n">
        <v>46303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27880-2026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46191</v>
      </c>
      <c r="E1133" s="1" t="n">
        <v>46303</v>
      </c>
      <c r="F1133" t="inlineStr">
        <is>
          <t>GÄVLEBORGS LÄN</t>
        </is>
      </c>
      <c r="G1133" t="inlineStr">
        <is>
          <t>HUDIKSVALL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8685-2026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46066</v>
      </c>
      <c r="E1134" s="1" t="n">
        <v>46303</v>
      </c>
      <c r="F1134" t="inlineStr">
        <is>
          <t>GÄVLEBORGS LÄN</t>
        </is>
      </c>
      <c r="G1134" t="inlineStr">
        <is>
          <t>HUDIKSVALL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8561-2026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46065</v>
      </c>
      <c r="E1135" s="1" t="n">
        <v>46303</v>
      </c>
      <c r="F1135" t="inlineStr">
        <is>
          <t>GÄVLEBORGS LÄN</t>
        </is>
      </c>
      <c r="G1135" t="inlineStr">
        <is>
          <t>HUDIKSVALL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8512-2026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46303</v>
      </c>
      <c r="F1136" t="inlineStr">
        <is>
          <t>GÄVLEBORGS LÄN</t>
        </is>
      </c>
      <c r="G1136" t="inlineStr">
        <is>
          <t>HUDIKSVALL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15242-2023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45019</v>
      </c>
      <c r="E1137" s="1" t="n">
        <v>46303</v>
      </c>
      <c r="F1137" t="inlineStr">
        <is>
          <t>GÄVLEBORGS LÄN</t>
        </is>
      </c>
      <c r="G1137" t="inlineStr">
        <is>
          <t>HUDIKSVALL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32959-2024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45517</v>
      </c>
      <c r="E1138" s="1" t="n">
        <v>46303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46029</v>
      </c>
      <c r="E1139" s="1" t="n">
        <v>46303</v>
      </c>
      <c r="F1139" t="inlineStr">
        <is>
          <t>GÄVLEBORGS LÄN</t>
        </is>
      </c>
      <c r="G1139" t="inlineStr">
        <is>
          <t>HUDIKSVALL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8480-2026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46065</v>
      </c>
      <c r="E1140" s="1" t="n">
        <v>46303</v>
      </c>
      <c r="F1140" t="inlineStr">
        <is>
          <t>GÄVLEBORGS LÄN</t>
        </is>
      </c>
      <c r="G1140" t="inlineStr">
        <is>
          <t>HUDIKSVALL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8440-2026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46065</v>
      </c>
      <c r="E1141" s="1" t="n">
        <v>46303</v>
      </c>
      <c r="F1141" t="inlineStr">
        <is>
          <t>GÄVLEBORGS LÄN</t>
        </is>
      </c>
      <c r="G1141" t="inlineStr">
        <is>
          <t>HUDIKSVALL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8775-2026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46066</v>
      </c>
      <c r="E1142" s="1" t="n">
        <v>46303</v>
      </c>
      <c r="F1142" t="inlineStr">
        <is>
          <t>GÄVLEBORGS LÄN</t>
        </is>
      </c>
      <c r="G1142" t="inlineStr">
        <is>
          <t>HUDIKSVALL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8763-2026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46303</v>
      </c>
      <c r="F1143" t="inlineStr">
        <is>
          <t>GÄVLEBORGS LÄN</t>
        </is>
      </c>
      <c r="G1143" t="inlineStr">
        <is>
          <t>HUDIKSVALL</t>
        </is>
      </c>
      <c r="I1143" t="n">
        <v>7.2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27706-2026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46190</v>
      </c>
      <c r="E1144" s="1" t="n">
        <v>46303</v>
      </c>
      <c r="F1144" t="inlineStr">
        <is>
          <t>GÄVLEBORGS LÄN</t>
        </is>
      </c>
      <c r="G1144" t="inlineStr">
        <is>
          <t>HUDIKSVALL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55434-2022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44887</v>
      </c>
      <c r="E1145" s="1" t="n">
        <v>46303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8471-2026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46065</v>
      </c>
      <c r="E1146" s="1" t="n">
        <v>46303</v>
      </c>
      <c r="F1146" t="inlineStr">
        <is>
          <t>GÄVLEBORGS LÄN</t>
        </is>
      </c>
      <c r="G1146" t="inlineStr">
        <is>
          <t>HUDIKSVALL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13593-2026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46096</v>
      </c>
      <c r="E1147" s="1" t="n">
        <v>46303</v>
      </c>
      <c r="F1147" t="inlineStr">
        <is>
          <t>GÄVLEBORGS LÄN</t>
        </is>
      </c>
      <c r="G1147" t="inlineStr">
        <is>
          <t>HUDIKSVALL</t>
        </is>
      </c>
      <c r="I1147" t="n">
        <v>3.7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40876-2022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44825</v>
      </c>
      <c r="E1148" s="1" t="n">
        <v>46303</v>
      </c>
      <c r="F1148" t="inlineStr">
        <is>
          <t>GÄVLEBORGS LÄN</t>
        </is>
      </c>
      <c r="G1148" t="inlineStr">
        <is>
          <t>HUDIKSVALL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28075-2026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46195</v>
      </c>
      <c r="E1149" s="1" t="n">
        <v>46303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Kommuner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15306-2023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45019</v>
      </c>
      <c r="E1150" s="1" t="n">
        <v>46303</v>
      </c>
      <c r="F1150" t="inlineStr">
        <is>
          <t>GÄVLEBORGS LÄN</t>
        </is>
      </c>
      <c r="G1150" t="inlineStr">
        <is>
          <t>HUDIKSVALL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28071-2026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46195</v>
      </c>
      <c r="E1151" s="1" t="n">
        <v>46303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Kommuner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20253-2026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46139</v>
      </c>
      <c r="E1152" s="1" t="n">
        <v>46303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62639-2023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45271</v>
      </c>
      <c r="E1153" s="1" t="n">
        <v>46303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9560-2026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46071</v>
      </c>
      <c r="E1154" s="1" t="n">
        <v>46303</v>
      </c>
      <c r="F1154" t="inlineStr">
        <is>
          <t>GÄVLEBORGS LÄN</t>
        </is>
      </c>
      <c r="G1154" t="inlineStr">
        <is>
          <t>HUDIKSVALL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2232-2022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44578</v>
      </c>
      <c r="E1155" s="1" t="n">
        <v>46303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8.699999999999999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9800-2026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46072</v>
      </c>
      <c r="E1156" s="1" t="n">
        <v>46303</v>
      </c>
      <c r="F1156" t="inlineStr">
        <is>
          <t>GÄVLEBORGS LÄN</t>
        </is>
      </c>
      <c r="G1156" t="inlineStr">
        <is>
          <t>HUDIKSVALL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9585-2026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46071</v>
      </c>
      <c r="E1157" s="1" t="n">
        <v>46303</v>
      </c>
      <c r="F1157" t="inlineStr">
        <is>
          <t>GÄVLEBORGS LÄN</t>
        </is>
      </c>
      <c r="G1157" t="inlineStr">
        <is>
          <t>HUDIKSVALL</t>
        </is>
      </c>
      <c r="I1157" t="n">
        <v>5.7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9581-2026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46071</v>
      </c>
      <c r="E1158" s="1" t="n">
        <v>46303</v>
      </c>
      <c r="F1158" t="inlineStr">
        <is>
          <t>GÄVLEBORGS LÄN</t>
        </is>
      </c>
      <c r="G1158" t="inlineStr">
        <is>
          <t>HUDIKSVALL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9583-2026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46071</v>
      </c>
      <c r="E1159" s="1" t="n">
        <v>46303</v>
      </c>
      <c r="F1159" t="inlineStr">
        <is>
          <t>GÄVLEBORGS LÄN</t>
        </is>
      </c>
      <c r="G1159" t="inlineStr">
        <is>
          <t>HUDIKSVALL</t>
        </is>
      </c>
      <c r="I1159" t="n">
        <v>4.5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28409-2026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46197</v>
      </c>
      <c r="E1160" s="1" t="n">
        <v>46303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3.1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63619-2023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45275</v>
      </c>
      <c r="E1161" s="1" t="n">
        <v>46303</v>
      </c>
      <c r="F1161" t="inlineStr">
        <is>
          <t>GÄVLEBORGS LÄN</t>
        </is>
      </c>
      <c r="G1161" t="inlineStr">
        <is>
          <t>HUDIKSVALL</t>
        </is>
      </c>
      <c r="I1161" t="n">
        <v>6.4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9396-2026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46071</v>
      </c>
      <c r="E1162" s="1" t="n">
        <v>46303</v>
      </c>
      <c r="F1162" t="inlineStr">
        <is>
          <t>GÄVLEBORGS LÄN</t>
        </is>
      </c>
      <c r="G1162" t="inlineStr">
        <is>
          <t>HUDIKSVALL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9763-2026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46072</v>
      </c>
      <c r="E1163" s="1" t="n">
        <v>46303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28540-2026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46197</v>
      </c>
      <c r="E1164" s="1" t="n">
        <v>46303</v>
      </c>
      <c r="F1164" t="inlineStr">
        <is>
          <t>GÄVLEBORGS LÄN</t>
        </is>
      </c>
      <c r="G1164" t="inlineStr">
        <is>
          <t>HUDIKSVALL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10059-2026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46073</v>
      </c>
      <c r="E1165" s="1" t="n">
        <v>46303</v>
      </c>
      <c r="F1165" t="inlineStr">
        <is>
          <t>GÄVLEBORGS LÄN</t>
        </is>
      </c>
      <c r="G1165" t="inlineStr">
        <is>
          <t>HUDIKSVALL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10374-2026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46076</v>
      </c>
      <c r="E1166" s="1" t="n">
        <v>46303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28539-2026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46197</v>
      </c>
      <c r="E1167" s="1" t="n">
        <v>46303</v>
      </c>
      <c r="F1167" t="inlineStr">
        <is>
          <t>GÄVLEBORGS LÄN</t>
        </is>
      </c>
      <c r="G1167" t="inlineStr">
        <is>
          <t>HUDIKSVALL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10378-2026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46076</v>
      </c>
      <c r="E1168" s="1" t="n">
        <v>46303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21805-2024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45442</v>
      </c>
      <c r="E1169" s="1" t="n">
        <v>46303</v>
      </c>
      <c r="F1169" t="inlineStr">
        <is>
          <t>GÄVLEBORGS LÄN</t>
        </is>
      </c>
      <c r="G1169" t="inlineStr">
        <is>
          <t>HUDIKSVALL</t>
        </is>
      </c>
      <c r="I1169" t="n">
        <v>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28333-2026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46196</v>
      </c>
      <c r="E1170" s="1" t="n">
        <v>46303</v>
      </c>
      <c r="F1170" t="inlineStr">
        <is>
          <t>GÄVLEBORGS LÄN</t>
        </is>
      </c>
      <c r="G1170" t="inlineStr">
        <is>
          <t>HUDIKSVALL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10073-2026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46073</v>
      </c>
      <c r="E1171" s="1" t="n">
        <v>46303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10010-2026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46073</v>
      </c>
      <c r="E1172" s="1" t="n">
        <v>46303</v>
      </c>
      <c r="F1172" t="inlineStr">
        <is>
          <t>GÄVLEBORGS LÄN</t>
        </is>
      </c>
      <c r="G1172" t="inlineStr">
        <is>
          <t>HUDIKSVALL</t>
        </is>
      </c>
      <c r="I1172" t="n">
        <v>18.2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10308-2026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46076</v>
      </c>
      <c r="E1173" s="1" t="n">
        <v>46303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Sveaskog</t>
        </is>
      </c>
      <c r="I1173" t="n">
        <v>5.4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24210-2023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45079</v>
      </c>
      <c r="E1174" s="1" t="n">
        <v>46303</v>
      </c>
      <c r="F1174" t="inlineStr">
        <is>
          <t>GÄVLEBORGS LÄN</t>
        </is>
      </c>
      <c r="G1174" t="inlineStr">
        <is>
          <t>HUDIKSVALL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10372-2026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46076</v>
      </c>
      <c r="E1175" s="1" t="n">
        <v>46303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9916-2026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46073</v>
      </c>
      <c r="E1176" s="1" t="n">
        <v>46303</v>
      </c>
      <c r="F1176" t="inlineStr">
        <is>
          <t>GÄVLEBORGS LÄN</t>
        </is>
      </c>
      <c r="G1176" t="inlineStr">
        <is>
          <t>HUDIKSVALL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28315-2026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46196</v>
      </c>
      <c r="E1177" s="1" t="n">
        <v>46303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10235-2026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46076</v>
      </c>
      <c r="E1178" s="1" t="n">
        <v>46303</v>
      </c>
      <c r="F1178" t="inlineStr">
        <is>
          <t>GÄVLEBORGS LÄN</t>
        </is>
      </c>
      <c r="G1178" t="inlineStr">
        <is>
          <t>HUDIKSVALL</t>
        </is>
      </c>
      <c r="I1178" t="n">
        <v>7.7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10534-2026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46077</v>
      </c>
      <c r="E1179" s="1" t="n">
        <v>46303</v>
      </c>
      <c r="F1179" t="inlineStr">
        <is>
          <t>GÄVLEBORGS LÄN</t>
        </is>
      </c>
      <c r="G1179" t="inlineStr">
        <is>
          <t>HUDIKSVALL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15097-2022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44658</v>
      </c>
      <c r="E1180" s="1" t="n">
        <v>46303</v>
      </c>
      <c r="F1180" t="inlineStr">
        <is>
          <t>GÄVLEBORGS LÄN</t>
        </is>
      </c>
      <c r="G1180" t="inlineStr">
        <is>
          <t>HUDIKSVALL</t>
        </is>
      </c>
      <c r="I1180" t="n">
        <v>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20200-2023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45055</v>
      </c>
      <c r="E1181" s="1" t="n">
        <v>46303</v>
      </c>
      <c r="F1181" t="inlineStr">
        <is>
          <t>GÄVLEBORGS LÄN</t>
        </is>
      </c>
      <c r="G1181" t="inlineStr">
        <is>
          <t>HUDIKSVALL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45700-2024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45579</v>
      </c>
      <c r="E1182" s="1" t="n">
        <v>46303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4.1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59118-2022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44904</v>
      </c>
      <c r="E1183" s="1" t="n">
        <v>46303</v>
      </c>
      <c r="F1183" t="inlineStr">
        <is>
          <t>GÄVLEBORGS LÄN</t>
        </is>
      </c>
      <c r="G1183" t="inlineStr">
        <is>
          <t>HUDIKSVALL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10839-2026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46078</v>
      </c>
      <c r="E1184" s="1" t="n">
        <v>46303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5.4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60931-2023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45261</v>
      </c>
      <c r="E1185" s="1" t="n">
        <v>46303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40364-2024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45555</v>
      </c>
      <c r="E1186" s="1" t="n">
        <v>46303</v>
      </c>
      <c r="F1186" t="inlineStr">
        <is>
          <t>GÄVLEBORGS LÄN</t>
        </is>
      </c>
      <c r="G1186" t="inlineStr">
        <is>
          <t>HUDIKSVALL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3328-2026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46041</v>
      </c>
      <c r="E1187" s="1" t="n">
        <v>46303</v>
      </c>
      <c r="F1187" t="inlineStr">
        <is>
          <t>GÄVLEBORGS LÄN</t>
        </is>
      </c>
      <c r="G1187" t="inlineStr">
        <is>
          <t>HUDIKSVALL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15859-2023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45022</v>
      </c>
      <c r="E1188" s="1" t="n">
        <v>46303</v>
      </c>
      <c r="F1188" t="inlineStr">
        <is>
          <t>GÄVLEBORGS LÄN</t>
        </is>
      </c>
      <c r="G1188" t="inlineStr">
        <is>
          <t>HUDIKSVALL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10375-2023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44987</v>
      </c>
      <c r="E1189" s="1" t="n">
        <v>46303</v>
      </c>
      <c r="F1189" t="inlineStr">
        <is>
          <t>GÄVLEBORGS LÄN</t>
        </is>
      </c>
      <c r="G1189" t="inlineStr">
        <is>
          <t>HUDIKSVALL</t>
        </is>
      </c>
      <c r="I1189" t="n">
        <v>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11932-2026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46085</v>
      </c>
      <c r="E1190" s="1" t="n">
        <v>46303</v>
      </c>
      <c r="F1190" t="inlineStr">
        <is>
          <t>GÄVLEBORGS LÄN</t>
        </is>
      </c>
      <c r="G1190" t="inlineStr">
        <is>
          <t>HUDIKSVALL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11605-2026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46084</v>
      </c>
      <c r="E1191" s="1" t="n">
        <v>46303</v>
      </c>
      <c r="F1191" t="inlineStr">
        <is>
          <t>GÄVLEBORGS LÄN</t>
        </is>
      </c>
      <c r="G1191" t="inlineStr">
        <is>
          <t>HUDIKSVALL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21229-2025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45779</v>
      </c>
      <c r="E1192" s="1" t="n">
        <v>46303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38.1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11778-2026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46084</v>
      </c>
      <c r="E1193" s="1" t="n">
        <v>46303</v>
      </c>
      <c r="F1193" t="inlineStr">
        <is>
          <t>GÄVLEBORGS LÄN</t>
        </is>
      </c>
      <c r="G1193" t="inlineStr">
        <is>
          <t>HUDIKSVALL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16995-2024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45412</v>
      </c>
      <c r="E1194" s="1" t="n">
        <v>46303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28.6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28680-2026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46198</v>
      </c>
      <c r="E1195" s="1" t="n">
        <v>46303</v>
      </c>
      <c r="F1195" t="inlineStr">
        <is>
          <t>GÄVLEBORGS LÄN</t>
        </is>
      </c>
      <c r="G1195" t="inlineStr">
        <is>
          <t>HUDIKSVALL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12127-2026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46086</v>
      </c>
      <c r="E1196" s="1" t="n">
        <v>46303</v>
      </c>
      <c r="F1196" t="inlineStr">
        <is>
          <t>GÄVLEBORGS LÄN</t>
        </is>
      </c>
      <c r="G1196" t="inlineStr">
        <is>
          <t>HUDIKSVALL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12252-2026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46087</v>
      </c>
      <c r="E1197" s="1" t="n">
        <v>46303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12024-2026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46085</v>
      </c>
      <c r="E1198" s="1" t="n">
        <v>46303</v>
      </c>
      <c r="F1198" t="inlineStr">
        <is>
          <t>GÄVLEBORGS LÄN</t>
        </is>
      </c>
      <c r="G1198" t="inlineStr">
        <is>
          <t>HUDIKSVALL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28798-2026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46198</v>
      </c>
      <c r="E1199" s="1" t="n">
        <v>46303</v>
      </c>
      <c r="F1199" t="inlineStr">
        <is>
          <t>GÄVLEBORGS LÄN</t>
        </is>
      </c>
      <c r="G1199" t="inlineStr">
        <is>
          <t>HUDIKSVALL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12350-2026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46087</v>
      </c>
      <c r="E1200" s="1" t="n">
        <v>46303</v>
      </c>
      <c r="F1200" t="inlineStr">
        <is>
          <t>GÄVLEBORGS LÄN</t>
        </is>
      </c>
      <c r="G1200" t="inlineStr">
        <is>
          <t>HUDIKSVALL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29341-2026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46202</v>
      </c>
      <c r="E1201" s="1" t="n">
        <v>46303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29344-2026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46202</v>
      </c>
      <c r="E1202" s="1" t="n">
        <v>46303</v>
      </c>
      <c r="F1202" t="inlineStr">
        <is>
          <t>GÄVLEBORGS LÄN</t>
        </is>
      </c>
      <c r="G1202" t="inlineStr">
        <is>
          <t>HUDIKSVALL</t>
        </is>
      </c>
      <c r="I1202" t="n">
        <v>3.2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12421-2026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46090</v>
      </c>
      <c r="E1203" s="1" t="n">
        <v>46303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12480-2026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46090</v>
      </c>
      <c r="E1204" s="1" t="n">
        <v>46303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1776-2026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46034</v>
      </c>
      <c r="E1205" s="1" t="n">
        <v>46303</v>
      </c>
      <c r="F1205" t="inlineStr">
        <is>
          <t>GÄVLEBORGS LÄN</t>
        </is>
      </c>
      <c r="G1205" t="inlineStr">
        <is>
          <t>HUDIKSVALL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12538-2026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46090</v>
      </c>
      <c r="E1206" s="1" t="n">
        <v>46303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12513-2026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46090</v>
      </c>
      <c r="E1207" s="1" t="n">
        <v>46303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12556-2026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46090</v>
      </c>
      <c r="E1208" s="1" t="n">
        <v>46303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Kyrkan</t>
        </is>
      </c>
      <c r="I1208" t="n">
        <v>6.2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12543-2026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46090</v>
      </c>
      <c r="E1209" s="1" t="n">
        <v>46303</v>
      </c>
      <c r="F1209" t="inlineStr">
        <is>
          <t>GÄVLEBORGS LÄN</t>
        </is>
      </c>
      <c r="G1209" t="inlineStr">
        <is>
          <t>HUDIKSVALL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24092-2023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45079</v>
      </c>
      <c r="E1210" s="1" t="n">
        <v>46303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17164-2023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45034</v>
      </c>
      <c r="E1211" s="1" t="n">
        <v>46303</v>
      </c>
      <c r="F1211" t="inlineStr">
        <is>
          <t>GÄVLEBORGS LÄN</t>
        </is>
      </c>
      <c r="G1211" t="inlineStr">
        <is>
          <t>HUDIKSVALL</t>
        </is>
      </c>
      <c r="I1211" t="n">
        <v>2.8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29808-2026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46205</v>
      </c>
      <c r="E1212" s="1" t="n">
        <v>46303</v>
      </c>
      <c r="F1212" t="inlineStr">
        <is>
          <t>GÄVLEBORGS LÄN</t>
        </is>
      </c>
      <c r="G1212" t="inlineStr">
        <is>
          <t>HUDIKSVALL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29801-2026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46205</v>
      </c>
      <c r="E1213" s="1" t="n">
        <v>46303</v>
      </c>
      <c r="F1213" t="inlineStr">
        <is>
          <t>GÄVLEBORGS LÄN</t>
        </is>
      </c>
      <c r="G1213" t="inlineStr">
        <is>
          <t>HUDIKSVALL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57199-2022</t>
        </is>
      </c>
      <c r="B1214" t="inlineStr">
        <is>
          <t>avverkningsanmälan</t>
        </is>
      </c>
      <c r="C1214" t="inlineStr">
        <is>
          <t>Avverkning för annat ändamål</t>
        </is>
      </c>
      <c r="D1214" s="1" t="n">
        <v>44895</v>
      </c>
      <c r="E1214" s="1" t="n">
        <v>46303</v>
      </c>
      <c r="F1214" t="inlineStr">
        <is>
          <t>GÄVLEBORGS LÄN</t>
        </is>
      </c>
      <c r="G1214" t="inlineStr">
        <is>
          <t>HUDIKSVALL</t>
        </is>
      </c>
      <c r="I1214" t="n">
        <v>7.2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12634-2026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46091</v>
      </c>
      <c r="E1215" s="1" t="n">
        <v>46303</v>
      </c>
      <c r="F1215" t="inlineStr">
        <is>
          <t>GÄVLEBORGS LÄN</t>
        </is>
      </c>
      <c r="G1215" t="inlineStr">
        <is>
          <t>HUDIKSVALL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5191-2025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45691</v>
      </c>
      <c r="E1216" s="1" t="n">
        <v>46303</v>
      </c>
      <c r="F1216" t="inlineStr">
        <is>
          <t>GÄVLEBORGS LÄN</t>
        </is>
      </c>
      <c r="G1216" t="inlineStr">
        <is>
          <t>HUDIKSVALL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11759-2022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44634</v>
      </c>
      <c r="E1217" s="1" t="n">
        <v>46303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12729-2026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46091</v>
      </c>
      <c r="E1218" s="1" t="n">
        <v>46303</v>
      </c>
      <c r="F1218" t="inlineStr">
        <is>
          <t>GÄVLEBORGS LÄN</t>
        </is>
      </c>
      <c r="G1218" t="inlineStr">
        <is>
          <t>HUDIKSVALL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4154-2026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46044</v>
      </c>
      <c r="E1219" s="1" t="n">
        <v>46303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12541-2026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46090</v>
      </c>
      <c r="E1220" s="1" t="n">
        <v>46303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Kyrkan</t>
        </is>
      </c>
      <c r="I1220" t="n">
        <v>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9309-2022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44616</v>
      </c>
      <c r="E1221" s="1" t="n">
        <v>46303</v>
      </c>
      <c r="F1221" t="inlineStr">
        <is>
          <t>GÄVLEBORGS LÄN</t>
        </is>
      </c>
      <c r="G1221" t="inlineStr">
        <is>
          <t>HUDIKSVALL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54676-2024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45618</v>
      </c>
      <c r="E1222" s="1" t="n">
        <v>46303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34363-2022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44792</v>
      </c>
      <c r="E1223" s="1" t="n">
        <v>46303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29554-2026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46204</v>
      </c>
      <c r="E1224" s="1" t="n">
        <v>46303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9.800000000000001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28367-2024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45477</v>
      </c>
      <c r="E1225" s="1" t="n">
        <v>46303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8754-2023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44978</v>
      </c>
      <c r="E1226" s="1" t="n">
        <v>46303</v>
      </c>
      <c r="F1226" t="inlineStr">
        <is>
          <t>GÄVLEBORGS LÄN</t>
        </is>
      </c>
      <c r="G1226" t="inlineStr">
        <is>
          <t>HUDIKSVALL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12894-2026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46092</v>
      </c>
      <c r="E1227" s="1" t="n">
        <v>46303</v>
      </c>
      <c r="F1227" t="inlineStr">
        <is>
          <t>GÄVLEBORGS LÄN</t>
        </is>
      </c>
      <c r="G1227" t="inlineStr">
        <is>
          <t>HUDIKSVALL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27475-2023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45097</v>
      </c>
      <c r="E1228" s="1" t="n">
        <v>46303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14.6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13168-2026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46093</v>
      </c>
      <c r="E1229" s="1" t="n">
        <v>46303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Sveaskog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13170-2026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46093</v>
      </c>
      <c r="E1230" s="1" t="n">
        <v>46303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Sveaskog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13156-2026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46093</v>
      </c>
      <c r="E1231" s="1" t="n">
        <v>46303</v>
      </c>
      <c r="F1231" t="inlineStr">
        <is>
          <t>GÄVLEBORGS LÄN</t>
        </is>
      </c>
      <c r="G1231" t="inlineStr">
        <is>
          <t>HUDIKSVALL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13445-2026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46094</v>
      </c>
      <c r="E1232" s="1" t="n">
        <v>46303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13451-2026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46094</v>
      </c>
      <c r="E1233" s="1" t="n">
        <v>46303</v>
      </c>
      <c r="F1233" t="inlineStr">
        <is>
          <t>GÄVLEBORGS LÄN</t>
        </is>
      </c>
      <c r="G1233" t="inlineStr">
        <is>
          <t>HUDIKSVALL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13453-2026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46094</v>
      </c>
      <c r="E1234" s="1" t="n">
        <v>46303</v>
      </c>
      <c r="F1234" t="inlineStr">
        <is>
          <t>GÄVLEBORGS LÄN</t>
        </is>
      </c>
      <c r="G1234" t="inlineStr">
        <is>
          <t>HUDIKSVALL</t>
        </is>
      </c>
      <c r="I1234" t="n">
        <v>0.3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13315-2026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46303</v>
      </c>
      <c r="F1235" t="inlineStr">
        <is>
          <t>GÄVLEBORGS LÄN</t>
        </is>
      </c>
      <c r="G1235" t="inlineStr">
        <is>
          <t>HUDIKSVALL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13458-2026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46094</v>
      </c>
      <c r="E1236" s="1" t="n">
        <v>46303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7.9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29790-2026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46205</v>
      </c>
      <c r="E1237" s="1" t="n">
        <v>46303</v>
      </c>
      <c r="F1237" t="inlineStr">
        <is>
          <t>GÄVLEBORGS LÄN</t>
        </is>
      </c>
      <c r="G1237" t="inlineStr">
        <is>
          <t>HUDIKSVALL</t>
        </is>
      </c>
      <c r="I1237" t="n">
        <v>6.2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29574-2026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46204</v>
      </c>
      <c r="E1238" s="1" t="n">
        <v>46303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6.5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29797-2026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46205</v>
      </c>
      <c r="E1239" s="1" t="n">
        <v>46303</v>
      </c>
      <c r="F1239" t="inlineStr">
        <is>
          <t>GÄVLEBORGS LÄN</t>
        </is>
      </c>
      <c r="G1239" t="inlineStr">
        <is>
          <t>HUDIKSVALL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53967-2025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45961</v>
      </c>
      <c r="E1240" s="1" t="n">
        <v>46303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Naturvårdsverket</t>
        </is>
      </c>
      <c r="I1240" t="n">
        <v>10.9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13981-2026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46098</v>
      </c>
      <c r="E1241" s="1" t="n">
        <v>46303</v>
      </c>
      <c r="F1241" t="inlineStr">
        <is>
          <t>GÄVLEBORGS LÄN</t>
        </is>
      </c>
      <c r="G1241" t="inlineStr">
        <is>
          <t>HUDIKSVALL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53966-2025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45961</v>
      </c>
      <c r="E1242" s="1" t="n">
        <v>46303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Naturvårdsverket</t>
        </is>
      </c>
      <c r="I1242" t="n">
        <v>17.5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13980-2026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46303</v>
      </c>
      <c r="F1243" t="inlineStr">
        <is>
          <t>GÄVLEBORGS LÄN</t>
        </is>
      </c>
      <c r="G1243" t="inlineStr">
        <is>
          <t>HUDIKSVALL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13959-2026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46098</v>
      </c>
      <c r="E1244" s="1" t="n">
        <v>46303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14158-2026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46303</v>
      </c>
      <c r="F1245" t="inlineStr">
        <is>
          <t>GÄVLEBORGS LÄN</t>
        </is>
      </c>
      <c r="G1245" t="inlineStr">
        <is>
          <t>HUDIKSVALL</t>
        </is>
      </c>
      <c r="I1245" t="n">
        <v>5.2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14593-2026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46101</v>
      </c>
      <c r="E1246" s="1" t="n">
        <v>46303</v>
      </c>
      <c r="F1246" t="inlineStr">
        <is>
          <t>GÄVLEBORGS LÄN</t>
        </is>
      </c>
      <c r="G1246" t="inlineStr">
        <is>
          <t>HUDIKSVALL</t>
        </is>
      </c>
      <c r="I1246" t="n">
        <v>3.4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2688-2025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45677</v>
      </c>
      <c r="E1247" s="1" t="n">
        <v>46303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7.4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30348-2026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46209</v>
      </c>
      <c r="E1248" s="1" t="n">
        <v>46303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30351-2026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46209</v>
      </c>
      <c r="E1249" s="1" t="n">
        <v>46303</v>
      </c>
      <c r="F1249" t="inlineStr">
        <is>
          <t>GÄVLEBORGS LÄN</t>
        </is>
      </c>
      <c r="G1249" t="inlineStr">
        <is>
          <t>HUDIKSVALL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14460-2026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46100</v>
      </c>
      <c r="E1250" s="1" t="n">
        <v>46303</v>
      </c>
      <c r="F1250" t="inlineStr">
        <is>
          <t>GÄVLEBORGS LÄN</t>
        </is>
      </c>
      <c r="G1250" t="inlineStr">
        <is>
          <t>HUDIKSVALL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14351-2026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46100</v>
      </c>
      <c r="E1251" s="1" t="n">
        <v>46303</v>
      </c>
      <c r="F1251" t="inlineStr">
        <is>
          <t>GÄVLEBORGS LÄN</t>
        </is>
      </c>
      <c r="G1251" t="inlineStr">
        <is>
          <t>HUDIKSVALL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5195-2025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45691</v>
      </c>
      <c r="E1252" s="1" t="n">
        <v>46303</v>
      </c>
      <c r="F1252" t="inlineStr">
        <is>
          <t>GÄVLEBORGS LÄN</t>
        </is>
      </c>
      <c r="G1252" t="inlineStr">
        <is>
          <t>HUDIKSVALL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55741-2023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45239</v>
      </c>
      <c r="E1253" s="1" t="n">
        <v>46303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14685-2026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46101</v>
      </c>
      <c r="E1254" s="1" t="n">
        <v>46303</v>
      </c>
      <c r="F1254" t="inlineStr">
        <is>
          <t>GÄVLEBORGS LÄN</t>
        </is>
      </c>
      <c r="G1254" t="inlineStr">
        <is>
          <t>HUDIKSVALL</t>
        </is>
      </c>
      <c r="I1254" t="n">
        <v>7.1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7662-2023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44972</v>
      </c>
      <c r="E1255" s="1" t="n">
        <v>46303</v>
      </c>
      <c r="F1255" t="inlineStr">
        <is>
          <t>GÄVLEBORGS LÄN</t>
        </is>
      </c>
      <c r="G1255" t="inlineStr">
        <is>
          <t>HUDIKSVALL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19641-2023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45051</v>
      </c>
      <c r="E1256" s="1" t="n">
        <v>46303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6.2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30349-2026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46209</v>
      </c>
      <c r="E1257" s="1" t="n">
        <v>46303</v>
      </c>
      <c r="F1257" t="inlineStr">
        <is>
          <t>GÄVLEBORGS LÄN</t>
        </is>
      </c>
      <c r="G1257" t="inlineStr">
        <is>
          <t>HUDIKSVALL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14803-2026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46103</v>
      </c>
      <c r="E1258" s="1" t="n">
        <v>46303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6331-2025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45698</v>
      </c>
      <c r="E1259" s="1" t="n">
        <v>46303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21.6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7485-2025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45705</v>
      </c>
      <c r="E1260" s="1" t="n">
        <v>46303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9.199999999999999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9852-2026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46303</v>
      </c>
      <c r="F1261" t="inlineStr">
        <is>
          <t>GÄVLEBORGS LÄN</t>
        </is>
      </c>
      <c r="G1261" t="inlineStr">
        <is>
          <t>HUDIKSVALL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60917-2023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45261</v>
      </c>
      <c r="E1262" s="1" t="n">
        <v>46303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3.4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14805-2026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46103</v>
      </c>
      <c r="E1263" s="1" t="n">
        <v>46303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43644-2024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45569</v>
      </c>
      <c r="E1264" s="1" t="n">
        <v>46303</v>
      </c>
      <c r="F1264" t="inlineStr">
        <is>
          <t>GÄVLEBORGS LÄN</t>
        </is>
      </c>
      <c r="G1264" t="inlineStr">
        <is>
          <t>HUDIKSVALL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14804-2026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46103</v>
      </c>
      <c r="E1265" s="1" t="n">
        <v>46303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8.199999999999999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68662-2021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44529</v>
      </c>
      <c r="E1266" s="1" t="n">
        <v>46303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30345-2026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46209</v>
      </c>
      <c r="E1267" s="1" t="n">
        <v>46303</v>
      </c>
      <c r="F1267" t="inlineStr">
        <is>
          <t>GÄVLEBORGS LÄN</t>
        </is>
      </c>
      <c r="G1267" t="inlineStr">
        <is>
          <t>HUDIKSVALL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15473-2026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46106</v>
      </c>
      <c r="E1268" s="1" t="n">
        <v>46303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15949-2026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46107</v>
      </c>
      <c r="E1269" s="1" t="n">
        <v>46303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4.4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15719-2026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46107</v>
      </c>
      <c r="E1270" s="1" t="n">
        <v>46303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36.9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15952-2026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46107</v>
      </c>
      <c r="E1271" s="1" t="n">
        <v>46303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13806-2024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45391</v>
      </c>
      <c r="E1272" s="1" t="n">
        <v>46303</v>
      </c>
      <c r="F1272" t="inlineStr">
        <is>
          <t>GÄVLEBORGS LÄN</t>
        </is>
      </c>
      <c r="G1272" t="inlineStr">
        <is>
          <t>HUDIKSVALL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31876-2023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45118</v>
      </c>
      <c r="E1273" s="1" t="n">
        <v>46303</v>
      </c>
      <c r="F1273" t="inlineStr">
        <is>
          <t>GÄVLEBORGS LÄN</t>
        </is>
      </c>
      <c r="G1273" t="inlineStr">
        <is>
          <t>HUDIKSVALL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9135-2023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44980</v>
      </c>
      <c r="E1274" s="1" t="n">
        <v>46303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9172-2023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44980</v>
      </c>
      <c r="E1275" s="1" t="n">
        <v>46303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34664-2022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44795</v>
      </c>
      <c r="E1276" s="1" t="n">
        <v>46303</v>
      </c>
      <c r="F1276" t="inlineStr">
        <is>
          <t>GÄVLEBORGS LÄN</t>
        </is>
      </c>
      <c r="G1276" t="inlineStr">
        <is>
          <t>HUDIKSVALL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16221-2026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46111</v>
      </c>
      <c r="E1277" s="1" t="n">
        <v>46303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Naturvårdsverket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33959-2023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45124</v>
      </c>
      <c r="E1278" s="1" t="n">
        <v>46303</v>
      </c>
      <c r="F1278" t="inlineStr">
        <is>
          <t>GÄVLEBORGS LÄN</t>
        </is>
      </c>
      <c r="G1278" t="inlineStr">
        <is>
          <t>HUDIKSVALL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44929</v>
      </c>
      <c r="E1279" s="1" t="n">
        <v>46303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51241-2023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45219</v>
      </c>
      <c r="E1280" s="1" t="n">
        <v>46303</v>
      </c>
      <c r="F1280" t="inlineStr">
        <is>
          <t>GÄVLEBORGS LÄN</t>
        </is>
      </c>
      <c r="G1280" t="inlineStr">
        <is>
          <t>HUDIKSVALL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16848-2026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46113</v>
      </c>
      <c r="E1281" s="1" t="n">
        <v>46303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16722-2026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46113</v>
      </c>
      <c r="E1282" s="1" t="n">
        <v>46303</v>
      </c>
      <c r="F1282" t="inlineStr">
        <is>
          <t>GÄVLEBORGS LÄN</t>
        </is>
      </c>
      <c r="G1282" t="inlineStr">
        <is>
          <t>HUDIKSVALL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16683-2026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46112</v>
      </c>
      <c r="E1283" s="1" t="n">
        <v>46303</v>
      </c>
      <c r="F1283" t="inlineStr">
        <is>
          <t>GÄVLEBORGS LÄN</t>
        </is>
      </c>
      <c r="G1283" t="inlineStr">
        <is>
          <t>HUDIKSVALL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4619-2024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45328</v>
      </c>
      <c r="E1284" s="1" t="n">
        <v>46303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16842-2026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46113</v>
      </c>
      <c r="E1285" s="1" t="n">
        <v>46303</v>
      </c>
      <c r="F1285" t="inlineStr">
        <is>
          <t>GÄVLEBORGS LÄN</t>
        </is>
      </c>
      <c r="G1285" t="inlineStr">
        <is>
          <t>HUDIKSVALL</t>
        </is>
      </c>
      <c r="I1285" t="n">
        <v>9.199999999999999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30519-2026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46210</v>
      </c>
      <c r="E1286" s="1" t="n">
        <v>46303</v>
      </c>
      <c r="F1286" t="inlineStr">
        <is>
          <t>GÄVLEBORGS LÄN</t>
        </is>
      </c>
      <c r="G1286" t="inlineStr">
        <is>
          <t>HUDIKSVALL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29904-2024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45487</v>
      </c>
      <c r="E1287" s="1" t="n">
        <v>46303</v>
      </c>
      <c r="F1287" t="inlineStr">
        <is>
          <t>GÄVLEBORGS LÄN</t>
        </is>
      </c>
      <c r="G1287" t="inlineStr">
        <is>
          <t>HUDIKSVALL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16738-2026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46113</v>
      </c>
      <c r="E1288" s="1" t="n">
        <v>46303</v>
      </c>
      <c r="F1288" t="inlineStr">
        <is>
          <t>GÄVLEBORGS LÄN</t>
        </is>
      </c>
      <c r="G1288" t="inlineStr">
        <is>
          <t>HUDIKSVALL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16741-2026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46113</v>
      </c>
      <c r="E1289" s="1" t="n">
        <v>46303</v>
      </c>
      <c r="F1289" t="inlineStr">
        <is>
          <t>GÄVLEBORGS LÄN</t>
        </is>
      </c>
      <c r="G1289" t="inlineStr">
        <is>
          <t>HUDIKSVALL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30491-2026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46210</v>
      </c>
      <c r="E1290" s="1" t="n">
        <v>46303</v>
      </c>
      <c r="F1290" t="inlineStr">
        <is>
          <t>GÄVLEBORGS LÄN</t>
        </is>
      </c>
      <c r="G1290" t="inlineStr">
        <is>
          <t>HUDIKSVALL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8441-2023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44977</v>
      </c>
      <c r="E1291" s="1" t="n">
        <v>46303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59522-2022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44907</v>
      </c>
      <c r="E1292" s="1" t="n">
        <v>46303</v>
      </c>
      <c r="F1292" t="inlineStr">
        <is>
          <t>GÄVLEBORGS LÄN</t>
        </is>
      </c>
      <c r="G1292" t="inlineStr">
        <is>
          <t>HUDIKSVALL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8752-2023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44978</v>
      </c>
      <c r="E1293" s="1" t="n">
        <v>46303</v>
      </c>
      <c r="F1293" t="inlineStr">
        <is>
          <t>GÄVLEBORGS LÄN</t>
        </is>
      </c>
      <c r="G1293" t="inlineStr">
        <is>
          <t>HUDIKSVALL</t>
        </is>
      </c>
      <c r="I1293" t="n">
        <v>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59822-2024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45639</v>
      </c>
      <c r="E1294" s="1" t="n">
        <v>46303</v>
      </c>
      <c r="F1294" t="inlineStr">
        <is>
          <t>GÄVLEBORGS LÄN</t>
        </is>
      </c>
      <c r="G1294" t="inlineStr">
        <is>
          <t>HUDIKSVALL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11668-2024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45373</v>
      </c>
      <c r="E1295" s="1" t="n">
        <v>46303</v>
      </c>
      <c r="F1295" t="inlineStr">
        <is>
          <t>GÄVLEBORGS LÄN</t>
        </is>
      </c>
      <c r="G1295" t="inlineStr">
        <is>
          <t>HUDIKSVALL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43665-2024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45569</v>
      </c>
      <c r="E1296" s="1" t="n">
        <v>46303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Kommuner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63045-2023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45272</v>
      </c>
      <c r="E1297" s="1" t="n">
        <v>46303</v>
      </c>
      <c r="F1297" t="inlineStr">
        <is>
          <t>GÄVLEBORGS LÄN</t>
        </is>
      </c>
      <c r="G1297" t="inlineStr">
        <is>
          <t>HUDIKSVALL</t>
        </is>
      </c>
      <c r="I1297" t="n">
        <v>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19484-2023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45050</v>
      </c>
      <c r="E1298" s="1" t="n">
        <v>46303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32632-2024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45513</v>
      </c>
      <c r="E1299" s="1" t="n">
        <v>46303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6.6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16968-2026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46114</v>
      </c>
      <c r="E1300" s="1" t="n">
        <v>46303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16972-2026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46114</v>
      </c>
      <c r="E1301" s="1" t="n">
        <v>46303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32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7593-2023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44972</v>
      </c>
      <c r="E1302" s="1" t="n">
        <v>46303</v>
      </c>
      <c r="F1302" t="inlineStr">
        <is>
          <t>GÄVLEBORGS LÄN</t>
        </is>
      </c>
      <c r="G1302" t="inlineStr">
        <is>
          <t>HUDIKSVALL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67088-2021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44522</v>
      </c>
      <c r="E1303" s="1" t="n">
        <v>46303</v>
      </c>
      <c r="F1303" t="inlineStr">
        <is>
          <t>GÄVLEBORGS LÄN</t>
        </is>
      </c>
      <c r="G1303" t="inlineStr">
        <is>
          <t>HUDIKSVALL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59759-2022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44908</v>
      </c>
      <c r="E1304" s="1" t="n">
        <v>46303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41747-2023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45176</v>
      </c>
      <c r="E1305" s="1" t="n">
        <v>46303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17528-2026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46120</v>
      </c>
      <c r="E1306" s="1" t="n">
        <v>46303</v>
      </c>
      <c r="F1306" t="inlineStr">
        <is>
          <t>GÄVLEBORGS LÄN</t>
        </is>
      </c>
      <c r="G1306" t="inlineStr">
        <is>
          <t>HUDIKSVALL</t>
        </is>
      </c>
      <c r="I1306" t="n">
        <v>2.5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17440-2026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46120</v>
      </c>
      <c r="E1307" s="1" t="n">
        <v>46303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Kommuner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20711-2023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45058</v>
      </c>
      <c r="E1308" s="1" t="n">
        <v>46303</v>
      </c>
      <c r="F1308" t="inlineStr">
        <is>
          <t>GÄVLEBORGS LÄN</t>
        </is>
      </c>
      <c r="G1308" t="inlineStr">
        <is>
          <t>HUDIKSVALL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17662-2026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46121</v>
      </c>
      <c r="E1309" s="1" t="n">
        <v>46303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19724-2024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45432</v>
      </c>
      <c r="E1310" s="1" t="n">
        <v>46303</v>
      </c>
      <c r="F1310" t="inlineStr">
        <is>
          <t>GÄVLEBORGS LÄN</t>
        </is>
      </c>
      <c r="G1310" t="inlineStr">
        <is>
          <t>HUDIKSVALL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16736-2025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45754</v>
      </c>
      <c r="E1311" s="1" t="n">
        <v>46303</v>
      </c>
      <c r="F1311" t="inlineStr">
        <is>
          <t>GÄVLEBORGS LÄN</t>
        </is>
      </c>
      <c r="G1311" t="inlineStr">
        <is>
          <t>HUDIKSVALL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17566-2026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46121</v>
      </c>
      <c r="E1312" s="1" t="n">
        <v>46303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Naturvårdsverket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24033-2024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45456</v>
      </c>
      <c r="E1313" s="1" t="n">
        <v>46303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22.8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17800-2026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46122</v>
      </c>
      <c r="E1314" s="1" t="n">
        <v>46303</v>
      </c>
      <c r="F1314" t="inlineStr">
        <is>
          <t>GÄVLEBORGS LÄN</t>
        </is>
      </c>
      <c r="G1314" t="inlineStr">
        <is>
          <t>HUDIKSVALL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18100-2026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46125</v>
      </c>
      <c r="E1315" s="1" t="n">
        <v>46303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24240-2025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45797</v>
      </c>
      <c r="E1316" s="1" t="n">
        <v>46303</v>
      </c>
      <c r="F1316" t="inlineStr">
        <is>
          <t>GÄVLEBORGS LÄN</t>
        </is>
      </c>
      <c r="G1316" t="inlineStr">
        <is>
          <t>HUDIKSVALL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24239-2025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45797</v>
      </c>
      <c r="E1317" s="1" t="n">
        <v>46303</v>
      </c>
      <c r="F1317" t="inlineStr">
        <is>
          <t>GÄVLEBORGS LÄN</t>
        </is>
      </c>
      <c r="G1317" t="inlineStr">
        <is>
          <t>HUDIKSVALL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17921-2026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46122</v>
      </c>
      <c r="E1318" s="1" t="n">
        <v>46303</v>
      </c>
      <c r="F1318" t="inlineStr">
        <is>
          <t>GÄVLEBORGS LÄN</t>
        </is>
      </c>
      <c r="G1318" t="inlineStr">
        <is>
          <t>HUDIKSVALL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14955-2023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45015</v>
      </c>
      <c r="E1319" s="1" t="n">
        <v>46303</v>
      </c>
      <c r="F1319" t="inlineStr">
        <is>
          <t>GÄVLEBORGS LÄN</t>
        </is>
      </c>
      <c r="G1319" t="inlineStr">
        <is>
          <t>HUDIKSVALL</t>
        </is>
      </c>
      <c r="I1319" t="n">
        <v>9.699999999999999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18154-2026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46125</v>
      </c>
      <c r="E1320" s="1" t="n">
        <v>46303</v>
      </c>
      <c r="F1320" t="inlineStr">
        <is>
          <t>GÄVLEBORGS LÄN</t>
        </is>
      </c>
      <c r="G1320" t="inlineStr">
        <is>
          <t>HUDIKSVALL</t>
        </is>
      </c>
      <c r="I1320" t="n">
        <v>6.1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26547-2024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45469</v>
      </c>
      <c r="E1321" s="1" t="n">
        <v>46303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18587-2026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46127</v>
      </c>
      <c r="E1322" s="1" t="n">
        <v>46303</v>
      </c>
      <c r="F1322" t="inlineStr">
        <is>
          <t>GÄVLEBORGS LÄN</t>
        </is>
      </c>
      <c r="G1322" t="inlineStr">
        <is>
          <t>HUDIKSVALL</t>
        </is>
      </c>
      <c r="I1322" t="n">
        <v>4.1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18387-2026</t>
        </is>
      </c>
      <c r="B1323" t="inlineStr">
        <is>
          <t>avverkningsanmälan</t>
        </is>
      </c>
      <c r="C1323" t="inlineStr">
        <is>
          <t>Avverkning för att bevara och utveckla /försöksver</t>
        </is>
      </c>
      <c r="D1323" s="1" t="n">
        <v>46126</v>
      </c>
      <c r="E1323" s="1" t="n">
        <v>46303</v>
      </c>
      <c r="F1323" t="inlineStr">
        <is>
          <t>GÄVLEBORGS LÄN</t>
        </is>
      </c>
      <c r="G1323" t="inlineStr">
        <is>
          <t>HUDIKSVALL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18582-2026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46127</v>
      </c>
      <c r="E1324" s="1" t="n">
        <v>46303</v>
      </c>
      <c r="F1324" t="inlineStr">
        <is>
          <t>GÄVLEBORGS LÄN</t>
        </is>
      </c>
      <c r="G1324" t="inlineStr">
        <is>
          <t>HUDIKSVALL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33704-2023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45132</v>
      </c>
      <c r="E1325" s="1" t="n">
        <v>46303</v>
      </c>
      <c r="F1325" t="inlineStr">
        <is>
          <t>GÄVLEBORGS LÄN</t>
        </is>
      </c>
      <c r="G1325" t="inlineStr">
        <is>
          <t>HUDIKSVALL</t>
        </is>
      </c>
      <c r="I1325" t="n">
        <v>7.8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18486-2026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46127</v>
      </c>
      <c r="E1326" s="1" t="n">
        <v>46303</v>
      </c>
      <c r="F1326" t="inlineStr">
        <is>
          <t>GÄVLEBORGS LÄN</t>
        </is>
      </c>
      <c r="G1326" t="inlineStr">
        <is>
          <t>HUDIKSVALL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18257-2026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46126</v>
      </c>
      <c r="E1327" s="1" t="n">
        <v>46303</v>
      </c>
      <c r="F1327" t="inlineStr">
        <is>
          <t>GÄVLEBORGS LÄN</t>
        </is>
      </c>
      <c r="G1327" t="inlineStr">
        <is>
          <t>HUDIKSVALL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18256-2026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46126</v>
      </c>
      <c r="E1328" s="1" t="n">
        <v>46303</v>
      </c>
      <c r="F1328" t="inlineStr">
        <is>
          <t>GÄVLEBORGS LÄN</t>
        </is>
      </c>
      <c r="G1328" t="inlineStr">
        <is>
          <t>HUDIKSVALL</t>
        </is>
      </c>
      <c r="I1328" t="n">
        <v>4.1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49713-2022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44862</v>
      </c>
      <c r="E1329" s="1" t="n">
        <v>46303</v>
      </c>
      <c r="F1329" t="inlineStr">
        <is>
          <t>GÄVLEBORGS LÄN</t>
        </is>
      </c>
      <c r="G1329" t="inlineStr">
        <is>
          <t>HUDIKSVALL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18434-2026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46127</v>
      </c>
      <c r="E1330" s="1" t="n">
        <v>46303</v>
      </c>
      <c r="F1330" t="inlineStr">
        <is>
          <t>GÄVLEBORGS LÄN</t>
        </is>
      </c>
      <c r="G1330" t="inlineStr">
        <is>
          <t>HUDIKSVALL</t>
        </is>
      </c>
      <c r="I1330" t="n">
        <v>5.3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13484-2023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45005</v>
      </c>
      <c r="E1331" s="1" t="n">
        <v>46303</v>
      </c>
      <c r="F1331" t="inlineStr">
        <is>
          <t>GÄVLEBORGS LÄN</t>
        </is>
      </c>
      <c r="G1331" t="inlineStr">
        <is>
          <t>HUDIKSVALL</t>
        </is>
      </c>
      <c r="I1331" t="n">
        <v>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61785-2024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45649</v>
      </c>
      <c r="E1332" s="1" t="n">
        <v>46303</v>
      </c>
      <c r="F1332" t="inlineStr">
        <is>
          <t>GÄVLEBORGS LÄN</t>
        </is>
      </c>
      <c r="G1332" t="inlineStr">
        <is>
          <t>HUDIKSVALL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61792-2024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45649</v>
      </c>
      <c r="E1333" s="1" t="n">
        <v>46303</v>
      </c>
      <c r="F1333" t="inlineStr">
        <is>
          <t>GÄVLEBORGS LÄN</t>
        </is>
      </c>
      <c r="G1333" t="inlineStr">
        <is>
          <t>HUDIKSVALL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15233-2023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45019</v>
      </c>
      <c r="E1334" s="1" t="n">
        <v>46303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4.8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14108-2026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46099</v>
      </c>
      <c r="E1335" s="1" t="n">
        <v>46303</v>
      </c>
      <c r="F1335" t="inlineStr">
        <is>
          <t>GÄVLEBORGS LÄN</t>
        </is>
      </c>
      <c r="G1335" t="inlineStr">
        <is>
          <t>HUDIKSVALL</t>
        </is>
      </c>
      <c r="I1335" t="n">
        <v>5.5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34982-2024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45527</v>
      </c>
      <c r="E1336" s="1" t="n">
        <v>46303</v>
      </c>
      <c r="F1336" t="inlineStr">
        <is>
          <t>GÄVLEBORGS LÄN</t>
        </is>
      </c>
      <c r="G1336" t="inlineStr">
        <is>
          <t>HUDIKSVALL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55460-2024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45622</v>
      </c>
      <c r="E1337" s="1" t="n">
        <v>46303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47149-2024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45586</v>
      </c>
      <c r="E1338" s="1" t="n">
        <v>46303</v>
      </c>
      <c r="F1338" t="inlineStr">
        <is>
          <t>GÄVLEBORGS LÄN</t>
        </is>
      </c>
      <c r="G1338" t="inlineStr">
        <is>
          <t>HUDIKSVALL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35170-2026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46260</v>
      </c>
      <c r="E1339" s="1" t="n">
        <v>46303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Kommuner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24372-2023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45082</v>
      </c>
      <c r="E1340" s="1" t="n">
        <v>46303</v>
      </c>
      <c r="F1340" t="inlineStr">
        <is>
          <t>GÄVLEBORGS LÄN</t>
        </is>
      </c>
      <c r="G1340" t="inlineStr">
        <is>
          <t>HUDIKSVALL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5622-2025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45693</v>
      </c>
      <c r="E1341" s="1" t="n">
        <v>46303</v>
      </c>
      <c r="F1341" t="inlineStr">
        <is>
          <t>GÄVLEBORGS LÄN</t>
        </is>
      </c>
      <c r="G1341" t="inlineStr">
        <is>
          <t>HUDIKSVALL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21251-2023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45062</v>
      </c>
      <c r="E1342" s="1" t="n">
        <v>46303</v>
      </c>
      <c r="F1342" t="inlineStr">
        <is>
          <t>GÄVLEBORGS LÄN</t>
        </is>
      </c>
      <c r="G1342" t="inlineStr">
        <is>
          <t>HUDIKSVALL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45295</v>
      </c>
      <c r="E1343" s="1" t="n">
        <v>46303</v>
      </c>
      <c r="F1343" t="inlineStr">
        <is>
          <t>GÄVLEBORGS LÄN</t>
        </is>
      </c>
      <c r="G1343" t="inlineStr">
        <is>
          <t>HUDIKSVALL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48593-2024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45593</v>
      </c>
      <c r="E1344" s="1" t="n">
        <v>46303</v>
      </c>
      <c r="F1344" t="inlineStr">
        <is>
          <t>GÄVLEBORGS LÄN</t>
        </is>
      </c>
      <c r="G1344" t="inlineStr">
        <is>
          <t>HUDIKSVALL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19270-2026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46133</v>
      </c>
      <c r="E1345" s="1" t="n">
        <v>46303</v>
      </c>
      <c r="F1345" t="inlineStr">
        <is>
          <t>GÄVLEBORGS LÄN</t>
        </is>
      </c>
      <c r="G1345" t="inlineStr">
        <is>
          <t>HUDIKSVALL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19705-2026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46303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5.5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19535-2026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46303</v>
      </c>
      <c r="F1347" t="inlineStr">
        <is>
          <t>GÄVLEBORGS LÄN</t>
        </is>
      </c>
      <c r="G1347" t="inlineStr">
        <is>
          <t>HUDIKSVALL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19348-2026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46133</v>
      </c>
      <c r="E1348" s="1" t="n">
        <v>46303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Kommuner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19568-2026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46134</v>
      </c>
      <c r="E1349" s="1" t="n">
        <v>46303</v>
      </c>
      <c r="F1349" t="inlineStr">
        <is>
          <t>GÄVLEBORGS LÄN</t>
        </is>
      </c>
      <c r="G1349" t="inlineStr">
        <is>
          <t>HUDIKSVALL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16740-2026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46112</v>
      </c>
      <c r="E1350" s="1" t="n">
        <v>46303</v>
      </c>
      <c r="F1350" t="inlineStr">
        <is>
          <t>GÄVLEBORGS LÄN</t>
        </is>
      </c>
      <c r="G1350" t="inlineStr">
        <is>
          <t>HUDIKSVALL</t>
        </is>
      </c>
      <c r="I1350" t="n">
        <v>8.4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2999-2025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45678</v>
      </c>
      <c r="E1351" s="1" t="n">
        <v>46303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9804-2025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45716</v>
      </c>
      <c r="E1352" s="1" t="n">
        <v>46303</v>
      </c>
      <c r="F1352" t="inlineStr">
        <is>
          <t>GÄVLEBORGS LÄN</t>
        </is>
      </c>
      <c r="G1352" t="inlineStr">
        <is>
          <t>HUDIKSVALL</t>
        </is>
      </c>
      <c r="I1352" t="n">
        <v>2.4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6985-2025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45701</v>
      </c>
      <c r="E1353" s="1" t="n">
        <v>46303</v>
      </c>
      <c r="F1353" t="inlineStr">
        <is>
          <t>GÄVLEBORGS LÄN</t>
        </is>
      </c>
      <c r="G1353" t="inlineStr">
        <is>
          <t>HUDIKSVALL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45221-2023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45191</v>
      </c>
      <c r="E1354" s="1" t="n">
        <v>46303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19790-2026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46135</v>
      </c>
      <c r="E1355" s="1" t="n">
        <v>46303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4.1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19946-2026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46136</v>
      </c>
      <c r="E1356" s="1" t="n">
        <v>46303</v>
      </c>
      <c r="F1356" t="inlineStr">
        <is>
          <t>GÄVLEBORGS LÄN</t>
        </is>
      </c>
      <c r="G1356" t="inlineStr">
        <is>
          <t>HUDIKSVALL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19947-2026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46136</v>
      </c>
      <c r="E1357" s="1" t="n">
        <v>46303</v>
      </c>
      <c r="F1357" t="inlineStr">
        <is>
          <t>GÄVLEBORGS LÄN</t>
        </is>
      </c>
      <c r="G1357" t="inlineStr">
        <is>
          <t>HUDIKSVALL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28853-2024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45478</v>
      </c>
      <c r="E1358" s="1" t="n">
        <v>46303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4062-2025</t>
        </is>
      </c>
      <c r="B1359" t="inlineStr">
        <is>
          <t>avverkningsanmälan</t>
        </is>
      </c>
      <c r="C1359" t="inlineStr">
        <is>
          <t>Avverkning för att bevara och utveckla /försöksver</t>
        </is>
      </c>
      <c r="D1359" s="1" t="n">
        <v>45684</v>
      </c>
      <c r="E1359" s="1" t="n">
        <v>46303</v>
      </c>
      <c r="F1359" t="inlineStr">
        <is>
          <t>GÄVLEBORGS LÄN</t>
        </is>
      </c>
      <c r="G1359" t="inlineStr">
        <is>
          <t>HUDIKSVALL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45725-2023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45195</v>
      </c>
      <c r="E1360" s="1" t="n">
        <v>46303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46034</v>
      </c>
      <c r="E1361" s="1" t="n">
        <v>46303</v>
      </c>
      <c r="F1361" t="inlineStr">
        <is>
          <t>GÄVLEBORGS LÄN</t>
        </is>
      </c>
      <c r="G1361" t="inlineStr">
        <is>
          <t>HUDIKSVALL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20016-2026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46136</v>
      </c>
      <c r="E1362" s="1" t="n">
        <v>46303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25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33157-2025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45840</v>
      </c>
      <c r="E1363" s="1" t="n">
        <v>46303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5.8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35769-2026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46265</v>
      </c>
      <c r="E1364" s="1" t="n">
        <v>46303</v>
      </c>
      <c r="F1364" t="inlineStr">
        <is>
          <t>GÄVLEBORGS LÄN</t>
        </is>
      </c>
      <c r="G1364" t="inlineStr">
        <is>
          <t>HUDIKSVALL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60736-2023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45260</v>
      </c>
      <c r="E1365" s="1" t="n">
        <v>46303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21880-2023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45068</v>
      </c>
      <c r="E1366" s="1" t="n">
        <v>46303</v>
      </c>
      <c r="F1366" t="inlineStr">
        <is>
          <t>GÄVLEBORGS LÄN</t>
        </is>
      </c>
      <c r="G1366" t="inlineStr">
        <is>
          <t>HUDIKSVALL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19781-2026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46135</v>
      </c>
      <c r="E1367" s="1" t="n">
        <v>46303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2.5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32685-2025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45838</v>
      </c>
      <c r="E1368" s="1" t="n">
        <v>46303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58059-2025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45982</v>
      </c>
      <c r="E1369" s="1" t="n">
        <v>46303</v>
      </c>
      <c r="F1369" t="inlineStr">
        <is>
          <t>GÄVLEBORGS LÄN</t>
        </is>
      </c>
      <c r="G1369" t="inlineStr">
        <is>
          <t>HUDIKSVALL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35767-2026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46265</v>
      </c>
      <c r="E1370" s="1" t="n">
        <v>46303</v>
      </c>
      <c r="F1370" t="inlineStr">
        <is>
          <t>GÄVLEBORGS LÄN</t>
        </is>
      </c>
      <c r="G1370" t="inlineStr">
        <is>
          <t>HUDIKSVALL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19848-2026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46135</v>
      </c>
      <c r="E1371" s="1" t="n">
        <v>46303</v>
      </c>
      <c r="F1371" t="inlineStr">
        <is>
          <t>GÄVLEBORGS LÄN</t>
        </is>
      </c>
      <c r="G1371" t="inlineStr">
        <is>
          <t>HUDIKSVALL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50637-2025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45945</v>
      </c>
      <c r="E1372" s="1" t="n">
        <v>46303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40332-2024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45555</v>
      </c>
      <c r="E1373" s="1" t="n">
        <v>46303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Naturvårdsverket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7976-2026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46063</v>
      </c>
      <c r="E1374" s="1" t="n">
        <v>46303</v>
      </c>
      <c r="F1374" t="inlineStr">
        <is>
          <t>GÄVLEBORGS LÄN</t>
        </is>
      </c>
      <c r="G1374" t="inlineStr">
        <is>
          <t>HUDIKSVALL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7992-2024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45350</v>
      </c>
      <c r="E1375" s="1" t="n">
        <v>46303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14653-2026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46101</v>
      </c>
      <c r="E1376" s="1" t="n">
        <v>46303</v>
      </c>
      <c r="F1376" t="inlineStr">
        <is>
          <t>GÄVLEBORGS LÄN</t>
        </is>
      </c>
      <c r="G1376" t="inlineStr">
        <is>
          <t>HUDIKSVALL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56366-2024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45625</v>
      </c>
      <c r="E1377" s="1" t="n">
        <v>46303</v>
      </c>
      <c r="F1377" t="inlineStr">
        <is>
          <t>GÄVLEBORGS LÄN</t>
        </is>
      </c>
      <c r="G1377" t="inlineStr">
        <is>
          <t>HUDIKSVALL</t>
        </is>
      </c>
      <c r="I1377" t="n">
        <v>5.7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19864-2026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46135</v>
      </c>
      <c r="E1378" s="1" t="n">
        <v>46303</v>
      </c>
      <c r="F1378" t="inlineStr">
        <is>
          <t>GÄVLEBORGS LÄN</t>
        </is>
      </c>
      <c r="G1378" t="inlineStr">
        <is>
          <t>HUDIKSVALL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52656-2024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45610</v>
      </c>
      <c r="E1379" s="1" t="n">
        <v>46303</v>
      </c>
      <c r="F1379" t="inlineStr">
        <is>
          <t>GÄVLEBORGS LÄN</t>
        </is>
      </c>
      <c r="G1379" t="inlineStr">
        <is>
          <t>HUDIKSVALL</t>
        </is>
      </c>
      <c r="I1379" t="n">
        <v>15.6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1255-2026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46031</v>
      </c>
      <c r="E1380" s="1" t="n">
        <v>46303</v>
      </c>
      <c r="F1380" t="inlineStr">
        <is>
          <t>GÄVLEBORGS LÄN</t>
        </is>
      </c>
      <c r="G1380" t="inlineStr">
        <is>
          <t>HUDIKSVALL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56215-2024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45624</v>
      </c>
      <c r="E1381" s="1" t="n">
        <v>46303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6732-2026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46056</v>
      </c>
      <c r="E1382" s="1" t="n">
        <v>46303</v>
      </c>
      <c r="F1382" t="inlineStr">
        <is>
          <t>GÄVLEBORGS LÄN</t>
        </is>
      </c>
      <c r="G1382" t="inlineStr">
        <is>
          <t>HUDIKSVALL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7652-2026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46062</v>
      </c>
      <c r="E1383" s="1" t="n">
        <v>46303</v>
      </c>
      <c r="F1383" t="inlineStr">
        <is>
          <t>GÄVLEBORGS LÄN</t>
        </is>
      </c>
      <c r="G1383" t="inlineStr">
        <is>
          <t>HUDIKSVALL</t>
        </is>
      </c>
      <c r="I1383" t="n">
        <v>3.3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9586-2026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46303</v>
      </c>
      <c r="F1384" t="inlineStr">
        <is>
          <t>GÄVLEBORGS LÄN</t>
        </is>
      </c>
      <c r="G1384" t="inlineStr">
        <is>
          <t>HUDIKSVALL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12511-2026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46090</v>
      </c>
      <c r="E1385" s="1" t="n">
        <v>46303</v>
      </c>
      <c r="F1385" t="inlineStr">
        <is>
          <t>GÄVLEBORGS LÄN</t>
        </is>
      </c>
      <c r="G1385" t="inlineStr">
        <is>
          <t>HUDIKSVALL</t>
        </is>
      </c>
      <c r="I1385" t="n">
        <v>5.2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12580-2026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46090</v>
      </c>
      <c r="E1386" s="1" t="n">
        <v>46303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6274-2025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45698</v>
      </c>
      <c r="E1387" s="1" t="n">
        <v>46303</v>
      </c>
      <c r="F1387" t="inlineStr">
        <is>
          <t>GÄVLEBORGS LÄN</t>
        </is>
      </c>
      <c r="G1387" t="inlineStr">
        <is>
          <t>HUDIKSVALL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11735-2026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46084</v>
      </c>
      <c r="E1388" s="1" t="n">
        <v>46303</v>
      </c>
      <c r="F1388" t="inlineStr">
        <is>
          <t>GÄVLEBORGS LÄN</t>
        </is>
      </c>
      <c r="G1388" t="inlineStr">
        <is>
          <t>HUDIKSVALL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11132-2026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46079</v>
      </c>
      <c r="E1389" s="1" t="n">
        <v>46303</v>
      </c>
      <c r="F1389" t="inlineStr">
        <is>
          <t>GÄVLEBORGS LÄN</t>
        </is>
      </c>
      <c r="G1389" t="inlineStr">
        <is>
          <t>HUDIKSVALL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22976-2024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45449</v>
      </c>
      <c r="E1390" s="1" t="n">
        <v>46303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5.9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36342-2025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45868</v>
      </c>
      <c r="E1391" s="1" t="n">
        <v>46303</v>
      </c>
      <c r="F1391" t="inlineStr">
        <is>
          <t>GÄVLEBORGS LÄN</t>
        </is>
      </c>
      <c r="G1391" t="inlineStr">
        <is>
          <t>HUDIKSVALL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10373-2026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46076</v>
      </c>
      <c r="E1392" s="1" t="n">
        <v>46303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8264-2026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46064</v>
      </c>
      <c r="E1393" s="1" t="n">
        <v>46303</v>
      </c>
      <c r="F1393" t="inlineStr">
        <is>
          <t>GÄVLEBORGS LÄN</t>
        </is>
      </c>
      <c r="G1393" t="inlineStr">
        <is>
          <t>HUDIKSVALL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33138-2022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44785</v>
      </c>
      <c r="E1394" s="1" t="n">
        <v>46303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12526-2024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45379</v>
      </c>
      <c r="E1395" s="1" t="n">
        <v>46303</v>
      </c>
      <c r="F1395" t="inlineStr">
        <is>
          <t>GÄVLEBORGS LÄN</t>
        </is>
      </c>
      <c r="G1395" t="inlineStr">
        <is>
          <t>HUDIKSVALL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12545-2024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45379</v>
      </c>
      <c r="E1396" s="1" t="n">
        <v>46303</v>
      </c>
      <c r="F1396" t="inlineStr">
        <is>
          <t>GÄVLEBORGS LÄN</t>
        </is>
      </c>
      <c r="G1396" t="inlineStr">
        <is>
          <t>HUDIKSVALL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48448-2025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45935</v>
      </c>
      <c r="E1397" s="1" t="n">
        <v>46303</v>
      </c>
      <c r="F1397" t="inlineStr">
        <is>
          <t>GÄVLEBORGS LÄN</t>
        </is>
      </c>
      <c r="G1397" t="inlineStr">
        <is>
          <t>HUDIKSVALL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39232-2025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45889</v>
      </c>
      <c r="E1398" s="1" t="n">
        <v>46303</v>
      </c>
      <c r="F1398" t="inlineStr">
        <is>
          <t>GÄVLEBORGS LÄN</t>
        </is>
      </c>
      <c r="G1398" t="inlineStr">
        <is>
          <t>HUDIKSVALL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54171-2023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45232</v>
      </c>
      <c r="E1399" s="1" t="n">
        <v>46303</v>
      </c>
      <c r="F1399" t="inlineStr">
        <is>
          <t>GÄVLEBORGS LÄN</t>
        </is>
      </c>
      <c r="G1399" t="inlineStr">
        <is>
          <t>HUDIKSVALL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31435-2026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46220</v>
      </c>
      <c r="E1400" s="1" t="n">
        <v>46303</v>
      </c>
      <c r="F1400" t="inlineStr">
        <is>
          <t>GÄVLEBORGS LÄN</t>
        </is>
      </c>
      <c r="G1400" t="inlineStr">
        <is>
          <t>HUDIKSVALL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36318-2026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46268</v>
      </c>
      <c r="E1401" s="1" t="n">
        <v>46303</v>
      </c>
      <c r="F1401" t="inlineStr">
        <is>
          <t>GÄVLEBORGS LÄN</t>
        </is>
      </c>
      <c r="G1401" t="inlineStr">
        <is>
          <t>HUDIKSVALL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31662-2026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46225</v>
      </c>
      <c r="E1402" s="1" t="n">
        <v>46303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36357-2026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46268</v>
      </c>
      <c r="E1403" s="1" t="n">
        <v>46303</v>
      </c>
      <c r="F1403" t="inlineStr">
        <is>
          <t>GÄVLEBORGS LÄN</t>
        </is>
      </c>
      <c r="G1403" t="inlineStr">
        <is>
          <t>HUDIKSVALL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27620-2024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45474</v>
      </c>
      <c r="E1404" s="1" t="n">
        <v>46303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71408-2021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44540</v>
      </c>
      <c r="E1405" s="1" t="n">
        <v>46303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60750-2023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45260</v>
      </c>
      <c r="E1406" s="1" t="n">
        <v>46303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10159-2025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45719</v>
      </c>
      <c r="E1407" s="1" t="n">
        <v>46303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Kommuner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31663-2026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46225</v>
      </c>
      <c r="E1408" s="1" t="n">
        <v>46303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2.4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18706-2024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45426</v>
      </c>
      <c r="E1409" s="1" t="n">
        <v>46303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9.199999999999999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36042-2026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46267</v>
      </c>
      <c r="E1410" s="1" t="n">
        <v>46303</v>
      </c>
      <c r="F1410" t="inlineStr">
        <is>
          <t>GÄVLEBORGS LÄN</t>
        </is>
      </c>
      <c r="G1410" t="inlineStr">
        <is>
          <t>HUDIKSVALL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34983-2024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45527</v>
      </c>
      <c r="E1411" s="1" t="n">
        <v>46303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31686-2026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46226</v>
      </c>
      <c r="E1412" s="1" t="n">
        <v>46303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Naturvårdsverket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38167-2024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45545</v>
      </c>
      <c r="E1413" s="1" t="n">
        <v>46303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65195-2023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45289</v>
      </c>
      <c r="E1414" s="1" t="n">
        <v>46303</v>
      </c>
      <c r="F1414" t="inlineStr">
        <is>
          <t>GÄVLEBORGS LÄN</t>
        </is>
      </c>
      <c r="G1414" t="inlineStr">
        <is>
          <t>HUDIKSVALL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2651-2024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46303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2658-2024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45314</v>
      </c>
      <c r="E1416" s="1" t="n">
        <v>46303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58942-2022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44903</v>
      </c>
      <c r="E1417" s="1" t="n">
        <v>46303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5.7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12893-2024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45385</v>
      </c>
      <c r="E1418" s="1" t="n">
        <v>46303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43007-2023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45182</v>
      </c>
      <c r="E1419" s="1" t="n">
        <v>46303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5.8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36730-2026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46272</v>
      </c>
      <c r="E1420" s="1" t="n">
        <v>46303</v>
      </c>
      <c r="F1420" t="inlineStr">
        <is>
          <t>GÄVLEBORGS LÄN</t>
        </is>
      </c>
      <c r="G1420" t="inlineStr">
        <is>
          <t>HUDIKSVALL</t>
        </is>
      </c>
      <c r="I1420" t="n">
        <v>4.2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36664-2026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46272</v>
      </c>
      <c r="E1421" s="1" t="n">
        <v>46303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4.3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12393-2025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45730</v>
      </c>
      <c r="E1422" s="1" t="n">
        <v>46303</v>
      </c>
      <c r="F1422" t="inlineStr">
        <is>
          <t>GÄVLEBORGS LÄN</t>
        </is>
      </c>
      <c r="G1422" t="inlineStr">
        <is>
          <t>HUDIKSVALL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19227-2025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45769</v>
      </c>
      <c r="E1423" s="1" t="n">
        <v>46303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42239-2023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45180</v>
      </c>
      <c r="E1424" s="1" t="n">
        <v>46303</v>
      </c>
      <c r="F1424" t="inlineStr">
        <is>
          <t>GÄVLEBORGS LÄN</t>
        </is>
      </c>
      <c r="G1424" t="inlineStr">
        <is>
          <t>HUDIKSVALL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54468-2024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45617</v>
      </c>
      <c r="E1425" s="1" t="n">
        <v>46303</v>
      </c>
      <c r="F1425" t="inlineStr">
        <is>
          <t>GÄVLEBORGS LÄN</t>
        </is>
      </c>
      <c r="G1425" t="inlineStr">
        <is>
          <t>HUDIKSVALL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54690-2024</t>
        </is>
      </c>
      <c r="B1426" t="inlineStr">
        <is>
          <t>avverkningsanmälan</t>
        </is>
      </c>
      <c r="C1426" t="inlineStr">
        <is>
          <t>Avverkning för att bevara och utveckla /försöksver</t>
        </is>
      </c>
      <c r="D1426" s="1" t="n">
        <v>45618</v>
      </c>
      <c r="E1426" s="1" t="n">
        <v>46303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62926-2023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45272</v>
      </c>
      <c r="E1427" s="1" t="n">
        <v>46303</v>
      </c>
      <c r="F1427" t="inlineStr">
        <is>
          <t>GÄVLEBORGS LÄN</t>
        </is>
      </c>
      <c r="G1427" t="inlineStr">
        <is>
          <t>HUDIKSVALL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37009-2026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46273</v>
      </c>
      <c r="E1428" s="1" t="n">
        <v>46303</v>
      </c>
      <c r="F1428" t="inlineStr">
        <is>
          <t>GÄVLEBORGS LÄN</t>
        </is>
      </c>
      <c r="G1428" t="inlineStr">
        <is>
          <t>HUDIKSVALL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36894-2026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46273</v>
      </c>
      <c r="E1429" s="1" t="n">
        <v>46303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3.7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56898-2023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45244</v>
      </c>
      <c r="E1430" s="1" t="n">
        <v>46303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20670-2022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44700</v>
      </c>
      <c r="E1431" s="1" t="n">
        <v>46303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32631-2024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45513</v>
      </c>
      <c r="E1432" s="1" t="n">
        <v>46303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31117-2024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45502</v>
      </c>
      <c r="E1433" s="1" t="n">
        <v>46303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31119-2024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45502</v>
      </c>
      <c r="E1434" s="1" t="n">
        <v>46303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3942-2023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44952</v>
      </c>
      <c r="E1435" s="1" t="n">
        <v>46303</v>
      </c>
      <c r="F1435" t="inlineStr">
        <is>
          <t>GÄVLEBORGS LÄN</t>
        </is>
      </c>
      <c r="G1435" t="inlineStr">
        <is>
          <t>HUDIKSVALL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4605-2023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44956</v>
      </c>
      <c r="E1436" s="1" t="n">
        <v>46303</v>
      </c>
      <c r="F1436" t="inlineStr">
        <is>
          <t>GÄVLEBORGS LÄN</t>
        </is>
      </c>
      <c r="G1436" t="inlineStr">
        <is>
          <t>HUDIKSVALL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37154-2026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46274</v>
      </c>
      <c r="E1437" s="1" t="n">
        <v>46303</v>
      </c>
      <c r="F1437" t="inlineStr">
        <is>
          <t>GÄVLEBORGS LÄN</t>
        </is>
      </c>
      <c r="G1437" t="inlineStr">
        <is>
          <t>HUDIKSVALL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10190-2023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44986</v>
      </c>
      <c r="E1438" s="1" t="n">
        <v>46303</v>
      </c>
      <c r="F1438" t="inlineStr">
        <is>
          <t>GÄVLEBORGS LÄN</t>
        </is>
      </c>
      <c r="G1438" t="inlineStr">
        <is>
          <t>HUDIKSVALL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1377-2022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44573</v>
      </c>
      <c r="E1439" s="1" t="n">
        <v>46303</v>
      </c>
      <c r="F1439" t="inlineStr">
        <is>
          <t>GÄVLEBORGS LÄN</t>
        </is>
      </c>
      <c r="G1439" t="inlineStr">
        <is>
          <t>HUDIKSVALL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60500-2022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44911</v>
      </c>
      <c r="E1440" s="1" t="n">
        <v>46303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10332-2023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44987</v>
      </c>
      <c r="E1441" s="1" t="n">
        <v>46303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44227-2024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45573</v>
      </c>
      <c r="E1442" s="1" t="n">
        <v>46303</v>
      </c>
      <c r="F1442" t="inlineStr">
        <is>
          <t>GÄVLEBORGS LÄN</t>
        </is>
      </c>
      <c r="G1442" t="inlineStr">
        <is>
          <t>HUDIKSVALL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37281-2026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46274</v>
      </c>
      <c r="E1443" s="1" t="n">
        <v>46303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41191-2024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45559</v>
      </c>
      <c r="E1444" s="1" t="n">
        <v>46303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23657-2023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45077</v>
      </c>
      <c r="E1445" s="1" t="n">
        <v>46303</v>
      </c>
      <c r="F1445" t="inlineStr">
        <is>
          <t>GÄVLEBORGS LÄN</t>
        </is>
      </c>
      <c r="G1445" t="inlineStr">
        <is>
          <t>HUDIKSVALL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1809-2023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44938</v>
      </c>
      <c r="E1446" s="1" t="n">
        <v>46303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10537-2025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45721</v>
      </c>
      <c r="E1447" s="1" t="n">
        <v>46303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55182-2023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45230</v>
      </c>
      <c r="E1448" s="1" t="n">
        <v>46303</v>
      </c>
      <c r="F1448" t="inlineStr">
        <is>
          <t>GÄVLEBORGS LÄN</t>
        </is>
      </c>
      <c r="G1448" t="inlineStr">
        <is>
          <t>HUDIKSVALL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6425-2024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45338</v>
      </c>
      <c r="E1449" s="1" t="n">
        <v>46303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37637-2026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46276</v>
      </c>
      <c r="E1450" s="1" t="n">
        <v>46303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Sveaskog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32029-2026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46233</v>
      </c>
      <c r="E1451" s="1" t="n">
        <v>46303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13201-2024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45386</v>
      </c>
      <c r="E1452" s="1" t="n">
        <v>46303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46303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38670-2023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45162</v>
      </c>
      <c r="E1454" s="1" t="n">
        <v>46303</v>
      </c>
      <c r="F1454" t="inlineStr">
        <is>
          <t>GÄVLEBORGS LÄN</t>
        </is>
      </c>
      <c r="G1454" t="inlineStr">
        <is>
          <t>HUDIKSVALL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56882-2023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45244</v>
      </c>
      <c r="E1455" s="1" t="n">
        <v>46303</v>
      </c>
      <c r="F1455" t="inlineStr">
        <is>
          <t>GÄVLEBORGS LÄN</t>
        </is>
      </c>
      <c r="G1455" t="inlineStr">
        <is>
          <t>HUDIKSVALL</t>
        </is>
      </c>
      <c r="I1455" t="n">
        <v>7.7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37457-2026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46275</v>
      </c>
      <c r="E1456" s="1" t="n">
        <v>46303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  <c r="Z1456">
        <f>HYPERLINK("https://klasma.github.io/Logging_2184/knärot/A 37457-2026 karta knärot.png", "A 37457-2026")</f>
        <v/>
      </c>
      <c r="AA1456">
        <f>HYPERLINK("https://klasma.github.io/Logging_2184/klagomål/A 37457-2026 FSC-klagomål.docx", "A 37457-2026")</f>
        <v/>
      </c>
      <c r="AB1456">
        <f>HYPERLINK("https://klasma.github.io/Logging_2184/klagomålsmail/A 37457-2026 FSC-klagomål mail.docx", "A 37457-2026")</f>
        <v/>
      </c>
      <c r="AC1456">
        <f>HYPERLINK("https://klasma.github.io/Logging_2184/tillsyn/A 37457-2026 tillsynsbegäran.docx", "A 37457-2026")</f>
        <v/>
      </c>
      <c r="AD1456">
        <f>HYPERLINK("https://klasma.github.io/Logging_2184/tillsynsmail/A 37457-2026 tillsynsbegäran mail.docx", "A 37457-2026")</f>
        <v/>
      </c>
    </row>
    <row r="1457" ht="15" customHeight="1">
      <c r="A1457" t="inlineStr">
        <is>
          <t>A 32015-2026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46233</v>
      </c>
      <c r="E1457" s="1" t="n">
        <v>46303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37959-2026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46280</v>
      </c>
      <c r="E1458" s="1" t="n">
        <v>46303</v>
      </c>
      <c r="F1458" t="inlineStr">
        <is>
          <t>GÄVLEBORGS LÄN</t>
        </is>
      </c>
      <c r="G1458" t="inlineStr">
        <is>
          <t>HUDIKSVALL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46303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32056-2026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46233</v>
      </c>
      <c r="E1460" s="1" t="n">
        <v>46303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4.3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32059-2026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46233</v>
      </c>
      <c r="E1461" s="1" t="n">
        <v>46303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32057-2026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46233</v>
      </c>
      <c r="E1462" s="1" t="n">
        <v>46303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37967-2026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46280</v>
      </c>
      <c r="E1463" s="1" t="n">
        <v>46303</v>
      </c>
      <c r="F1463" t="inlineStr">
        <is>
          <t>GÄVLEBORGS LÄN</t>
        </is>
      </c>
      <c r="G1463" t="inlineStr">
        <is>
          <t>HUDIKSVALL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38173-2026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46281</v>
      </c>
      <c r="E1464" s="1" t="n">
        <v>46303</v>
      </c>
      <c r="F1464" t="inlineStr">
        <is>
          <t>GÄVLEBORGS LÄN</t>
        </is>
      </c>
      <c r="G1464" t="inlineStr">
        <is>
          <t>HUDIKSVALL</t>
        </is>
      </c>
      <c r="I1464" t="n">
        <v>17.3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38388-2026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46282</v>
      </c>
      <c r="E1465" s="1" t="n">
        <v>46303</v>
      </c>
      <c r="F1465" t="inlineStr">
        <is>
          <t>GÄVLEBORGS LÄN</t>
        </is>
      </c>
      <c r="G1465" t="inlineStr">
        <is>
          <t>HUDIKSVALL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32425-2026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46238</v>
      </c>
      <c r="E1466" s="1" t="n">
        <v>46303</v>
      </c>
      <c r="F1466" t="inlineStr">
        <is>
          <t>GÄVLEBORGS LÄN</t>
        </is>
      </c>
      <c r="G1466" t="inlineStr">
        <is>
          <t>HUDIKSVALL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32464-2026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46239</v>
      </c>
      <c r="E1467" s="1" t="n">
        <v>46303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Naturvårdsverket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32475-2026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46303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32367-2026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46238</v>
      </c>
      <c r="E1469" s="1" t="n">
        <v>46303</v>
      </c>
      <c r="F1469" t="inlineStr">
        <is>
          <t>GÄVLEBORGS LÄN</t>
        </is>
      </c>
      <c r="G1469" t="inlineStr">
        <is>
          <t>HUDIKSVALL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6504-2026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46056</v>
      </c>
      <c r="E1470" s="1" t="n">
        <v>46303</v>
      </c>
      <c r="F1470" t="inlineStr">
        <is>
          <t>GÄVLEBORGS LÄN</t>
        </is>
      </c>
      <c r="G1470" t="inlineStr">
        <is>
          <t>HUDIKSVALL</t>
        </is>
      </c>
      <c r="I1470" t="n">
        <v>9.699999999999999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38308-2026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46282</v>
      </c>
      <c r="E1471" s="1" t="n">
        <v>46303</v>
      </c>
      <c r="F1471" t="inlineStr">
        <is>
          <t>GÄVLEBORGS LÄN</t>
        </is>
      </c>
      <c r="G1471" t="inlineStr">
        <is>
          <t>HUDIKSVALL</t>
        </is>
      </c>
      <c r="I1471" t="n">
        <v>3.9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38447-2026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46282</v>
      </c>
      <c r="E1472" s="1" t="n">
        <v>46303</v>
      </c>
      <c r="F1472" t="inlineStr">
        <is>
          <t>GÄVLEBORGS LÄN</t>
        </is>
      </c>
      <c r="G1472" t="inlineStr">
        <is>
          <t>HUDIKSVALL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38385-2026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46282</v>
      </c>
      <c r="E1473" s="1" t="n">
        <v>46303</v>
      </c>
      <c r="F1473" t="inlineStr">
        <is>
          <t>GÄVLEBORGS LÄN</t>
        </is>
      </c>
      <c r="G1473" t="inlineStr">
        <is>
          <t>HUDIKSVALL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38646-2026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46283</v>
      </c>
      <c r="E1474" s="1" t="n">
        <v>46303</v>
      </c>
      <c r="F1474" t="inlineStr">
        <is>
          <t>GÄVLEBORGS LÄN</t>
        </is>
      </c>
      <c r="G1474" t="inlineStr">
        <is>
          <t>HUDIKSVALL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38443-2026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46282</v>
      </c>
      <c r="E1475" s="1" t="n">
        <v>46303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Sveaskog</t>
        </is>
      </c>
      <c r="I1475" t="n">
        <v>18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38815-2026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46286</v>
      </c>
      <c r="E1476" s="1" t="n">
        <v>46303</v>
      </c>
      <c r="F1476" t="inlineStr">
        <is>
          <t>GÄVLEBORGS LÄN</t>
        </is>
      </c>
      <c r="G1476" t="inlineStr">
        <is>
          <t>HUDIKSVALL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32635-2026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46240</v>
      </c>
      <c r="E1477" s="1" t="n">
        <v>46303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38440-2026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46282</v>
      </c>
      <c r="E1478" s="1" t="n">
        <v>46303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Sveaskog</t>
        </is>
      </c>
      <c r="I1478" t="n">
        <v>9.5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38602-2026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46283</v>
      </c>
      <c r="E1479" s="1" t="n">
        <v>46303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38566-2026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46283</v>
      </c>
      <c r="E1480" s="1" t="n">
        <v>46303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38616-2026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46283</v>
      </c>
      <c r="E1481" s="1" t="n">
        <v>46303</v>
      </c>
      <c r="F1481" t="inlineStr">
        <is>
          <t>GÄVLEBORGS LÄN</t>
        </is>
      </c>
      <c r="G1481" t="inlineStr">
        <is>
          <t>HUDIKSVALL</t>
        </is>
      </c>
      <c r="I1481" t="n">
        <v>9.9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21718-2026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46149</v>
      </c>
      <c r="E1482" s="1" t="n">
        <v>46303</v>
      </c>
      <c r="F1482" t="inlineStr">
        <is>
          <t>GÄVLEBORGS LÄN</t>
        </is>
      </c>
      <c r="G1482" t="inlineStr">
        <is>
          <t>HUDIKSVALL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38946-2026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46286</v>
      </c>
      <c r="E1483" s="1" t="n">
        <v>46303</v>
      </c>
      <c r="F1483" t="inlineStr">
        <is>
          <t>GÄVLEBORGS LÄN</t>
        </is>
      </c>
      <c r="G1483" t="inlineStr">
        <is>
          <t>HUDIKSVALL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39353-2026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46288</v>
      </c>
      <c r="E1484" s="1" t="n">
        <v>46303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33137-2026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46245</v>
      </c>
      <c r="E1485" s="1" t="n">
        <v>46303</v>
      </c>
      <c r="F1485" t="inlineStr">
        <is>
          <t>GÄVLEBORGS LÄN</t>
        </is>
      </c>
      <c r="G1485" t="inlineStr">
        <is>
          <t>HUDIKSVALL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28326-2026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46196</v>
      </c>
      <c r="E1486" s="1" t="n">
        <v>46303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34.6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25318-2026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46176</v>
      </c>
      <c r="E1487" s="1" t="n">
        <v>46303</v>
      </c>
      <c r="F1487" t="inlineStr">
        <is>
          <t>GÄVLEBORGS LÄN</t>
        </is>
      </c>
      <c r="G1487" t="inlineStr">
        <is>
          <t>HUDIKSVALL</t>
        </is>
      </c>
      <c r="I1487" t="n">
        <v>6.7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33313-2026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46246</v>
      </c>
      <c r="E1488" s="1" t="n">
        <v>46303</v>
      </c>
      <c r="F1488" t="inlineStr">
        <is>
          <t>GÄVLEBORGS LÄN</t>
        </is>
      </c>
      <c r="G1488" t="inlineStr">
        <is>
          <t>HUDIKSVALL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39677-2026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46289</v>
      </c>
      <c r="E1489" s="1" t="n">
        <v>46303</v>
      </c>
      <c r="F1489" t="inlineStr">
        <is>
          <t>GÄVLEBORGS LÄN</t>
        </is>
      </c>
      <c r="G1489" t="inlineStr">
        <is>
          <t>HUDIKSVALL</t>
        </is>
      </c>
      <c r="I1489" t="n">
        <v>4.5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33247-2026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46246</v>
      </c>
      <c r="E1490" s="1" t="n">
        <v>46303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39570-2026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46289</v>
      </c>
      <c r="E1491" s="1" t="n">
        <v>46303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4.5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33270-2026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46246</v>
      </c>
      <c r="E1492" s="1" t="n">
        <v>46303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33572-2026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46248</v>
      </c>
      <c r="E1493" s="1" t="n">
        <v>46303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Naturvårdsverket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55615-2025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45971</v>
      </c>
      <c r="E1494" s="1" t="n">
        <v>46303</v>
      </c>
      <c r="F1494" t="inlineStr">
        <is>
          <t>GÄVLEBORGS LÄN</t>
        </is>
      </c>
      <c r="G1494" t="inlineStr">
        <is>
          <t>HUDIKSVALL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24853-2026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46174</v>
      </c>
      <c r="E1495" s="1" t="n">
        <v>46303</v>
      </c>
      <c r="F1495" t="inlineStr">
        <is>
          <t>GÄVLEBORGS LÄN</t>
        </is>
      </c>
      <c r="G1495" t="inlineStr">
        <is>
          <t>HUDIKSVALL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40315-2026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46294</v>
      </c>
      <c r="E1496" s="1" t="n">
        <v>46303</v>
      </c>
      <c r="F1496" t="inlineStr">
        <is>
          <t>GÄVLEBORGS LÄN</t>
        </is>
      </c>
      <c r="G1496" t="inlineStr">
        <is>
          <t>HUDIKSVALL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46248</v>
      </c>
      <c r="E1497" s="1" t="n">
        <v>46303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34153-2026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46253</v>
      </c>
      <c r="E1498" s="1" t="n">
        <v>46303</v>
      </c>
      <c r="F1498" t="inlineStr">
        <is>
          <t>GÄVLEBORGS LÄN</t>
        </is>
      </c>
      <c r="G1498" t="inlineStr">
        <is>
          <t>HUDIKSVALL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33970-2026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46252</v>
      </c>
      <c r="E1499" s="1" t="n">
        <v>46303</v>
      </c>
      <c r="F1499" t="inlineStr">
        <is>
          <t>GÄVLEBORGS LÄN</t>
        </is>
      </c>
      <c r="G1499" t="inlineStr">
        <is>
          <t>HUDIKSVALL</t>
        </is>
      </c>
      <c r="I1499" t="n">
        <v>7.6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40588-2026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46295</v>
      </c>
      <c r="E1500" s="1" t="n">
        <v>46303</v>
      </c>
      <c r="F1500" t="inlineStr">
        <is>
          <t>GÄVLEBORGS LÄN</t>
        </is>
      </c>
      <c r="G1500" t="inlineStr">
        <is>
          <t>HUDIKSVALL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33826-2026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46251</v>
      </c>
      <c r="E1501" s="1" t="n">
        <v>46303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34032-2026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46252</v>
      </c>
      <c r="E1502" s="1" t="n">
        <v>46303</v>
      </c>
      <c r="F1502" t="inlineStr">
        <is>
          <t>GÄVLEBORGS LÄN</t>
        </is>
      </c>
      <c r="G1502" t="inlineStr">
        <is>
          <t>HUDIKSVALL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33708-2026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46251</v>
      </c>
      <c r="E1503" s="1" t="n">
        <v>46303</v>
      </c>
      <c r="F1503" t="inlineStr">
        <is>
          <t>GÄVLEBORGS LÄN</t>
        </is>
      </c>
      <c r="G1503" t="inlineStr">
        <is>
          <t>HUDIKSVALL</t>
        </is>
      </c>
      <c r="I1503" t="n">
        <v>3.5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34034-2026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46252</v>
      </c>
      <c r="E1504" s="1" t="n">
        <v>46303</v>
      </c>
      <c r="F1504" t="inlineStr">
        <is>
          <t>GÄVLEBORGS LÄN</t>
        </is>
      </c>
      <c r="G1504" t="inlineStr">
        <is>
          <t>HUDIKSVALL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59326-2025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45989</v>
      </c>
      <c r="E1505" s="1" t="n">
        <v>46303</v>
      </c>
      <c r="F1505" t="inlineStr">
        <is>
          <t>GÄVLEBORGS LÄN</t>
        </is>
      </c>
      <c r="G1505" t="inlineStr">
        <is>
          <t>HUDIKSVALL</t>
        </is>
      </c>
      <c r="I1505" t="n">
        <v>5.3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46303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16954-2026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46114</v>
      </c>
      <c r="E1507" s="1" t="n">
        <v>46303</v>
      </c>
      <c r="F1507" t="inlineStr">
        <is>
          <t>GÄVLEBORGS LÄN</t>
        </is>
      </c>
      <c r="G1507" t="inlineStr">
        <is>
          <t>HUDIKSVALL</t>
        </is>
      </c>
      <c r="I1507" t="n">
        <v>4.9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41149-2026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46300</v>
      </c>
      <c r="E1508" s="1" t="n">
        <v>46303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34528-2026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46255</v>
      </c>
      <c r="E1509" s="1" t="n">
        <v>46303</v>
      </c>
      <c r="F1509" t="inlineStr">
        <is>
          <t>GÄVLEBORGS LÄN</t>
        </is>
      </c>
      <c r="G1509" t="inlineStr">
        <is>
          <t>HUDIKSVALL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34141-2026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46253</v>
      </c>
      <c r="E1510" s="1" t="n">
        <v>46303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14957-2026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46104</v>
      </c>
      <c r="E1511" s="1" t="n">
        <v>46303</v>
      </c>
      <c r="F1511" t="inlineStr">
        <is>
          <t>GÄVLEBORGS LÄN</t>
        </is>
      </c>
      <c r="G1511" t="inlineStr">
        <is>
          <t>HUDIKSVALL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11776-2026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46084</v>
      </c>
      <c r="E1512" s="1" t="n">
        <v>46303</v>
      </c>
      <c r="F1512" t="inlineStr">
        <is>
          <t>GÄVLEBORGS LÄN</t>
        </is>
      </c>
      <c r="G1512" t="inlineStr">
        <is>
          <t>HUDIKSVALL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21539-2026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46148</v>
      </c>
      <c r="E1513" s="1" t="n">
        <v>46303</v>
      </c>
      <c r="F1513" t="inlineStr">
        <is>
          <t>GÄVLEBORGS LÄN</t>
        </is>
      </c>
      <c r="G1513" t="inlineStr">
        <is>
          <t>HUDIKSVALL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26746-2026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46184</v>
      </c>
      <c r="E1514" s="1" t="n">
        <v>46303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78.5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34974-2026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46259</v>
      </c>
      <c r="E1515" s="1" t="n">
        <v>46303</v>
      </c>
      <c r="F1515" t="inlineStr">
        <is>
          <t>GÄVLEBORGS LÄN</t>
        </is>
      </c>
      <c r="G1515" t="inlineStr">
        <is>
          <t>HUDIKSVALL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4491-2026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46045</v>
      </c>
      <c r="E1516" s="1" t="n">
        <v>46303</v>
      </c>
      <c r="F1516" t="inlineStr">
        <is>
          <t>GÄVLEBORGS LÄN</t>
        </is>
      </c>
      <c r="G1516" t="inlineStr">
        <is>
          <t>HUDIKSVALL</t>
        </is>
      </c>
      <c r="I1516" t="n">
        <v>5.3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41460-2026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46301</v>
      </c>
      <c r="E1517" s="1" t="n">
        <v>46303</v>
      </c>
      <c r="F1517" t="inlineStr">
        <is>
          <t>GÄVLEBORGS LÄN</t>
        </is>
      </c>
      <c r="G1517" t="inlineStr">
        <is>
          <t>HUDIKSVALL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41715-2026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46302</v>
      </c>
      <c r="E1518" s="1" t="n">
        <v>46303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3.9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10148-2026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46076</v>
      </c>
      <c r="E1519" s="1" t="n">
        <v>46303</v>
      </c>
      <c r="F1519" t="inlineStr">
        <is>
          <t>GÄVLEBORGS LÄN</t>
        </is>
      </c>
      <c r="G1519" t="inlineStr">
        <is>
          <t>HUDIKSVALL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9813-2026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46072</v>
      </c>
      <c r="E1520" s="1" t="n">
        <v>46303</v>
      </c>
      <c r="F1520" t="inlineStr">
        <is>
          <t>GÄVLEBORGS LÄN</t>
        </is>
      </c>
      <c r="G1520" t="inlineStr">
        <is>
          <t>HUDIKSVALL</t>
        </is>
      </c>
      <c r="I1520" t="n">
        <v>3.8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41660-2026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46302</v>
      </c>
      <c r="E1521" s="1" t="n">
        <v>46303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35067-2026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46259</v>
      </c>
      <c r="E1522" s="1" t="n">
        <v>46303</v>
      </c>
      <c r="F1522" t="inlineStr">
        <is>
          <t>GÄVLEBORGS LÄN</t>
        </is>
      </c>
      <c r="G1522" t="inlineStr">
        <is>
          <t>HUDIKSVALL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35169-2026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46260</v>
      </c>
      <c r="E1523" s="1" t="n">
        <v>46303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Kommuner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41693-2026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46302</v>
      </c>
      <c r="E1524" s="1" t="n">
        <v>46303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34853-2026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46258</v>
      </c>
      <c r="E1525" s="1" t="n">
        <v>46303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41554-2026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46301</v>
      </c>
      <c r="E1526" s="1" t="n">
        <v>46303</v>
      </c>
      <c r="F1526" t="inlineStr">
        <is>
          <t>GÄVLEBORGS LÄN</t>
        </is>
      </c>
      <c r="G1526" t="inlineStr">
        <is>
          <t>HUDIKSVALL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41323-2026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46301</v>
      </c>
      <c r="E1527" s="1" t="n">
        <v>46303</v>
      </c>
      <c r="F1527" t="inlineStr">
        <is>
          <t>GÄVLEBORGS LÄN</t>
        </is>
      </c>
      <c r="G1527" t="inlineStr">
        <is>
          <t>HUDIKSVALL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41710-2026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46302</v>
      </c>
      <c r="E1528" s="1" t="n">
        <v>46303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41707-2026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46302</v>
      </c>
      <c r="E1529" s="1" t="n">
        <v>46303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28800-2026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46198</v>
      </c>
      <c r="E1530" s="1" t="n">
        <v>46303</v>
      </c>
      <c r="F1530" t="inlineStr">
        <is>
          <t>GÄVLEBORGS LÄN</t>
        </is>
      </c>
      <c r="G1530" t="inlineStr">
        <is>
          <t>HUDIKSVALL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41378-2026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46301</v>
      </c>
      <c r="E1531" s="1" t="n">
        <v>46303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13390-2026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46094</v>
      </c>
      <c r="E1532" s="1" t="n">
        <v>46303</v>
      </c>
      <c r="F1532" t="inlineStr">
        <is>
          <t>GÄVLEBORGS LÄN</t>
        </is>
      </c>
      <c r="G1532" t="inlineStr">
        <is>
          <t>HUDIKSVALL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41466-2026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46301</v>
      </c>
      <c r="E1533" s="1" t="n">
        <v>46303</v>
      </c>
      <c r="F1533" t="inlineStr">
        <is>
          <t>GÄVLEBORGS LÄN</t>
        </is>
      </c>
      <c r="G1533" t="inlineStr">
        <is>
          <t>HUDIKSVALL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24238-2025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45797</v>
      </c>
      <c r="E1534" s="1" t="n">
        <v>46303</v>
      </c>
      <c r="F1534" t="inlineStr">
        <is>
          <t>GÄVLEBORGS LÄN</t>
        </is>
      </c>
      <c r="G1534" t="inlineStr">
        <is>
          <t>HUDIKSVALL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14530-2026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46100</v>
      </c>
      <c r="E1535" s="1" t="n">
        <v>46303</v>
      </c>
      <c r="F1535" t="inlineStr">
        <is>
          <t>GÄVLEBORGS LÄN</t>
        </is>
      </c>
      <c r="G1535" t="inlineStr">
        <is>
          <t>HUDIKSVALL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161-2025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46303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39.3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1025-2024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45387</v>
      </c>
      <c r="E1537" s="1" t="n">
        <v>46303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117.6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4009-2023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46303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4008-2023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46303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42.8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10198-2021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44543</v>
      </c>
      <c r="E1540" s="1" t="n">
        <v>46303</v>
      </c>
      <c r="F1540" t="inlineStr">
        <is>
          <t>GÄVLEBORGS LÄN</t>
        </is>
      </c>
      <c r="G1540" t="inlineStr">
        <is>
          <t>HUDIKSVALL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5089-2024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45639</v>
      </c>
      <c r="E1541" s="1" t="n">
        <v>46303</v>
      </c>
      <c r="F1541" t="inlineStr">
        <is>
          <t>GÄVLEBORGS LÄN</t>
        </is>
      </c>
      <c r="G1541" t="inlineStr">
        <is>
          <t>HUDIKSVALL</t>
        </is>
      </c>
      <c r="I1541" t="n">
        <v>17.2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46303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126-2025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46303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4021-2023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46303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29.1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  <c r="Z1544">
        <f>HYPERLINK("https://klasma.github.io/Logging_2184/knärot/S 4021-2023 karta knärot.png", "S 4021-2023")</f>
        <v/>
      </c>
      <c r="AA1544">
        <f>HYPERLINK("https://klasma.github.io/Logging_2184/klagomål/S 4021-2023 FSC-klagomål.docx", "S 4021-2023")</f>
        <v/>
      </c>
      <c r="AB1544">
        <f>HYPERLINK("https://klasma.github.io/Logging_2184/klagomålsmail/S 4021-2023 FSC-klagomål mail.docx", "S 4021-2023")</f>
        <v/>
      </c>
      <c r="AC1544">
        <f>HYPERLINK("https://klasma.github.io/Logging_2184/tillsyn/S 4021-2023 tillsynsbegäran.docx", "S 4021-2023")</f>
        <v/>
      </c>
      <c r="AD1544">
        <f>HYPERLINK("https://klasma.github.io/Logging_2184/tillsynsmail/S 4021-2023 tillsynsbegäran mail.docx", "S 4021-2023")</f>
        <v/>
      </c>
    </row>
    <row r="1545" ht="15" customHeight="1">
      <c r="A1545" t="inlineStr">
        <is>
          <t>S 130-2025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46303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18.8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4013-2023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46303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1023-2024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45387</v>
      </c>
      <c r="E1547" s="1" t="n">
        <v>46303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153.3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115-2025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47.1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124-2025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46303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74.09999999999999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137-2025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46303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216.9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118-2025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46303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103.8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4017-2023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46303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99.90000000000001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46303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24.9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4011-2023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46303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97.90000000000001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123-2025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46303</v>
      </c>
      <c r="F1555" t="inlineStr">
        <is>
          <t>GÄVLEBORGS LÄN</t>
        </is>
      </c>
      <c r="G1555" t="inlineStr">
        <is>
          <t>HUDIKSVALL</t>
        </is>
      </c>
      <c r="I1555" t="n">
        <v>39.6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121-2025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46303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30.5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373-2023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44959</v>
      </c>
      <c r="E1557" s="1" t="n">
        <v>46303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256.4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4016-2023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45237</v>
      </c>
      <c r="E1558" s="1" t="n">
        <v>46303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172.2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129-2025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46303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97.3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110-2025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46303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206.1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1310-2025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45770</v>
      </c>
      <c r="E1561" s="1" t="n">
        <v>46303</v>
      </c>
      <c r="F1561" t="inlineStr">
        <is>
          <t>GÄVLEBORGS LÄN</t>
        </is>
      </c>
      <c r="G1561" t="inlineStr">
        <is>
          <t>HUDIKSVALL</t>
        </is>
      </c>
      <c r="I1561" t="n">
        <v>4.5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1899-2025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45825</v>
      </c>
      <c r="E1562" s="1" t="n">
        <v>46303</v>
      </c>
      <c r="F1562" t="inlineStr">
        <is>
          <t>GÄVLEBORGS LÄN</t>
        </is>
      </c>
      <c r="G1562" t="inlineStr">
        <is>
          <t>HUDIKSVALL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3428-2025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45995</v>
      </c>
      <c r="E1563" s="1" t="n">
        <v>46303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55.4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695-2026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46091</v>
      </c>
      <c r="E1564" s="1" t="n">
        <v>46303</v>
      </c>
      <c r="F1564" t="inlineStr">
        <is>
          <t>GÄVLEBORGS LÄN</t>
        </is>
      </c>
      <c r="G1564" t="inlineStr">
        <is>
          <t>HUDIKSVALL</t>
        </is>
      </c>
      <c r="I1564" t="n">
        <v>12.2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1968-2026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46303</v>
      </c>
      <c r="F1565" t="inlineStr">
        <is>
          <t>GÄVLEBORGS LÄN</t>
        </is>
      </c>
      <c r="G1565" t="inlineStr">
        <is>
          <t>HUDIKSVALL</t>
        </is>
      </c>
      <c r="I1565" t="n">
        <v>0.2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1969-2026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46210</v>
      </c>
      <c r="E1566" s="1" t="n">
        <v>46303</v>
      </c>
      <c r="F1566" t="inlineStr">
        <is>
          <t>GÄVLEBORGS LÄN</t>
        </is>
      </c>
      <c r="G1566" t="inlineStr">
        <is>
          <t>HUDIKSVALL</t>
        </is>
      </c>
      <c r="I1566" t="n">
        <v>0.1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1971-2026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46210</v>
      </c>
      <c r="E1567" s="1" t="n">
        <v>46303</v>
      </c>
      <c r="F1567" t="inlineStr">
        <is>
          <t>GÄVLEBORGS LÄN</t>
        </is>
      </c>
      <c r="G1567" t="inlineStr">
        <is>
          <t>HUDIKSVALL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246-2026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46050</v>
      </c>
      <c r="E1568" s="1" t="n">
        <v>46303</v>
      </c>
      <c r="F1568" t="inlineStr">
        <is>
          <t>GÄVLEBORGS LÄN</t>
        </is>
      </c>
      <c r="G1568" t="inlineStr">
        <is>
          <t>HUDIKSVALL</t>
        </is>
      </c>
      <c r="I1568" t="n">
        <v>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>
      <c r="A1569" t="inlineStr">
        <is>
          <t>S 1533-2026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46164</v>
      </c>
      <c r="E1569" s="1" t="n">
        <v>46303</v>
      </c>
      <c r="F1569" t="inlineStr">
        <is>
          <t>GÄVLEBORGS LÄN</t>
        </is>
      </c>
      <c r="G1569" t="inlineStr">
        <is>
          <t>HUDIKSVALL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2026-10-08T02:08:23Z</dcterms:created>
  <dcterms:modified xmlns:dcterms="http://purl.org/dc/terms/" xmlns:xsi="http://www.w3.org/2001/XMLSchema-instance" xsi:type="dcterms:W3CDTF">2026-10-08T02:08:25Z</dcterms:modified>
</cp:coreProperties>
</file>