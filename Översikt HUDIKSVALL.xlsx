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45674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45674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45674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45674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45674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45674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45674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45674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45674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45674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45674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45674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45674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45674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45674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45674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45674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45674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45674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45674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45674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45674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45674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45674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45674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45674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45674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45674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45674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45674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45674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45674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45674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45674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45674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45674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45674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45674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45674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45674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45674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45674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45674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45674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45674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45674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45674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45674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45674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Tornseglare
Gråkråka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45674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45674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45674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45674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45674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45674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45674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45674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45674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45674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45674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58326-2024</t>
        </is>
      </c>
      <c r="B62" s="1" t="n">
        <v>45632</v>
      </c>
      <c r="C62" s="1" t="n">
        <v>45674</v>
      </c>
      <c r="D62" t="inlineStr">
        <is>
          <t>GÄVLEBORGS LÄN</t>
        </is>
      </c>
      <c r="E62" t="inlineStr">
        <is>
          <t>HUDIKSVALL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Ullticka</t>
        </is>
      </c>
      <c r="S62">
        <f>HYPERLINK("https://klasma.github.io/Logging_2184/artfynd/A 58326-2024 artfynd.xlsx", "A 58326-2024")</f>
        <v/>
      </c>
      <c r="T62">
        <f>HYPERLINK("https://klasma.github.io/Logging_2184/kartor/A 58326-2024 karta.png", "A 58326-2024")</f>
        <v/>
      </c>
      <c r="U62">
        <f>HYPERLINK("https://klasma.github.io/Logging_2184/knärot/A 58326-2024 karta knärot.png", "A 58326-2024")</f>
        <v/>
      </c>
      <c r="V62">
        <f>HYPERLINK("https://klasma.github.io/Logging_2184/klagomål/A 58326-2024 FSC-klagomål.docx", "A 58326-2024")</f>
        <v/>
      </c>
      <c r="W62">
        <f>HYPERLINK("https://klasma.github.io/Logging_2184/klagomålsmail/A 58326-2024 FSC-klagomål mail.docx", "A 58326-2024")</f>
        <v/>
      </c>
      <c r="X62">
        <f>HYPERLINK("https://klasma.github.io/Logging_2184/tillsyn/A 58326-2024 tillsynsbegäran.docx", "A 58326-2024")</f>
        <v/>
      </c>
      <c r="Y62">
        <f>HYPERLINK("https://klasma.github.io/Logging_2184/tillsynsmail/A 58326-2024 tillsynsbegäran mail.docx", "A 58326-2024")</f>
        <v/>
      </c>
    </row>
    <row r="63" ht="15" customHeight="1">
      <c r="A63" t="inlineStr">
        <is>
          <t>A 28268-2019</t>
        </is>
      </c>
      <c r="B63" s="1" t="n">
        <v>43623</v>
      </c>
      <c r="C63" s="1" t="n">
        <v>45674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HYPERLINK("https://klasma.github.io/Logging_2184/artfynd/A 28268-2019 artfynd.xlsx", "A 28268-2019")</f>
        <v/>
      </c>
      <c r="T63">
        <f>HYPERLINK("https://klasma.github.io/Logging_2184/kartor/A 28268-2019 karta.png", "A 28268-2019")</f>
        <v/>
      </c>
      <c r="V63">
        <f>HYPERLINK("https://klasma.github.io/Logging_2184/klagomål/A 28268-2019 FSC-klagomål.docx", "A 28268-2019")</f>
        <v/>
      </c>
      <c r="W63">
        <f>HYPERLINK("https://klasma.github.io/Logging_2184/klagomålsmail/A 28268-2019 FSC-klagomål mail.docx", "A 28268-2019")</f>
        <v/>
      </c>
      <c r="X63">
        <f>HYPERLINK("https://klasma.github.io/Logging_2184/tillsyn/A 28268-2019 tillsynsbegäran.docx", "A 28268-2019")</f>
        <v/>
      </c>
      <c r="Y63">
        <f>HYPERLINK("https://klasma.github.io/Logging_2184/tillsynsmail/A 28268-2019 tillsynsbegäran mail.docx", "A 28268-2019")</f>
        <v/>
      </c>
    </row>
    <row r="64" ht="15" customHeight="1">
      <c r="A64" t="inlineStr">
        <is>
          <t>A 48604-2019</t>
        </is>
      </c>
      <c r="B64" s="1" t="n">
        <v>43727</v>
      </c>
      <c r="C64" s="1" t="n">
        <v>45674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HYPERLINK("https://klasma.github.io/Logging_2184/artfynd/A 48604-2019 artfynd.xlsx", "A 48604-2019")</f>
        <v/>
      </c>
      <c r="T64">
        <f>HYPERLINK("https://klasma.github.io/Logging_2184/kartor/A 48604-2019 karta.png", "A 48604-2019")</f>
        <v/>
      </c>
      <c r="V64">
        <f>HYPERLINK("https://klasma.github.io/Logging_2184/klagomål/A 48604-2019 FSC-klagomål.docx", "A 48604-2019")</f>
        <v/>
      </c>
      <c r="W64">
        <f>HYPERLINK("https://klasma.github.io/Logging_2184/klagomålsmail/A 48604-2019 FSC-klagomål mail.docx", "A 48604-2019")</f>
        <v/>
      </c>
      <c r="X64">
        <f>HYPERLINK("https://klasma.github.io/Logging_2184/tillsyn/A 48604-2019 tillsynsbegäran.docx", "A 48604-2019")</f>
        <v/>
      </c>
      <c r="Y64">
        <f>HYPERLINK("https://klasma.github.io/Logging_2184/tillsynsmail/A 48604-2019 tillsynsbegäran mail.docx", "A 48604-2019")</f>
        <v/>
      </c>
      <c r="Z64">
        <f>HYPERLINK("https://klasma.github.io/Logging_2184/fåglar/A 48604-2019 prioriterade fågelarter.docx", "A 48604-2019")</f>
        <v/>
      </c>
    </row>
    <row r="65" ht="15" customHeight="1">
      <c r="A65" t="inlineStr">
        <is>
          <t>A 1597-2020</t>
        </is>
      </c>
      <c r="B65" s="1" t="n">
        <v>43844</v>
      </c>
      <c r="C65" s="1" t="n">
        <v>45674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16.6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HYPERLINK("https://klasma.github.io/Logging_2184/artfynd/A 1597-2020 artfynd.xlsx", "A 1597-2020")</f>
        <v/>
      </c>
      <c r="T65">
        <f>HYPERLINK("https://klasma.github.io/Logging_2184/kartor/A 1597-2020 karta.png", "A 1597-2020")</f>
        <v/>
      </c>
      <c r="V65">
        <f>HYPERLINK("https://klasma.github.io/Logging_2184/klagomål/A 1597-2020 FSC-klagomål.docx", "A 1597-2020")</f>
        <v/>
      </c>
      <c r="W65">
        <f>HYPERLINK("https://klasma.github.io/Logging_2184/klagomålsmail/A 1597-2020 FSC-klagomål mail.docx", "A 1597-2020")</f>
        <v/>
      </c>
      <c r="X65">
        <f>HYPERLINK("https://klasma.github.io/Logging_2184/tillsyn/A 1597-2020 tillsynsbegäran.docx", "A 1597-2020")</f>
        <v/>
      </c>
      <c r="Y65">
        <f>HYPERLINK("https://klasma.github.io/Logging_2184/tillsynsmail/A 1597-2020 tillsynsbegäran mail.docx", "A 1597-2020")</f>
        <v/>
      </c>
      <c r="Z65">
        <f>HYPERLINK("https://klasma.github.io/Logging_2184/fåglar/A 1597-2020 prioriterade fågelarter.docx", "A 1597-2020")</f>
        <v/>
      </c>
    </row>
    <row r="66" ht="15" customHeight="1">
      <c r="A66" t="inlineStr">
        <is>
          <t>A 14362-2020</t>
        </is>
      </c>
      <c r="B66" s="1" t="n">
        <v>43908</v>
      </c>
      <c r="C66" s="1" t="n">
        <v>45674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2.7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Fiskmås</t>
        </is>
      </c>
      <c r="S66">
        <f>HYPERLINK("https://klasma.github.io/Logging_2184/artfynd/A 14362-2020 artfynd.xlsx", "A 14362-2020")</f>
        <v/>
      </c>
      <c r="T66">
        <f>HYPERLINK("https://klasma.github.io/Logging_2184/kartor/A 14362-2020 karta.png", "A 14362-2020")</f>
        <v/>
      </c>
      <c r="V66">
        <f>HYPERLINK("https://klasma.github.io/Logging_2184/klagomål/A 14362-2020 FSC-klagomål.docx", "A 14362-2020")</f>
        <v/>
      </c>
      <c r="W66">
        <f>HYPERLINK("https://klasma.github.io/Logging_2184/klagomålsmail/A 14362-2020 FSC-klagomål mail.docx", "A 14362-2020")</f>
        <v/>
      </c>
      <c r="X66">
        <f>HYPERLINK("https://klasma.github.io/Logging_2184/tillsyn/A 14362-2020 tillsynsbegäran.docx", "A 14362-2020")</f>
        <v/>
      </c>
      <c r="Y66">
        <f>HYPERLINK("https://klasma.github.io/Logging_2184/tillsynsmail/A 14362-2020 tillsynsbegäran mail.docx", "A 14362-2020")</f>
        <v/>
      </c>
    </row>
    <row r="67" ht="15" customHeight="1">
      <c r="A67" t="inlineStr">
        <is>
          <t>A 16382-2020</t>
        </is>
      </c>
      <c r="B67" s="1" t="n">
        <v>43917</v>
      </c>
      <c r="C67" s="1" t="n">
        <v>45674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Fjällvråk</t>
        </is>
      </c>
      <c r="S67">
        <f>HYPERLINK("https://klasma.github.io/Logging_2184/artfynd/A 16382-2020 artfynd.xlsx", "A 16382-2020")</f>
        <v/>
      </c>
      <c r="T67">
        <f>HYPERLINK("https://klasma.github.io/Logging_2184/kartor/A 16382-2020 karta.png", "A 16382-2020")</f>
        <v/>
      </c>
      <c r="V67">
        <f>HYPERLINK("https://klasma.github.io/Logging_2184/klagomål/A 16382-2020 FSC-klagomål.docx", "A 16382-2020")</f>
        <v/>
      </c>
      <c r="W67">
        <f>HYPERLINK("https://klasma.github.io/Logging_2184/klagomålsmail/A 16382-2020 FSC-klagomål mail.docx", "A 16382-2020")</f>
        <v/>
      </c>
      <c r="X67">
        <f>HYPERLINK("https://klasma.github.io/Logging_2184/tillsyn/A 16382-2020 tillsynsbegäran.docx", "A 16382-2020")</f>
        <v/>
      </c>
      <c r="Y67">
        <f>HYPERLINK("https://klasma.github.io/Logging_2184/tillsynsmail/A 16382-2020 tillsynsbegäran mail.docx", "A 16382-2020")</f>
        <v/>
      </c>
      <c r="Z67">
        <f>HYPERLINK("https://klasma.github.io/Logging_2184/fåglar/A 16382-2020 prioriterade fågelarter.docx", "A 16382-2020")</f>
        <v/>
      </c>
    </row>
    <row r="68" ht="15" customHeight="1">
      <c r="A68" t="inlineStr">
        <is>
          <t>A 30137-2020</t>
        </is>
      </c>
      <c r="B68" s="1" t="n">
        <v>44007</v>
      </c>
      <c r="C68" s="1" t="n">
        <v>45674</v>
      </c>
      <c r="D68" t="inlineStr">
        <is>
          <t>GÄVLEBORGS LÄN</t>
        </is>
      </c>
      <c r="E68" t="inlineStr">
        <is>
          <t>HUDIKSVALL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Rosenticka</t>
        </is>
      </c>
      <c r="S68">
        <f>HYPERLINK("https://klasma.github.io/Logging_2184/artfynd/A 30137-2020 artfynd.xlsx", "A 30137-2020")</f>
        <v/>
      </c>
      <c r="T68">
        <f>HYPERLINK("https://klasma.github.io/Logging_2184/kartor/A 30137-2020 karta.png", "A 30137-2020")</f>
        <v/>
      </c>
      <c r="V68">
        <f>HYPERLINK("https://klasma.github.io/Logging_2184/klagomål/A 30137-2020 FSC-klagomål.docx", "A 30137-2020")</f>
        <v/>
      </c>
      <c r="W68">
        <f>HYPERLINK("https://klasma.github.io/Logging_2184/klagomålsmail/A 30137-2020 FSC-klagomål mail.docx", "A 30137-2020")</f>
        <v/>
      </c>
      <c r="X68">
        <f>HYPERLINK("https://klasma.github.io/Logging_2184/tillsyn/A 30137-2020 tillsynsbegäran.docx", "A 30137-2020")</f>
        <v/>
      </c>
      <c r="Y68">
        <f>HYPERLINK("https://klasma.github.io/Logging_2184/tillsynsmail/A 30137-2020 tillsynsbegäran mail.docx", "A 30137-2020")</f>
        <v/>
      </c>
    </row>
    <row r="69" ht="15" customHeight="1">
      <c r="A69" t="inlineStr">
        <is>
          <t>A 56543-2020</t>
        </is>
      </c>
      <c r="B69" s="1" t="n">
        <v>44137</v>
      </c>
      <c r="C69" s="1" t="n">
        <v>45674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HYPERLINK("https://klasma.github.io/Logging_2184/artfynd/A 56543-2020 artfynd.xlsx", "A 56543-2020")</f>
        <v/>
      </c>
      <c r="T69">
        <f>HYPERLINK("https://klasma.github.io/Logging_2184/kartor/A 56543-2020 karta.png", "A 56543-2020")</f>
        <v/>
      </c>
      <c r="V69">
        <f>HYPERLINK("https://klasma.github.io/Logging_2184/klagomål/A 56543-2020 FSC-klagomål.docx", "A 56543-2020")</f>
        <v/>
      </c>
      <c r="W69">
        <f>HYPERLINK("https://klasma.github.io/Logging_2184/klagomålsmail/A 56543-2020 FSC-klagomål mail.docx", "A 56543-2020")</f>
        <v/>
      </c>
      <c r="X69">
        <f>HYPERLINK("https://klasma.github.io/Logging_2184/tillsyn/A 56543-2020 tillsynsbegäran.docx", "A 56543-2020")</f>
        <v/>
      </c>
      <c r="Y69">
        <f>HYPERLINK("https://klasma.github.io/Logging_2184/tillsynsmail/A 56543-2020 tillsynsbegäran mail.docx", "A 56543-2020")</f>
        <v/>
      </c>
    </row>
    <row r="70" ht="15" customHeight="1">
      <c r="A70" t="inlineStr">
        <is>
          <t>A 65637-2020</t>
        </is>
      </c>
      <c r="B70" s="1" t="n">
        <v>44174</v>
      </c>
      <c r="C70" s="1" t="n">
        <v>45674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4.8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Vippfibbla</t>
        </is>
      </c>
      <c r="S70">
        <f>HYPERLINK("https://klasma.github.io/Logging_2184/artfynd/A 65637-2020 artfynd.xlsx", "A 65637-2020")</f>
        <v/>
      </c>
      <c r="T70">
        <f>HYPERLINK("https://klasma.github.io/Logging_2184/kartor/A 65637-2020 karta.png", "A 65637-2020")</f>
        <v/>
      </c>
      <c r="V70">
        <f>HYPERLINK("https://klasma.github.io/Logging_2184/klagomål/A 65637-2020 FSC-klagomål.docx", "A 65637-2020")</f>
        <v/>
      </c>
      <c r="W70">
        <f>HYPERLINK("https://klasma.github.io/Logging_2184/klagomålsmail/A 65637-2020 FSC-klagomål mail.docx", "A 65637-2020")</f>
        <v/>
      </c>
      <c r="X70">
        <f>HYPERLINK("https://klasma.github.io/Logging_2184/tillsyn/A 65637-2020 tillsynsbegäran.docx", "A 65637-2020")</f>
        <v/>
      </c>
      <c r="Y70">
        <f>HYPERLINK("https://klasma.github.io/Logging_2184/tillsynsmail/A 65637-2020 tillsynsbegäran mail.docx", "A 65637-2020")</f>
        <v/>
      </c>
    </row>
    <row r="71" ht="15" customHeight="1">
      <c r="A71" t="inlineStr">
        <is>
          <t>A 29691-2021</t>
        </is>
      </c>
      <c r="B71" s="1" t="n">
        <v>44362</v>
      </c>
      <c r="C71" s="1" t="n">
        <v>45674</v>
      </c>
      <c r="D71" t="inlineStr">
        <is>
          <t>GÄVLEBORGS LÄN</t>
        </is>
      </c>
      <c r="E71" t="inlineStr">
        <is>
          <t>HUDIKSVALL</t>
        </is>
      </c>
      <c r="G71" t="n">
        <v>1.3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Tallgråticka</t>
        </is>
      </c>
      <c r="S71">
        <f>HYPERLINK("https://klasma.github.io/Logging_2184/artfynd/A 29691-2021 artfynd.xlsx", "A 29691-2021")</f>
        <v/>
      </c>
      <c r="T71">
        <f>HYPERLINK("https://klasma.github.io/Logging_2184/kartor/A 29691-2021 karta.png", "A 29691-2021")</f>
        <v/>
      </c>
      <c r="V71">
        <f>HYPERLINK("https://klasma.github.io/Logging_2184/klagomål/A 29691-2021 FSC-klagomål.docx", "A 29691-2021")</f>
        <v/>
      </c>
      <c r="W71">
        <f>HYPERLINK("https://klasma.github.io/Logging_2184/klagomålsmail/A 29691-2021 FSC-klagomål mail.docx", "A 29691-2021")</f>
        <v/>
      </c>
      <c r="X71">
        <f>HYPERLINK("https://klasma.github.io/Logging_2184/tillsyn/A 29691-2021 tillsynsbegäran.docx", "A 29691-2021")</f>
        <v/>
      </c>
      <c r="Y71">
        <f>HYPERLINK("https://klasma.github.io/Logging_2184/tillsynsmail/A 29691-2021 tillsynsbegäran mail.docx", "A 29691-2021")</f>
        <v/>
      </c>
    </row>
    <row r="72" ht="15" customHeight="1">
      <c r="A72" t="inlineStr">
        <is>
          <t>A 32817-2021</t>
        </is>
      </c>
      <c r="B72" s="1" t="n">
        <v>44375</v>
      </c>
      <c r="C72" s="1" t="n">
        <v>45674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HYPERLINK("https://klasma.github.io/Logging_2184/artfynd/A 32817-2021 artfynd.xlsx", "A 32817-2021")</f>
        <v/>
      </c>
      <c r="T72">
        <f>HYPERLINK("https://klasma.github.io/Logging_2184/kartor/A 32817-2021 karta.png", "A 32817-2021")</f>
        <v/>
      </c>
      <c r="V72">
        <f>HYPERLINK("https://klasma.github.io/Logging_2184/klagomål/A 32817-2021 FSC-klagomål.docx", "A 32817-2021")</f>
        <v/>
      </c>
      <c r="W72">
        <f>HYPERLINK("https://klasma.github.io/Logging_2184/klagomålsmail/A 32817-2021 FSC-klagomål mail.docx", "A 32817-2021")</f>
        <v/>
      </c>
      <c r="X72">
        <f>HYPERLINK("https://klasma.github.io/Logging_2184/tillsyn/A 32817-2021 tillsynsbegäran.docx", "A 32817-2021")</f>
        <v/>
      </c>
      <c r="Y72">
        <f>HYPERLINK("https://klasma.github.io/Logging_2184/tillsynsmail/A 32817-2021 tillsynsbegäran mail.docx", "A 32817-2021")</f>
        <v/>
      </c>
    </row>
    <row r="73" ht="15" customHeight="1">
      <c r="A73" t="inlineStr">
        <is>
          <t>A 68162-2021</t>
        </is>
      </c>
      <c r="B73" s="1" t="n">
        <v>44526</v>
      </c>
      <c r="C73" s="1" t="n">
        <v>45674</v>
      </c>
      <c r="D73" t="inlineStr">
        <is>
          <t>GÄVLEBORGS LÄN</t>
        </is>
      </c>
      <c r="E73" t="inlineStr">
        <is>
          <t>HUDIKSVALL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HYPERLINK("https://klasma.github.io/Logging_2184/artfynd/A 68162-2021 artfynd.xlsx", "A 68162-2021")</f>
        <v/>
      </c>
      <c r="T73">
        <f>HYPERLINK("https://klasma.github.io/Logging_2184/kartor/A 68162-2021 karta.png", "A 68162-2021")</f>
        <v/>
      </c>
      <c r="V73">
        <f>HYPERLINK("https://klasma.github.io/Logging_2184/klagomål/A 68162-2021 FSC-klagomål.docx", "A 68162-2021")</f>
        <v/>
      </c>
      <c r="W73">
        <f>HYPERLINK("https://klasma.github.io/Logging_2184/klagomålsmail/A 68162-2021 FSC-klagomål mail.docx", "A 68162-2021")</f>
        <v/>
      </c>
      <c r="X73">
        <f>HYPERLINK("https://klasma.github.io/Logging_2184/tillsyn/A 68162-2021 tillsynsbegäran.docx", "A 68162-2021")</f>
        <v/>
      </c>
      <c r="Y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s="1" t="n">
        <v>44539</v>
      </c>
      <c r="C74" s="1" t="n">
        <v>45674</v>
      </c>
      <c r="D74" t="inlineStr">
        <is>
          <t>GÄVLEBORGS LÄN</t>
        </is>
      </c>
      <c r="E74" t="inlineStr">
        <is>
          <t>HUDIKSVALL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HYPERLINK("https://klasma.github.io/Logging_2184/artfynd/A 71122-2021 artfynd.xlsx", "A 71122-2021")</f>
        <v/>
      </c>
      <c r="T74">
        <f>HYPERLINK("https://klasma.github.io/Logging_2184/kartor/A 71122-2021 karta.png", "A 71122-2021")</f>
        <v/>
      </c>
      <c r="U74">
        <f>HYPERLINK("https://klasma.github.io/Logging_2184/knärot/A 71122-2021 karta knärot.png", "A 71122-2021")</f>
        <v/>
      </c>
      <c r="V74">
        <f>HYPERLINK("https://klasma.github.io/Logging_2184/klagomål/A 71122-2021 FSC-klagomål.docx", "A 71122-2021")</f>
        <v/>
      </c>
      <c r="W74">
        <f>HYPERLINK("https://klasma.github.io/Logging_2184/klagomålsmail/A 71122-2021 FSC-klagomål mail.docx", "A 71122-2021")</f>
        <v/>
      </c>
      <c r="X74">
        <f>HYPERLINK("https://klasma.github.io/Logging_2184/tillsyn/A 71122-2021 tillsynsbegäran.docx", "A 71122-2021")</f>
        <v/>
      </c>
      <c r="Y74">
        <f>HYPERLINK("https://klasma.github.io/Logging_2184/tillsynsmail/A 71122-2021 tillsynsbegäran mail.docx", "A 71122-2021")</f>
        <v/>
      </c>
    </row>
    <row r="75" ht="15" customHeight="1">
      <c r="A75" t="inlineStr">
        <is>
          <t>A 17382-2022</t>
        </is>
      </c>
      <c r="B75" s="1" t="n">
        <v>44678</v>
      </c>
      <c r="C75" s="1" t="n">
        <v>45674</v>
      </c>
      <c r="D75" t="inlineStr">
        <is>
          <t>GÄVLEBORGS LÄN</t>
        </is>
      </c>
      <c r="E75" t="inlineStr">
        <is>
          <t>HUDIKSVALL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Månlåsbräken</t>
        </is>
      </c>
      <c r="S75">
        <f>HYPERLINK("https://klasma.github.io/Logging_2184/artfynd/A 17382-2022 artfynd.xlsx", "A 17382-2022")</f>
        <v/>
      </c>
      <c r="T75">
        <f>HYPERLINK("https://klasma.github.io/Logging_2184/kartor/A 17382-2022 karta.png", "A 17382-2022")</f>
        <v/>
      </c>
      <c r="V75">
        <f>HYPERLINK("https://klasma.github.io/Logging_2184/klagomål/A 17382-2022 FSC-klagomål.docx", "A 17382-2022")</f>
        <v/>
      </c>
      <c r="W75">
        <f>HYPERLINK("https://klasma.github.io/Logging_2184/klagomålsmail/A 17382-2022 FSC-klagomål mail.docx", "A 17382-2022")</f>
        <v/>
      </c>
      <c r="X75">
        <f>HYPERLINK("https://klasma.github.io/Logging_2184/tillsyn/A 17382-2022 tillsynsbegäran.docx", "A 17382-2022")</f>
        <v/>
      </c>
      <c r="Y75">
        <f>HYPERLINK("https://klasma.github.io/Logging_2184/tillsynsmail/A 17382-2022 tillsynsbegäran mail.docx", "A 17382-2022")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45674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30963-2022</t>
        </is>
      </c>
      <c r="B77" s="1" t="n">
        <v>44768</v>
      </c>
      <c r="C77" s="1" t="n">
        <v>45674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9.9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HYPERLINK("https://klasma.github.io/Logging_2184/artfynd/A 30963-2022 artfynd.xlsx", "A 30963-2022")</f>
        <v/>
      </c>
      <c r="T77">
        <f>HYPERLINK("https://klasma.github.io/Logging_2184/kartor/A 30963-2022 karta.png", "A 30963-2022")</f>
        <v/>
      </c>
      <c r="V77">
        <f>HYPERLINK("https://klasma.github.io/Logging_2184/klagomål/A 30963-2022 FSC-klagomål.docx", "A 30963-2022")</f>
        <v/>
      </c>
      <c r="W77">
        <f>HYPERLINK("https://klasma.github.io/Logging_2184/klagomålsmail/A 30963-2022 FSC-klagomål mail.docx", "A 30963-2022")</f>
        <v/>
      </c>
      <c r="X77">
        <f>HYPERLINK("https://klasma.github.io/Logging_2184/tillsyn/A 30963-2022 tillsynsbegäran.docx", "A 30963-2022")</f>
        <v/>
      </c>
      <c r="Y77">
        <f>HYPERLINK("https://klasma.github.io/Logging_2184/tillsynsmail/A 30963-2022 tillsynsbegäran mail.docx", "A 30963-2022")</f>
        <v/>
      </c>
    </row>
    <row r="78" ht="15" customHeight="1">
      <c r="A78" t="inlineStr">
        <is>
          <t>A 34345-2022</t>
        </is>
      </c>
      <c r="B78" s="1" t="n">
        <v>44792</v>
      </c>
      <c r="C78" s="1" t="n">
        <v>45674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4.4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Stuplav</t>
        </is>
      </c>
      <c r="S78">
        <f>HYPERLINK("https://klasma.github.io/Logging_2184/artfynd/A 34345-2022 artfynd.xlsx", "A 34345-2022")</f>
        <v/>
      </c>
      <c r="T78">
        <f>HYPERLINK("https://klasma.github.io/Logging_2184/kartor/A 34345-2022 karta.png", "A 34345-2022")</f>
        <v/>
      </c>
      <c r="V78">
        <f>HYPERLINK("https://klasma.github.io/Logging_2184/klagomål/A 34345-2022 FSC-klagomål.docx", "A 34345-2022")</f>
        <v/>
      </c>
      <c r="W78">
        <f>HYPERLINK("https://klasma.github.io/Logging_2184/klagomålsmail/A 34345-2022 FSC-klagomål mail.docx", "A 34345-2022")</f>
        <v/>
      </c>
      <c r="X78">
        <f>HYPERLINK("https://klasma.github.io/Logging_2184/tillsyn/A 34345-2022 tillsynsbegäran.docx", "A 34345-2022")</f>
        <v/>
      </c>
      <c r="Y78">
        <f>HYPERLINK("https://klasma.github.io/Logging_2184/tillsynsmail/A 34345-2022 tillsynsbegäran mail.docx", "A 34345-2022")</f>
        <v/>
      </c>
    </row>
    <row r="79" ht="15" customHeight="1">
      <c r="A79" t="inlineStr">
        <is>
          <t>A 52104-2022</t>
        </is>
      </c>
      <c r="B79" s="1" t="n">
        <v>44873</v>
      </c>
      <c r="C79" s="1" t="n">
        <v>45674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HYPERLINK("https://klasma.github.io/Logging_2184/artfynd/A 52104-2022 artfynd.xlsx", "A 52104-2022")</f>
        <v/>
      </c>
      <c r="T79">
        <f>HYPERLINK("https://klasma.github.io/Logging_2184/kartor/A 52104-2022 karta.png", "A 52104-2022")</f>
        <v/>
      </c>
      <c r="V79">
        <f>HYPERLINK("https://klasma.github.io/Logging_2184/klagomål/A 52104-2022 FSC-klagomål.docx", "A 52104-2022")</f>
        <v/>
      </c>
      <c r="W79">
        <f>HYPERLINK("https://klasma.github.io/Logging_2184/klagomålsmail/A 52104-2022 FSC-klagomål mail.docx", "A 52104-2022")</f>
        <v/>
      </c>
      <c r="X79">
        <f>HYPERLINK("https://klasma.github.io/Logging_2184/tillsyn/A 52104-2022 tillsynsbegäran.docx", "A 52104-2022")</f>
        <v/>
      </c>
      <c r="Y79">
        <f>HYPERLINK("https://klasma.github.io/Logging_2184/tillsynsmail/A 52104-2022 tillsynsbegäran mail.docx", "A 52104-2022")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45674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45674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45674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45674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45674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45674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45674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45674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45674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45674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45674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45674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45674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45674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45674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45674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45674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45674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45674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45674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45674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45674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45674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45674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45674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45674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45674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45674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45674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45674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45674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45674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45674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45674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45674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45674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45674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45674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45674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45674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45674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45674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45674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45674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45674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45674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45674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45674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45674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45674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45674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45674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45674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45674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45674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45674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45674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45674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45674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45674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45674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45674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45674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45674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45674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45674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45674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45674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45674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45674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45674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45674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45674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45674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45674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45674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45674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45674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45674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45674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45674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45674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45674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45674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45674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45674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45674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45674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45674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45674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45674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45674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45674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45674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45674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45674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45674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45674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45674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45674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45674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45674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45674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45674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45674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45674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45674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45674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45674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45674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45674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45674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45674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45674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45674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45674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45674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45674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45674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45674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45674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45674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45674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45674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45674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45674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45674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45674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45674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45674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45674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45674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45674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45674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45674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45674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45674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45674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45674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45674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45674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45674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45674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45674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45674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45674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45674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45674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45674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45674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45674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45674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45674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45674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45674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45674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45674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45674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45674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45674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45674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45674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45674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45674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45674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45674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45674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45674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45674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45674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45674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45674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45674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45674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45674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45674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45674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45674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45674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45674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45674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45674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45674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45674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45674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45674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45674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45674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45674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45674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45674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45674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45674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45674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45674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45674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45674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45674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45674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45674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45674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45674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45674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45674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45674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45674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45674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45674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45674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45674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45674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45674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45674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45674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45674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45674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45674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45674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45674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45674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45674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45674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45674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45674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45674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45674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45674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45674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45674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45674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45674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45674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45674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45674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45674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45674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45674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45674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45674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45674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45674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45674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45674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45674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45674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45674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45674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45674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45674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45674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45674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45674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45674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45674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45674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45674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45674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45674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45674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45674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45674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45674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45674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45674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45674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45674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45674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45674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45674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45674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45674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45674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45674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45674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45674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45674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45674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45674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45674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45674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45674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45674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45674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45674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45674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45674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45674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45674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45674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45674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45674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45674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45674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45674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45674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45674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45674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45674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45674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45674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45674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45674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45674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45674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45674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45674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45674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45674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45674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45674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45674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45674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45674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45674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45674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45674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45674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45674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45674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45674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45674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45674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45674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45674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45674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45674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45674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45674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45674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45674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45674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45674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45674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45674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45674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45674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45674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45674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45674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45674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45674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45674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45674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45674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45674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45674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45674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45674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45674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45674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45674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45674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45674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45674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45674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45674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45674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45674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45674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45674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45674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45674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45674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45674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45674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45674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45674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45674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45674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45674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45674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45674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45674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45674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45674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45674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45674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45674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45674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45674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45674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45674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45674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45674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45674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45674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45674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45674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45674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45674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45674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45674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45674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45674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45674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45674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45674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45674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45674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45674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45674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45674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45674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45674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45674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45674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45674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45674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45674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45674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45674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45674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45674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45674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45674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45674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45674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45674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45674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45674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45674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45674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45674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45674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45674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45674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45674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45674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45674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45674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45674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45674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45674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45674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45674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45674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45674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45674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45674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45674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45674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45674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45674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45674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45674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45674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45674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45674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45674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45674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45674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45674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45674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45674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45674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45674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45674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45674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45674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45674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45674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45674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45674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45674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45674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45674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45674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45674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45674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45674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45674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45674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45674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45674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45674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45674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45674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45674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45674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45674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45674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45674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45674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45674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45674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45674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45674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45674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45674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45674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45674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45674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45674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45674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45674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45674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45674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45674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45674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45674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45674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45674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45674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45674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45674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45674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45674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45674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45674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45674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45674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45674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45674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45674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45674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45674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45674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45674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45674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45674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45674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45674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45674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45674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45674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45674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45674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45674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45674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45674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45674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45674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45674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45674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45674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45674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45674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45674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45674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45674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45674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45674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45674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45674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45674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45674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45674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45674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45674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45674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45674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45674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45674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45674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45674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45674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45674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45674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45674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45674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45674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45674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45674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45674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45674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45674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45674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45674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45674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45674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45674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45674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45674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45674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45674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45674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45674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45674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45674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45674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45674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45674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45674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45674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45674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45674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45674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45674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45674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45674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45674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45674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45674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45674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45674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45674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45674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45674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45674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45674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45674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45674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45674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45674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45674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45674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45674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45674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45674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45674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45674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45674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45674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45674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45674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45674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45674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45674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45674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45674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45674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45674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45674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45674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45674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45674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45674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45674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45674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45674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45674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45674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45674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45674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45674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45674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45674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45674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45674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45674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45674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45674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45674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45674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45674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45674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45674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45674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45674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45674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45674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45674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45674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45674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45674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45674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45674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45674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45674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45674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45674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45674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45674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45674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45674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45674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45674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45674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45674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45674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45674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45674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45674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45674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45674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45674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45674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45674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45674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45674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45674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45674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45674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45674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45674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45674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45674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45674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45674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45674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45674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45674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45674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45674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45674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45674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45674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45674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45674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45674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45674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45674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45674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45674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45674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45674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45674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45674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45674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45674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45674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45674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45674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45674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45674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45674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45674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45674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45674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45674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45674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45674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45674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45674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45674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45674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45674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45674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45674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45674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45674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45674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45674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45674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45674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45674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45674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45674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45674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45674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45674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45674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45674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45674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45674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45674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45674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45674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45674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45674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45674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45674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45674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45674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45674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45674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45674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45674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45674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45674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45674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45674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45674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45674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45674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45674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45674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45674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45674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45674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45674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45674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45674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45674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45674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45674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45674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45674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45674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45674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45674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45674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45674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45674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45674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45674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45674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45674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45674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45674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45674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45674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45674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45674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45674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45674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45674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45674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45674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45674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45674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45674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45674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45674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45674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45674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45674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45674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45674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45674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45674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45674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45674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45674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45674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45674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45674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45674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45674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45674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45674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45674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45674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45674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45674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45674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45674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45674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45674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45674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45674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45674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45674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45674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45674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45674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45674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45674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45674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45674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45674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45674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45674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45674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45674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45674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45674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45674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45674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45674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45674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45674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45674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45674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45674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45674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45674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45674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45674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45674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45674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45674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45674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45674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45674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45674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45674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45674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45674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45674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45674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45674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45674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45674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45674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45674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45674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45674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45674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45674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45674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45674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45674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45674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45674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45674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45674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45674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45674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45674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45674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45674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45674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45674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45674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45674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45674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45674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45674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45674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45674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45674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45674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45674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45674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45674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45674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45674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45674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45674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45674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45674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45674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45674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45674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45674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45674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45674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45674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45674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45674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45674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45674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45674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45674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45674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45674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45674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45674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45674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45674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45674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45674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45674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45674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45674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45674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45674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45674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45674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45674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45674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45674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45674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45674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45674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45674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45674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45674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45674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45674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45674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45674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45674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45674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45674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45674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45674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45674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45674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45674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45674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45674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45674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45674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45674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45674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45674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45674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45674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45674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45674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45674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45674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45674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45674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45674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45674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45674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45674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45674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45674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45674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45674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45674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45674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45674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45674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45674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45674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45674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45674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45674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45674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45674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45674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45674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45674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45674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45674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45674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45674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45674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45674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45674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45674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45674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45674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45674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45674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45674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45674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45674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45674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45674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45674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45674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45674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45674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45674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45674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45674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45674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45674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45674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45674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45674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45674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45674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45674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45674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45674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45674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45674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45674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45674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45674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45674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45674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45674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45674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45674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45674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45674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45674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45674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45674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45674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45674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45674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45674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45674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45674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45674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45674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45674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45674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45674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45674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45674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45674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45674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45674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45674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45674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45674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45674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45674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45674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45674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45674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45674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45674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45674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45674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45674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45674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45674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45674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45674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45674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45674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45674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45674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45674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45674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45674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45674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45674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45674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45674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45674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45674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45674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45674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45674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45674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45674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45674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45674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45674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45674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45674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45674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45674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45674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45674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45674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45674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45674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45674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45674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45674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45674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45674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45674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45674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45674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45674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45674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45674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45674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45674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45674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45674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45674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45674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45674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45674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45674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45674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45674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45674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45674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45674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45674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45674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45674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45674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45674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45674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45674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45674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45674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45674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45674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45674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45674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45674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45674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45674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45674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45674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45674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45674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45674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45674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45674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45674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45674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45674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45674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45674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45674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45674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45674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45674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45674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45674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45674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45674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45674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45674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45674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45674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45674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45674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45674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45674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45674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45674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45674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45674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45674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45674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45674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45674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45674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45674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45674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45674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45674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45674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45674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45674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45674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45674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45674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45674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45674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45674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45674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45674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45674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45674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45674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45674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45674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45674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45674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45674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45674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45674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45674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45674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45674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45674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45674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45674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45674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45674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45674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45674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45674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45674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45674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45674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45674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45674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45674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45674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45674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45674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45674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45674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45674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45674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45674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45674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45674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45674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45674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45674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45674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45674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45674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45674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45674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45674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45674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45674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45674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45674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45674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45674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45674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45674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45674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45674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45674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45674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45674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45674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45674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45674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45674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45674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45674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45674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45674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45674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45674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45674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45674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45674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45674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45674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45674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45674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45674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45674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45674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45674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45674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45674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45674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45674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45674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45674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45674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45674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45674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45674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45674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45674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45674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45674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45674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45674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45674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45674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45674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45674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45674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45674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45674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45674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45674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45674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45674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45674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45674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45674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45674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45674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45674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45674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45674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45674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45674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45674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45674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45674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45674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45674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45674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45674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45674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45674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45674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45674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45674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45674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45674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45674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45674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45674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45674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45674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45674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45674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45674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45674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45674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45674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45674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45674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45674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45674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45674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45674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45674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45674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45674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45674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45674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45674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45674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45674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45674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45674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45674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45674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45674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45674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45674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45674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45674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45674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45674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45674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45674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45674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45674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45674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45674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45674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45674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45674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45674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45674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45674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45674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45674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45674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45674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45674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45674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45674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45674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45674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45674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45674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45674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45674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45674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45674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45674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45674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45674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45674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45674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45674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45674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45674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45674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45674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45674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45674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45674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45674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45674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45674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45674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45674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45674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45674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45674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45674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45674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45674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45674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45674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45674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45674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45674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45674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45674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45674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45674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45674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45674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45674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45674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45674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45674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45674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45674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45674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45674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45674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45674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45674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45674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45674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45674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45674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45674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45674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45674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45674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45674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45674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45674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45674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45674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45674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45674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45674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45674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45674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45674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45674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45674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45674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45674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45674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45674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45674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45674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45674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45674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45674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45674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45674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45674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45674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45674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45674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45674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45674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45674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45674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45674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45674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45674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45674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45674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45674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45674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45674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45674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45674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45674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45674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45674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45674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45674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45674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45674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45674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45674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45674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45674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45674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45674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45674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45674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45674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45674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45674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45674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45674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45674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45674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45674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45674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45674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45674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45674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45674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45674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45674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45674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45674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45674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45674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45674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45674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45674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45674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45674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45674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45674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45674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45674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45674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45674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45674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45674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45674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45674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45674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45674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45674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45674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45674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45674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45674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45674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45674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45674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45674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45674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45674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45674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45674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45674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45674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45674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45674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45674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45674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45674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45674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45674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45674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45674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45674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45674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45674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45674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45674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45674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45674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45674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45674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45674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45674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45674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45674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45674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45674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45674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45674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45674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45674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45674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45674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45674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45674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45674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45674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45674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45674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45674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45674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45674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45674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45674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45674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45674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45674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45674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45674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45674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45674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45674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45674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45674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45674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45674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45674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45674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45674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45674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45674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45674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45674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45674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45674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45674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45674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45674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45674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45674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45674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45674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45674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45674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45674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45674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45674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45674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45674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45674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45674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45674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45674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45674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45674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45674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45674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45674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45674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45674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45674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45674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45674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45674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45674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45674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45674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45674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45674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45674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45674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45674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45674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45674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45674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45674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45674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45674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45674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45674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45674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45674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45674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45674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45674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45674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45674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45674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45674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45674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45674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45674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45674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45674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45674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45674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45674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45674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45674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45674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45674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45674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45674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45674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45674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45674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45674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45674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45674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45674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45674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45674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45674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45674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45674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45674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45674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45674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45674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45674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45674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45674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45674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45674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45674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45674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45674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45674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45674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45674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45674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45674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45674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45674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45674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45674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45674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45674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45674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45674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45674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45674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45674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45674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45674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45674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45674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45674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45674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45674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45674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45674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45674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45674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45674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45674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45674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45674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45674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45674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45674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45674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45674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45674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45674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45674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45674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45674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45674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45674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45674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45674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45674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45674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45674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45674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45674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45674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45674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45674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45674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45674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45674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45674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45674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45674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45674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45674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45674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45674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45674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45674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45674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45674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45674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45674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45674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45674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45674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45674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45674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45674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45674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45674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45674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45674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45674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45674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45674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45674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45674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45674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45674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45674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45674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45674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45674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45674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45674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45674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45674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45674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45674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45674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45674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45674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45674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45674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45674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45674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45674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45674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45674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45674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45674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45674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45674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45674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45674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45674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45674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45674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45674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45674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45674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45674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45674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45674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45674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45674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45674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45674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45674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45674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45674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45674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45674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45674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45674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45674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45674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45674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45674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45674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45674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45674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45674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45674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45674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45674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45674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45674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45674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45674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45674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45674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45674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45674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45674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45674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45674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45674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45674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45674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45674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45674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45674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45674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45674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45674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45674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45674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45674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45674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45674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45674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45674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45674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45674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45674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45674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45674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45674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45674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45674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45674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45674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45674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45674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45674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45674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45674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45674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45674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45674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45674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45674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45674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45674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45674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45674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45674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45674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45674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45674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45674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45674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45674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45674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45674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45674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45674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45674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45674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45674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45674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45674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45674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45674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45674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45674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45674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45674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45674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45674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45674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45674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45674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45674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45674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45674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45674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45674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45674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45674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45674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45674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45674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45674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45674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45674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45674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45674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45674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45674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45674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45674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45674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45674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45674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45674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45674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45674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45674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45674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45674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45674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45674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45674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54326-2024</t>
        </is>
      </c>
      <c r="B2045" s="1" t="n">
        <v>45617</v>
      </c>
      <c r="C2045" s="1" t="n">
        <v>45674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45674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54535-2024</t>
        </is>
      </c>
      <c r="B2047" s="1" t="n">
        <v>45617</v>
      </c>
      <c r="C2047" s="1" t="n">
        <v>45674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45674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45674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45674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45674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45674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45674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45674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45674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45674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45674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45674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45674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45674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45674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45674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45674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45674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45674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45674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45674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45674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45674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45674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45674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45674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45674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45674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45674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45674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45674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45674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45674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45674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45674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45674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45674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45674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45674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57731-2024</t>
        </is>
      </c>
      <c r="B2086" s="1" t="n">
        <v>45630</v>
      </c>
      <c r="C2086" s="1" t="n">
        <v>45674</v>
      </c>
      <c r="D2086" t="inlineStr">
        <is>
          <t>GÄVLEBORGS LÄN</t>
        </is>
      </c>
      <c r="E2086" t="inlineStr">
        <is>
          <t>HUDIKSVALL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57724-2024</t>
        </is>
      </c>
      <c r="B2087" s="1" t="n">
        <v>45630</v>
      </c>
      <c r="C2087" s="1" t="n">
        <v>45674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45674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45674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45674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58512-2024</t>
        </is>
      </c>
      <c r="B2091" s="1" t="n">
        <v>45635</v>
      </c>
      <c r="C2091" s="1" t="n">
        <v>45674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Holmen skog AB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58473-2024</t>
        </is>
      </c>
      <c r="B2092" s="1" t="n">
        <v>45635</v>
      </c>
      <c r="C2092" s="1" t="n">
        <v>45674</v>
      </c>
      <c r="D2092" t="inlineStr">
        <is>
          <t>GÄVLEBORGS LÄN</t>
        </is>
      </c>
      <c r="E2092" t="inlineStr">
        <is>
          <t>HUDIKSVALL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58538-2024</t>
        </is>
      </c>
      <c r="B2093" s="1" t="n">
        <v>45635</v>
      </c>
      <c r="C2093" s="1" t="n">
        <v>45674</v>
      </c>
      <c r="D2093" t="inlineStr">
        <is>
          <t>GÄVLEBORGS LÄN</t>
        </is>
      </c>
      <c r="E2093" t="inlineStr">
        <is>
          <t>HUDIKSVALL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45674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59822-2024</t>
        </is>
      </c>
      <c r="B2095" s="1" t="n">
        <v>45639</v>
      </c>
      <c r="C2095" s="1" t="n">
        <v>45674</v>
      </c>
      <c r="D2095" t="inlineStr">
        <is>
          <t>GÄVLEBORGS LÄN</t>
        </is>
      </c>
      <c r="E2095" t="inlineStr">
        <is>
          <t>HUDIKSVALL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59823-2024</t>
        </is>
      </c>
      <c r="B2096" s="1" t="n">
        <v>45639</v>
      </c>
      <c r="C2096" s="1" t="n">
        <v>45674</v>
      </c>
      <c r="D2096" t="inlineStr">
        <is>
          <t>GÄVLEBORGS LÄN</t>
        </is>
      </c>
      <c r="E2096" t="inlineStr">
        <is>
          <t>HUDIKSVALL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60220-2024</t>
        </is>
      </c>
      <c r="B2097" s="1" t="n">
        <v>45642</v>
      </c>
      <c r="C2097" s="1" t="n">
        <v>45674</v>
      </c>
      <c r="D2097" t="inlineStr">
        <is>
          <t>GÄVLEBORGS LÄN</t>
        </is>
      </c>
      <c r="E2097" t="inlineStr">
        <is>
          <t>HUDIKSVALL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60186-2024</t>
        </is>
      </c>
      <c r="B2098" s="1" t="n">
        <v>45642</v>
      </c>
      <c r="C2098" s="1" t="n">
        <v>45674</v>
      </c>
      <c r="D2098" t="inlineStr">
        <is>
          <t>GÄVLEBORGS LÄN</t>
        </is>
      </c>
      <c r="E2098" t="inlineStr">
        <is>
          <t>HUDIKSVALL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60359-2024</t>
        </is>
      </c>
      <c r="B2099" s="1" t="n">
        <v>45643</v>
      </c>
      <c r="C2099" s="1" t="n">
        <v>45674</v>
      </c>
      <c r="D2099" t="inlineStr">
        <is>
          <t>GÄVLEBORGS LÄN</t>
        </is>
      </c>
      <c r="E2099" t="inlineStr">
        <is>
          <t>HUDIKSVALL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60356-2024</t>
        </is>
      </c>
      <c r="B2100" s="1" t="n">
        <v>45643</v>
      </c>
      <c r="C2100" s="1" t="n">
        <v>45674</v>
      </c>
      <c r="D2100" t="inlineStr">
        <is>
          <t>GÄVLEBORGS LÄN</t>
        </is>
      </c>
      <c r="E2100" t="inlineStr">
        <is>
          <t>HUDIKSVALL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60777-2024</t>
        </is>
      </c>
      <c r="B2101" s="1" t="n">
        <v>45644</v>
      </c>
      <c r="C2101" s="1" t="n">
        <v>45674</v>
      </c>
      <c r="D2101" t="inlineStr">
        <is>
          <t>GÄVLEBORGS LÄN</t>
        </is>
      </c>
      <c r="E2101" t="inlineStr">
        <is>
          <t>HUDIKSVALL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60594-2024</t>
        </is>
      </c>
      <c r="B2102" s="1" t="n">
        <v>45644</v>
      </c>
      <c r="C2102" s="1" t="n">
        <v>45674</v>
      </c>
      <c r="D2102" t="inlineStr">
        <is>
          <t>GÄVLEBORGS LÄN</t>
        </is>
      </c>
      <c r="E2102" t="inlineStr">
        <is>
          <t>HUDIKSVALL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60835-2024</t>
        </is>
      </c>
      <c r="B2103" s="1" t="n">
        <v>45644</v>
      </c>
      <c r="C2103" s="1" t="n">
        <v>45674</v>
      </c>
      <c r="D2103" t="inlineStr">
        <is>
          <t>GÄVLEBORGS LÄN</t>
        </is>
      </c>
      <c r="E2103" t="inlineStr">
        <is>
          <t>HUDIKSVALL</t>
        </is>
      </c>
      <c r="F2103" t="inlineStr">
        <is>
          <t>Holmen skog AB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60872-2024</t>
        </is>
      </c>
      <c r="B2104" s="1" t="n">
        <v>45644</v>
      </c>
      <c r="C2104" s="1" t="n">
        <v>45674</v>
      </c>
      <c r="D2104" t="inlineStr">
        <is>
          <t>GÄVLEBORGS LÄN</t>
        </is>
      </c>
      <c r="E2104" t="inlineStr">
        <is>
          <t>HUDIKSVALL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60902-2024</t>
        </is>
      </c>
      <c r="B2105" s="1" t="n">
        <v>45645</v>
      </c>
      <c r="C2105" s="1" t="n">
        <v>45674</v>
      </c>
      <c r="D2105" t="inlineStr">
        <is>
          <t>GÄVLEBORGS LÄN</t>
        </is>
      </c>
      <c r="E2105" t="inlineStr">
        <is>
          <t>HUDIKSVALL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60942-2024</t>
        </is>
      </c>
      <c r="B2106" s="1" t="n">
        <v>45645</v>
      </c>
      <c r="C2106" s="1" t="n">
        <v>45674</v>
      </c>
      <c r="D2106" t="inlineStr">
        <is>
          <t>GÄVLEBORGS LÄN</t>
        </is>
      </c>
      <c r="E2106" t="inlineStr">
        <is>
          <t>HUDIKSVALL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45674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60904-2024</t>
        </is>
      </c>
      <c r="B2108" s="1" t="n">
        <v>45645</v>
      </c>
      <c r="C2108" s="1" t="n">
        <v>45674</v>
      </c>
      <c r="D2108" t="inlineStr">
        <is>
          <t>GÄVLEBORGS LÄN</t>
        </is>
      </c>
      <c r="E2108" t="inlineStr">
        <is>
          <t>HUDIKSVALL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61087-2024</t>
        </is>
      </c>
      <c r="B2109" s="1" t="n">
        <v>45645</v>
      </c>
      <c r="C2109" s="1" t="n">
        <v>45674</v>
      </c>
      <c r="D2109" t="inlineStr">
        <is>
          <t>GÄVLEBORGS LÄN</t>
        </is>
      </c>
      <c r="E2109" t="inlineStr">
        <is>
          <t>HUDIKSVALL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61579-2024</t>
        </is>
      </c>
      <c r="B2110" s="1" t="n">
        <v>45646</v>
      </c>
      <c r="C2110" s="1" t="n">
        <v>45674</v>
      </c>
      <c r="D2110" t="inlineStr">
        <is>
          <t>GÄVLEBORGS LÄN</t>
        </is>
      </c>
      <c r="E2110" t="inlineStr">
        <is>
          <t>HUDIKSVALL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45674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61763-2024</t>
        </is>
      </c>
      <c r="B2112" s="1" t="n">
        <v>45649</v>
      </c>
      <c r="C2112" s="1" t="n">
        <v>45674</v>
      </c>
      <c r="D2112" t="inlineStr">
        <is>
          <t>GÄVLEBORGS LÄN</t>
        </is>
      </c>
      <c r="E2112" t="inlineStr">
        <is>
          <t>HUDIKSVALL</t>
        </is>
      </c>
      <c r="G2112" t="n">
        <v>7.1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61792-2024</t>
        </is>
      </c>
      <c r="B2113" s="1" t="n">
        <v>45649</v>
      </c>
      <c r="C2113" s="1" t="n">
        <v>45674</v>
      </c>
      <c r="D2113" t="inlineStr">
        <is>
          <t>GÄVLEBORGS LÄN</t>
        </is>
      </c>
      <c r="E2113" t="inlineStr">
        <is>
          <t>HUDIKSVALL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61785-2024</t>
        </is>
      </c>
      <c r="B2114" s="1" t="n">
        <v>45649</v>
      </c>
      <c r="C2114" s="1" t="n">
        <v>45674</v>
      </c>
      <c r="D2114" t="inlineStr">
        <is>
          <t>GÄVLEBORGS LÄN</t>
        </is>
      </c>
      <c r="E2114" t="inlineStr">
        <is>
          <t>HUDIKSVALL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286-2025</t>
        </is>
      </c>
      <c r="B2115" s="1" t="n">
        <v>45660</v>
      </c>
      <c r="C2115" s="1" t="n">
        <v>45674</v>
      </c>
      <c r="D2115" t="inlineStr">
        <is>
          <t>GÄVLEBORGS LÄN</t>
        </is>
      </c>
      <c r="E2115" t="inlineStr">
        <is>
          <t>HUDIKSVALL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210-2025</t>
        </is>
      </c>
      <c r="B2116" s="1" t="n">
        <v>45660</v>
      </c>
      <c r="C2116" s="1" t="n">
        <v>45674</v>
      </c>
      <c r="D2116" t="inlineStr">
        <is>
          <t>GÄVLEBORGS LÄN</t>
        </is>
      </c>
      <c r="E2116" t="inlineStr">
        <is>
          <t>HUDIKSVALL</t>
        </is>
      </c>
      <c r="F2116" t="inlineStr">
        <is>
          <t>Holmen skog AB</t>
        </is>
      </c>
      <c r="G2116" t="n">
        <v>6.2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405-2025</t>
        </is>
      </c>
      <c r="B2117" s="1" t="n">
        <v>45663</v>
      </c>
      <c r="C2117" s="1" t="n">
        <v>45674</v>
      </c>
      <c r="D2117" t="inlineStr">
        <is>
          <t>GÄVLEBORGS LÄN</t>
        </is>
      </c>
      <c r="E2117" t="inlineStr">
        <is>
          <t>HUDIKSVALL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45674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624-2025</t>
        </is>
      </c>
      <c r="B2119" s="1" t="n">
        <v>45664</v>
      </c>
      <c r="C2119" s="1" t="n">
        <v>45674</v>
      </c>
      <c r="D2119" t="inlineStr">
        <is>
          <t>GÄVLEBORGS LÄN</t>
        </is>
      </c>
      <c r="E2119" t="inlineStr">
        <is>
          <t>HUDIKSVALL</t>
        </is>
      </c>
      <c r="F2119" t="inlineStr">
        <is>
          <t>Holmen skog AB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450-2025</t>
        </is>
      </c>
      <c r="B2120" s="1" t="n">
        <v>45664</v>
      </c>
      <c r="C2120" s="1" t="n">
        <v>45674</v>
      </c>
      <c r="D2120" t="inlineStr">
        <is>
          <t>GÄVLEBORGS LÄN</t>
        </is>
      </c>
      <c r="E2120" t="inlineStr">
        <is>
          <t>HUDIKSVALL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45674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45674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1105-2025</t>
        </is>
      </c>
      <c r="B2123" s="1" t="n">
        <v>45666</v>
      </c>
      <c r="C2123" s="1" t="n">
        <v>45674</v>
      </c>
      <c r="D2123" t="inlineStr">
        <is>
          <t>GÄVLEBORGS LÄN</t>
        </is>
      </c>
      <c r="E2123" t="inlineStr">
        <is>
          <t>HUDIKSVALL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45674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1482-2025</t>
        </is>
      </c>
      <c r="B2125" s="1" t="n">
        <v>45670</v>
      </c>
      <c r="C2125" s="1" t="n">
        <v>45674</v>
      </c>
      <c r="D2125" t="inlineStr">
        <is>
          <t>GÄVLEBORGS LÄN</t>
        </is>
      </c>
      <c r="E2125" t="inlineStr">
        <is>
          <t>HUDIKSVALL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45674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1468-2025</t>
        </is>
      </c>
      <c r="B2127" s="1" t="n">
        <v>45670</v>
      </c>
      <c r="C2127" s="1" t="n">
        <v>45674</v>
      </c>
      <c r="D2127" t="inlineStr">
        <is>
          <t>GÄVLEBORGS LÄN</t>
        </is>
      </c>
      <c r="E2127" t="inlineStr">
        <is>
          <t>HUDIKSVALL</t>
        </is>
      </c>
      <c r="G2127" t="n">
        <v>11.8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1832-2025</t>
        </is>
      </c>
      <c r="B2128" s="1" t="n">
        <v>45671</v>
      </c>
      <c r="C2128" s="1" t="n">
        <v>45674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1887-2025</t>
        </is>
      </c>
      <c r="B2129" s="1" t="n">
        <v>45671</v>
      </c>
      <c r="C2129" s="1" t="n">
        <v>45674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>
      <c r="A2130" t="inlineStr">
        <is>
          <t>A 1845-2025</t>
        </is>
      </c>
      <c r="B2130" s="1" t="n">
        <v>45671</v>
      </c>
      <c r="C2130" s="1" t="n">
        <v>45674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2025-01-17T16:21:37Z</dcterms:created>
  <dcterms:modified xmlns:dcterms="http://purl.org/dc/terms/" xmlns:xsi="http://www.w3.org/2001/XMLSchema-instance" xsi:type="dcterms:W3CDTF">2025-01-17T16:21:39Z</dcterms:modified>
</cp:coreProperties>
</file>