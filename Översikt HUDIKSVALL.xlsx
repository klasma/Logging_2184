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155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13021-2022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44643</v>
      </c>
      <c r="E2" s="1" t="n">
        <v>46272</v>
      </c>
      <c r="F2" t="inlineStr">
        <is>
          <t>GÄVLEBORGS LÄN</t>
        </is>
      </c>
      <c r="G2" t="inlineStr">
        <is>
          <t>HUDIKSVALL</t>
        </is>
      </c>
      <c r="I2" t="n">
        <v>8.1</v>
      </c>
      <c r="J2" t="n">
        <v>5</v>
      </c>
      <c r="K2" t="n">
        <v>6</v>
      </c>
      <c r="L2" t="n">
        <v>11</v>
      </c>
      <c r="M2" t="n">
        <v>2</v>
      </c>
      <c r="N2" t="n">
        <v>2</v>
      </c>
      <c r="O2" t="n">
        <v>0</v>
      </c>
      <c r="P2" t="n">
        <v>0</v>
      </c>
      <c r="Q2" t="n">
        <v>15</v>
      </c>
      <c r="R2" t="n">
        <v>4</v>
      </c>
      <c r="S2" t="n">
        <v>22</v>
      </c>
      <c r="T2" t="n">
        <v>47</v>
      </c>
      <c r="U2" t="n">
        <v>30</v>
      </c>
      <c r="V2" s="2" t="inlineStr">
        <is>
          <t>Bombmurkla
Brödtaggsvamp
Kejsarskivling
Porslinsblå spindling
Dofttaggsvamp
Fjällig taggsvamp s.str.
Gultoppig fingersvamp
Kattfotslav
Kryddspindling
Skarp dropptaggsvamp
Skogssvingel
Talltita
Tretåig hackspett
Ullticka
Vedskivlav
Guldkremla
Gulnande spindling
Rödgul trumpetsvamp
Svavelriska
Tvåblad
Zontaggsvamp
Fläcknycklar</t>
        </is>
      </c>
      <c r="W2">
        <f>HYPERLINK("https://klasma.github.io/Logging_2184/artfynd/A 13021-2022 artfynd.xlsx", "A 13021-2022")</f>
        <v/>
      </c>
      <c r="X2">
        <f>HYPERLINK("https://klasma.github.io/Logging_2184/kartor/A 13021-2022 karta.png", "A 13021-2022")</f>
        <v/>
      </c>
      <c r="Y2">
        <f>HYPERLINK("https://klasma.github.io/Logging_2184/kartor_geotiff/A 13021-2022 georefererad karta.tif", "A 13021-2022")</f>
        <v/>
      </c>
      <c r="AA2">
        <f>HYPERLINK("https://klasma.github.io/Logging_2184/klagomål/A 13021-2022 FSC-klagomål.docx", "A 13021-2022")</f>
        <v/>
      </c>
      <c r="AB2">
        <f>HYPERLINK("https://klasma.github.io/Logging_2184/klagomålsmail/A 13021-2022 FSC-klagomål mail.docx", "A 13021-2022")</f>
        <v/>
      </c>
      <c r="AC2">
        <f>HYPERLINK("https://klasma.github.io/Logging_2184/tillsyn/A 13021-2022 tillsynsbegäran.docx", "A 13021-2022")</f>
        <v/>
      </c>
      <c r="AD2">
        <f>HYPERLINK("https://klasma.github.io/Logging_2184/tillsynsmail/A 13021-2022 tillsynsbegäran mail.docx", "A 13021-2022")</f>
        <v/>
      </c>
      <c r="AE2">
        <f>HYPERLINK("https://klasma.github.io/Logging_2184/fåglar/A 13021-2022 prioriterade fågelarter.docx", "A 13021-2022")</f>
        <v/>
      </c>
    </row>
    <row r="3" ht="15" customHeight="1">
      <c r="A3" t="inlineStr">
        <is>
          <t>A 8671-2022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44613</v>
      </c>
      <c r="E3" s="1" t="n">
        <v>46272</v>
      </c>
      <c r="F3" t="inlineStr">
        <is>
          <t>GÄVLEBORGS LÄN</t>
        </is>
      </c>
      <c r="G3" t="inlineStr">
        <is>
          <t>HUDIKSVALL</t>
        </is>
      </c>
      <c r="I3" t="n">
        <v>13.7</v>
      </c>
      <c r="J3" t="n">
        <v>0</v>
      </c>
      <c r="K3" t="n">
        <v>4</v>
      </c>
      <c r="L3" t="n">
        <v>9</v>
      </c>
      <c r="M3" t="n">
        <v>3</v>
      </c>
      <c r="N3" t="n">
        <v>0</v>
      </c>
      <c r="O3" t="n">
        <v>0</v>
      </c>
      <c r="P3" t="n">
        <v>0</v>
      </c>
      <c r="Q3" t="n">
        <v>12</v>
      </c>
      <c r="R3" t="n">
        <v>3</v>
      </c>
      <c r="S3" t="n">
        <v>16</v>
      </c>
      <c r="T3" t="n">
        <v>33</v>
      </c>
      <c r="U3" t="n">
        <v>20</v>
      </c>
      <c r="V3" s="2" t="inlineStr">
        <is>
          <t>Aspgelélav
Garnlav
Gränsticka
Doftskinn
Kattfotslav
Kortskaftad ärgspik
Lunglav
Rosenticka
Rynkskinn
Småflikig brosklav
Tallticka
Ullticka
Barkticka
Korallblylav
Stor aspticka
Trådticka</t>
        </is>
      </c>
      <c r="W3">
        <f>HYPERLINK("https://klasma.github.io/Logging_2184/artfynd/A 8671-2022 artfynd.xlsx", "A 8671-2022")</f>
        <v/>
      </c>
      <c r="X3">
        <f>HYPERLINK("https://klasma.github.io/Logging_2184/kartor/A 8671-2022 karta.png", "A 8671-2022")</f>
        <v/>
      </c>
      <c r="Y3">
        <f>HYPERLINK("https://klasma.github.io/Logging_2184/kartor_geotiff/A 8671-2022 georefererad karta.tif", "A 8671-2022")</f>
        <v/>
      </c>
      <c r="AA3">
        <f>HYPERLINK("https://klasma.github.io/Logging_2184/klagomål/A 8671-2022 FSC-klagomål.docx", "A 8671-2022")</f>
        <v/>
      </c>
      <c r="AB3">
        <f>HYPERLINK("https://klasma.github.io/Logging_2184/klagomålsmail/A 8671-2022 FSC-klagomål mail.docx", "A 8671-2022")</f>
        <v/>
      </c>
      <c r="AC3">
        <f>HYPERLINK("https://klasma.github.io/Logging_2184/tillsyn/A 8671-2022 tillsynsbegäran.docx", "A 8671-2022")</f>
        <v/>
      </c>
      <c r="AD3">
        <f>HYPERLINK("https://klasma.github.io/Logging_2184/tillsynsmail/A 8671-2022 tillsynsbegäran mail.docx", "A 8671-2022")</f>
        <v/>
      </c>
    </row>
    <row r="4" ht="15" customHeight="1">
      <c r="A4" t="inlineStr">
        <is>
          <t>A 57608-2022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44897</v>
      </c>
      <c r="E4" s="1" t="n">
        <v>46272</v>
      </c>
      <c r="F4" t="inlineStr">
        <is>
          <t>GÄVLEBORGS LÄN</t>
        </is>
      </c>
      <c r="G4" t="inlineStr">
        <is>
          <t>HUDIKSVALL</t>
        </is>
      </c>
      <c r="H4" t="inlineStr">
        <is>
          <t>Naturvårdsverket</t>
        </is>
      </c>
      <c r="I4" t="n">
        <v>18.5</v>
      </c>
      <c r="J4" t="n">
        <v>3</v>
      </c>
      <c r="K4" t="n">
        <v>3</v>
      </c>
      <c r="L4" t="n">
        <v>7</v>
      </c>
      <c r="M4" t="n">
        <v>3</v>
      </c>
      <c r="N4" t="n">
        <v>0</v>
      </c>
      <c r="O4" t="n">
        <v>0</v>
      </c>
      <c r="P4" t="n">
        <v>0</v>
      </c>
      <c r="Q4" t="n">
        <v>10</v>
      </c>
      <c r="R4" t="n">
        <v>3</v>
      </c>
      <c r="S4" t="n">
        <v>15</v>
      </c>
      <c r="T4" t="n">
        <v>21</v>
      </c>
      <c r="U4" t="n">
        <v>6</v>
      </c>
      <c r="V4" s="2" t="inlineStr">
        <is>
          <t>Aspgelélav
Garnlav
Knärot
Blanksvart spiklav
Blågrå svartspik
Kattfotslav
Lunglav
Ullticka
Violettgrå tagellav
Vitgrynig nållav
Korallblylav
Skinnlav
Stor aspticka
Blåsippa
Fläcknycklar</t>
        </is>
      </c>
      <c r="W4">
        <f>HYPERLINK("https://klasma.github.io/Logging_2184/artfynd/A 57608-2022 artfynd.xlsx", "A 57608-2022")</f>
        <v/>
      </c>
      <c r="X4">
        <f>HYPERLINK("https://klasma.github.io/Logging_2184/kartor/A 57608-2022 karta.png", "A 57608-2022")</f>
        <v/>
      </c>
      <c r="Y4">
        <f>HYPERLINK("https://klasma.github.io/Logging_2184/kartor_geotiff/A 57608-2022 georefererad karta.tif", "A 57608-2022")</f>
        <v/>
      </c>
      <c r="Z4">
        <f>HYPERLINK("https://klasma.github.io/Logging_2184/knärot/A 57608-2022 karta knärot.png", "A 57608-2022")</f>
        <v/>
      </c>
      <c r="AA4">
        <f>HYPERLINK("https://klasma.github.io/Logging_2184/klagomål/A 57608-2022 FSC-klagomål.docx", "A 57608-2022")</f>
        <v/>
      </c>
      <c r="AB4">
        <f>HYPERLINK("https://klasma.github.io/Logging_2184/klagomålsmail/A 57608-2022 FSC-klagomål mail.docx", "A 57608-2022")</f>
        <v/>
      </c>
      <c r="AC4">
        <f>HYPERLINK("https://klasma.github.io/Logging_2184/tillsyn/A 57608-2022 tillsynsbegäran.docx", "A 57608-2022")</f>
        <v/>
      </c>
      <c r="AD4">
        <f>HYPERLINK("https://klasma.github.io/Logging_2184/tillsynsmail/A 57608-2022 tillsynsbegäran mail.docx", "A 57608-2022")</f>
        <v/>
      </c>
    </row>
    <row r="5" ht="15" customHeight="1">
      <c r="A5" t="inlineStr">
        <is>
          <t>A 57608-2022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44897</v>
      </c>
      <c r="E5" s="1" t="n">
        <v>46272</v>
      </c>
      <c r="F5" t="inlineStr">
        <is>
          <t>GÄVLEBORGS LÄN</t>
        </is>
      </c>
      <c r="G5" t="inlineStr">
        <is>
          <t>HUDIKSVALL</t>
        </is>
      </c>
      <c r="H5" t="inlineStr">
        <is>
          <t>Naturvårdsverket</t>
        </is>
      </c>
      <c r="I5" t="n">
        <v>18.5</v>
      </c>
      <c r="J5" t="n">
        <v>3</v>
      </c>
      <c r="K5" t="n">
        <v>3</v>
      </c>
      <c r="L5" t="n">
        <v>7</v>
      </c>
      <c r="M5" t="n">
        <v>3</v>
      </c>
      <c r="N5" t="n">
        <v>0</v>
      </c>
      <c r="O5" t="n">
        <v>0</v>
      </c>
      <c r="P5" t="n">
        <v>0</v>
      </c>
      <c r="Q5" t="n">
        <v>10</v>
      </c>
      <c r="R5" t="n">
        <v>3</v>
      </c>
      <c r="S5" t="n">
        <v>15</v>
      </c>
      <c r="T5" t="n">
        <v>21</v>
      </c>
      <c r="U5" t="n">
        <v>6</v>
      </c>
      <c r="V5" s="2" t="inlineStr">
        <is>
          <t>Aspgelélav
Garnlav
Knärot
Blanksvart spiklav
Blågrå svartspik
Kattfotslav
Lunglav
Ullticka
Violettgrå tagellav
Vitgrynig nållav
Korallblylav
Skinnlav
Stor aspticka
Blåsippa
Fläcknycklar</t>
        </is>
      </c>
      <c r="W5">
        <f>HYPERLINK("https://klasma.github.io/Logging_2184/artfynd/A 57608-2022 artfynd.xlsx", "A 57608-2022")</f>
        <v/>
      </c>
      <c r="X5">
        <f>HYPERLINK("https://klasma.github.io/Logging_2184/kartor/A 57608-2022 karta.png", "A 57608-2022")</f>
        <v/>
      </c>
      <c r="Y5">
        <f>HYPERLINK("https://klasma.github.io/Logging_2184/kartor_geotiff/A 57608-2022 georefererad karta.tif", "A 57608-2022")</f>
        <v/>
      </c>
      <c r="Z5">
        <f>HYPERLINK("https://klasma.github.io/Logging_2184/knärot/A 57608-2022 karta knärot.png", "A 57608-2022")</f>
        <v/>
      </c>
      <c r="AA5">
        <f>HYPERLINK("https://klasma.github.io/Logging_2184/klagomål/A 57608-2022 FSC-klagomål.docx", "A 57608-2022")</f>
        <v/>
      </c>
      <c r="AB5">
        <f>HYPERLINK("https://klasma.github.io/Logging_2184/klagomålsmail/A 57608-2022 FSC-klagomål mail.docx", "A 57608-2022")</f>
        <v/>
      </c>
      <c r="AC5">
        <f>HYPERLINK("https://klasma.github.io/Logging_2184/tillsyn/A 57608-2022 tillsynsbegäran.docx", "A 57608-2022")</f>
        <v/>
      </c>
      <c r="AD5">
        <f>HYPERLINK("https://klasma.github.io/Logging_2184/tillsynsmail/A 57608-2022 tillsynsbegäran mail.docx", "A 57608-2022")</f>
        <v/>
      </c>
    </row>
    <row r="6" ht="15" customHeight="1">
      <c r="A6" t="inlineStr">
        <is>
          <t>S 10124-2021</t>
        </is>
      </c>
      <c r="B6" t="inlineStr">
        <is>
          <t>samrådsanmälan</t>
        </is>
      </c>
      <c r="C6" t="inlineStr">
        <is>
          <t>Skogsgödsling</t>
        </is>
      </c>
      <c r="D6" s="1" t="n">
        <v>44538</v>
      </c>
      <c r="E6" s="1" t="n">
        <v>46272</v>
      </c>
      <c r="F6" t="inlineStr">
        <is>
          <t>GÄVLEBORGS LÄN</t>
        </is>
      </c>
      <c r="G6" t="inlineStr">
        <is>
          <t>HUDIKSVALL</t>
        </is>
      </c>
      <c r="H6" t="inlineStr">
        <is>
          <t>Holmen skog AB</t>
        </is>
      </c>
      <c r="I6" t="n">
        <v>2052</v>
      </c>
      <c r="J6" t="n">
        <v>7</v>
      </c>
      <c r="K6" t="n">
        <v>3</v>
      </c>
      <c r="L6" t="n">
        <v>5</v>
      </c>
      <c r="M6" t="n">
        <v>2</v>
      </c>
      <c r="N6" t="n">
        <v>0</v>
      </c>
      <c r="O6" t="n">
        <v>0</v>
      </c>
      <c r="P6" t="n">
        <v>0</v>
      </c>
      <c r="Q6" t="n">
        <v>7</v>
      </c>
      <c r="R6" t="n">
        <v>2</v>
      </c>
      <c r="S6" t="n">
        <v>15</v>
      </c>
      <c r="T6" t="n">
        <v>25</v>
      </c>
      <c r="U6" t="n">
        <v>15</v>
      </c>
      <c r="V6" s="2" t="inlineStr">
        <is>
          <t>Garnlav
Knärot
Kortskaftad ärgspik
Lunglav
Talltita
Violettgrå tagellav
Vitgrynig nållav
Barkkornlav
Vedticka
Vågbandad barkbock
Gråspett
Tjäder
Fjällvråk
Fläcknycklar
Revlummer</t>
        </is>
      </c>
      <c r="W6">
        <f>HYPERLINK("https://klasma.github.io/Logging_2184/artfynd/S 10124-2021 artfynd.xlsx", "S 10124-2021")</f>
        <v/>
      </c>
      <c r="X6">
        <f>HYPERLINK("https://klasma.github.io/Logging_2184/kartor/S 10124-2021 karta.png", "S 10124-2021")</f>
        <v/>
      </c>
      <c r="Y6">
        <f>HYPERLINK("https://klasma.github.io/Logging_2184/kartor_geotiff/S 10124-2021 georefererad karta.tif", "S 10124-2021")</f>
        <v/>
      </c>
      <c r="Z6">
        <f>HYPERLINK("https://klasma.github.io/Logging_2184/knärot/S 10124-2021 karta knärot.png", "S 10124-2021")</f>
        <v/>
      </c>
      <c r="AA6">
        <f>HYPERLINK("https://klasma.github.io/Logging_2184/klagomål/S 10124-2021 FSC-klagomål.docx", "S 10124-2021")</f>
        <v/>
      </c>
      <c r="AB6">
        <f>HYPERLINK("https://klasma.github.io/Logging_2184/klagomålsmail/S 10124-2021 FSC-klagomål mail.docx", "S 10124-2021")</f>
        <v/>
      </c>
      <c r="AC6">
        <f>HYPERLINK("https://klasma.github.io/Logging_2184/tillsyn/S 10124-2021 tillsynsbegäran.docx", "S 10124-2021")</f>
        <v/>
      </c>
      <c r="AD6">
        <f>HYPERLINK("https://klasma.github.io/Logging_2184/tillsynsmail/S 10124-2021 tillsynsbegäran mail.docx", "S 10124-2021")</f>
        <v/>
      </c>
      <c r="AE6">
        <f>HYPERLINK("https://klasma.github.io/Logging_2184/fåglar/S 10124-2021 prioriterade fågelarter.docx", "S 10124-2021")</f>
        <v/>
      </c>
    </row>
    <row r="7" ht="15" customHeight="1">
      <c r="A7" t="inlineStr">
        <is>
          <t>A 19521-2023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45050</v>
      </c>
      <c r="E7" s="1" t="n">
        <v>46272</v>
      </c>
      <c r="F7" t="inlineStr">
        <is>
          <t>GÄVLEBORGS LÄN</t>
        </is>
      </c>
      <c r="G7" t="inlineStr">
        <is>
          <t>HUDIKSVALL</t>
        </is>
      </c>
      <c r="H7" t="inlineStr">
        <is>
          <t>Holmen skog AB</t>
        </is>
      </c>
      <c r="I7" t="n">
        <v>9.300000000000001</v>
      </c>
      <c r="J7" t="n">
        <v>4</v>
      </c>
      <c r="K7" t="n">
        <v>4</v>
      </c>
      <c r="L7" t="n">
        <v>5</v>
      </c>
      <c r="M7" t="n">
        <v>1</v>
      </c>
      <c r="N7" t="n">
        <v>0</v>
      </c>
      <c r="O7" t="n">
        <v>0</v>
      </c>
      <c r="P7" t="n">
        <v>0</v>
      </c>
      <c r="Q7" t="n">
        <v>6</v>
      </c>
      <c r="R7" t="n">
        <v>1</v>
      </c>
      <c r="S7" t="n">
        <v>14</v>
      </c>
      <c r="T7" t="n">
        <v>22</v>
      </c>
      <c r="U7" t="n">
        <v>0</v>
      </c>
      <c r="V7" s="2" t="inlineStr">
        <is>
          <t>Garnlav
Kolflarnlav
Lunglav
Mörk kolflarnlav
Violmussling
Vitgrynig nållav
Bollvitmossa
Bronshjon
Nästlav
Vågbandad barkbock
Järpe
Tjäder
Vanlig groda
Revlummer</t>
        </is>
      </c>
      <c r="W7">
        <f>HYPERLINK("https://klasma.github.io/Logging_2184/artfynd/A 19521-2023 artfynd.xlsx", "A 19521-2023")</f>
        <v/>
      </c>
      <c r="X7">
        <f>HYPERLINK("https://klasma.github.io/Logging_2184/kartor/A 19521-2023 karta.png", "A 19521-2023")</f>
        <v/>
      </c>
      <c r="Y7">
        <f>HYPERLINK("https://klasma.github.io/Logging_2184/kartor_geotiff/A 19521-2023 georefererad karta.tif", "A 19521-2023")</f>
        <v/>
      </c>
      <c r="AA7">
        <f>HYPERLINK("https://klasma.github.io/Logging_2184/klagomål/A 19521-2023 FSC-klagomål.docx", "A 19521-2023")</f>
        <v/>
      </c>
      <c r="AB7">
        <f>HYPERLINK("https://klasma.github.io/Logging_2184/klagomålsmail/A 19521-2023 FSC-klagomål mail.docx", "A 19521-2023")</f>
        <v/>
      </c>
      <c r="AC7">
        <f>HYPERLINK("https://klasma.github.io/Logging_2184/tillsyn/A 19521-2023 tillsynsbegäran.docx", "A 19521-2023")</f>
        <v/>
      </c>
      <c r="AD7">
        <f>HYPERLINK("https://klasma.github.io/Logging_2184/tillsynsmail/A 19521-2023 tillsynsbegäran mail.docx", "A 19521-2023")</f>
        <v/>
      </c>
      <c r="AE7">
        <f>HYPERLINK("https://klasma.github.io/Logging_2184/fåglar/A 19521-2023 prioriterade fågelarter.docx", "A 19521-2023")</f>
        <v/>
      </c>
    </row>
    <row r="8" ht="15" customHeight="1">
      <c r="A8" t="inlineStr">
        <is>
          <t>A 37576-2025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45880</v>
      </c>
      <c r="E8" s="1" t="n">
        <v>46272</v>
      </c>
      <c r="F8" t="inlineStr">
        <is>
          <t>GÄVLEBORGS LÄN</t>
        </is>
      </c>
      <c r="G8" t="inlineStr">
        <is>
          <t>HUDIKSVALL</t>
        </is>
      </c>
      <c r="I8" t="n">
        <v>8</v>
      </c>
      <c r="J8" t="n">
        <v>1</v>
      </c>
      <c r="K8" t="n">
        <v>2</v>
      </c>
      <c r="L8" t="n">
        <v>7</v>
      </c>
      <c r="M8" t="n">
        <v>4</v>
      </c>
      <c r="N8" t="n">
        <v>0</v>
      </c>
      <c r="O8" t="n">
        <v>0</v>
      </c>
      <c r="P8" t="n">
        <v>0</v>
      </c>
      <c r="Q8" t="n">
        <v>11</v>
      </c>
      <c r="R8" t="n">
        <v>4</v>
      </c>
      <c r="S8" t="n">
        <v>13</v>
      </c>
      <c r="T8" t="n">
        <v>17</v>
      </c>
      <c r="U8" t="n">
        <v>16</v>
      </c>
      <c r="V8" s="2" t="inlineStr">
        <is>
          <t>Aspgelélav
Asptagging
Garnlav
Knärot
Aspskinn
Kandelabersvamp
Lunglav
Skarp dropptaggsvamp
Ullticka
Veckticka
Vågticka
Rävticka
Skinnlav</t>
        </is>
      </c>
      <c r="W8">
        <f>HYPERLINK("https://klasma.github.io/Logging_2184/artfynd/A 37576-2025 artfynd.xlsx", "A 37576-2025")</f>
        <v/>
      </c>
      <c r="X8">
        <f>HYPERLINK("https://klasma.github.io/Logging_2184/kartor/A 37576-2025 karta.png", "A 37576-2025")</f>
        <v/>
      </c>
      <c r="Y8">
        <f>HYPERLINK("https://klasma.github.io/Logging_2184/kartor_geotiff/A 37576-2025 georefererad karta.tif", "A 37576-2025")</f>
        <v/>
      </c>
      <c r="Z8">
        <f>HYPERLINK("https://klasma.github.io/Logging_2184/knärot/A 37576-2025 karta knärot.png", "A 37576-2025")</f>
        <v/>
      </c>
      <c r="AA8">
        <f>HYPERLINK("https://klasma.github.io/Logging_2184/klagomål/A 37576-2025 FSC-klagomål.docx", "A 37576-2025")</f>
        <v/>
      </c>
      <c r="AB8">
        <f>HYPERLINK("https://klasma.github.io/Logging_2184/klagomålsmail/A 37576-2025 FSC-klagomål mail.docx", "A 37576-2025")</f>
        <v/>
      </c>
      <c r="AC8">
        <f>HYPERLINK("https://klasma.github.io/Logging_2184/tillsyn/A 37576-2025 tillsynsbegäran.docx", "A 37576-2025")</f>
        <v/>
      </c>
      <c r="AD8">
        <f>HYPERLINK("https://klasma.github.io/Logging_2184/tillsynsmail/A 37576-2025 tillsynsbegäran mail.docx", "A 37576-2025")</f>
        <v/>
      </c>
    </row>
    <row r="9" ht="15" customHeight="1">
      <c r="A9" t="inlineStr">
        <is>
          <t>S 22-2023</t>
        </is>
      </c>
      <c r="B9" t="inlineStr">
        <is>
          <t>samrådsanmälan</t>
        </is>
      </c>
      <c r="C9" t="inlineStr">
        <is>
          <t>Skogsgödsling</t>
        </is>
      </c>
      <c r="D9" s="1" t="n">
        <v>44904</v>
      </c>
      <c r="E9" s="1" t="n">
        <v>46272</v>
      </c>
      <c r="F9" t="inlineStr">
        <is>
          <t>GÄVLEBORGS LÄN</t>
        </is>
      </c>
      <c r="G9" t="inlineStr">
        <is>
          <t>HUDIKSVALL</t>
        </is>
      </c>
      <c r="H9" t="inlineStr">
        <is>
          <t>Holmen skog AB</t>
        </is>
      </c>
      <c r="I9" t="n">
        <v>2582.8</v>
      </c>
      <c r="J9" t="n">
        <v>7</v>
      </c>
      <c r="K9" t="n">
        <v>2</v>
      </c>
      <c r="L9" t="n">
        <v>2</v>
      </c>
      <c r="M9" t="n">
        <v>1</v>
      </c>
      <c r="N9" t="n">
        <v>0</v>
      </c>
      <c r="O9" t="n">
        <v>0</v>
      </c>
      <c r="P9" t="n">
        <v>0</v>
      </c>
      <c r="Q9" t="n">
        <v>3</v>
      </c>
      <c r="R9" t="n">
        <v>1</v>
      </c>
      <c r="S9" t="n">
        <v>9</v>
      </c>
      <c r="T9" t="n">
        <v>15</v>
      </c>
      <c r="U9" t="n">
        <v>4</v>
      </c>
      <c r="V9" s="2" t="inlineStr">
        <is>
          <t>Knärot
Lunglav
Talltita
Plattlummer
Stuplav
Gråspett
Tjäder
Fläcknycklar
Revlummer</t>
        </is>
      </c>
      <c r="W9">
        <f>HYPERLINK("https://klasma.github.io/Logging_2184/artfynd/S 22-2023 artfynd.xlsx", "S 22-2023")</f>
        <v/>
      </c>
      <c r="X9">
        <f>HYPERLINK("https://klasma.github.io/Logging_2184/kartor/S 22-2023 karta.png", "S 22-2023")</f>
        <v/>
      </c>
      <c r="Y9">
        <f>HYPERLINK("https://klasma.github.io/Logging_2184/kartor_geotiff/S 22-2023 georefererad karta.tif", "S 22-2023")</f>
        <v/>
      </c>
      <c r="Z9">
        <f>HYPERLINK("https://klasma.github.io/Logging_2184/knärot/S 22-2023 karta knärot.png", "S 22-2023")</f>
        <v/>
      </c>
      <c r="AA9">
        <f>HYPERLINK("https://klasma.github.io/Logging_2184/klagomål/S 22-2023 FSC-klagomål.docx", "S 22-2023")</f>
        <v/>
      </c>
      <c r="AB9">
        <f>HYPERLINK("https://klasma.github.io/Logging_2184/klagomålsmail/S 22-2023 FSC-klagomål mail.docx", "S 22-2023")</f>
        <v/>
      </c>
      <c r="AC9">
        <f>HYPERLINK("https://klasma.github.io/Logging_2184/tillsyn/S 22-2023 tillsynsbegäran.docx", "S 22-2023")</f>
        <v/>
      </c>
      <c r="AD9">
        <f>HYPERLINK("https://klasma.github.io/Logging_2184/tillsynsmail/S 22-2023 tillsynsbegäran mail.docx", "S 22-2023")</f>
        <v/>
      </c>
      <c r="AE9">
        <f>HYPERLINK("https://klasma.github.io/Logging_2184/fåglar/S 22-2023 prioriterade fågelarter.docx", "S 22-2023")</f>
        <v/>
      </c>
    </row>
    <row r="10" ht="15" customHeight="1">
      <c r="A10" t="inlineStr">
        <is>
          <t>S 3426-2025</t>
        </is>
      </c>
      <c r="B10" t="inlineStr">
        <is>
          <t>samrådsanmälan</t>
        </is>
      </c>
      <c r="C10" t="inlineStr">
        <is>
          <t>Skogsgödsling</t>
        </is>
      </c>
      <c r="D10" s="1" t="n">
        <v>45995</v>
      </c>
      <c r="E10" s="1" t="n">
        <v>46272</v>
      </c>
      <c r="F10" t="inlineStr">
        <is>
          <t>GÄVLEBORGS LÄN</t>
        </is>
      </c>
      <c r="G10" t="inlineStr">
        <is>
          <t>HUDIKSVALL</t>
        </is>
      </c>
      <c r="H10" t="inlineStr">
        <is>
          <t>Holmen skog AB</t>
        </is>
      </c>
      <c r="I10" t="n">
        <v>521.8</v>
      </c>
      <c r="J10" t="n">
        <v>5</v>
      </c>
      <c r="K10" t="n">
        <v>4</v>
      </c>
      <c r="L10" t="n">
        <v>1</v>
      </c>
      <c r="M10" t="n">
        <v>1</v>
      </c>
      <c r="N10" t="n">
        <v>0</v>
      </c>
      <c r="O10" t="n">
        <v>0</v>
      </c>
      <c r="P10" t="n">
        <v>0</v>
      </c>
      <c r="Q10" t="n">
        <v>2</v>
      </c>
      <c r="R10" t="n">
        <v>1</v>
      </c>
      <c r="S10" t="n">
        <v>9</v>
      </c>
      <c r="T10" t="n">
        <v>10</v>
      </c>
      <c r="U10" t="n">
        <v>0</v>
      </c>
      <c r="V10" s="2" t="inlineStr">
        <is>
          <t>Igelkott
Lunglav
Plattlummer
Spindelblomster
Stuplav
Ögonpyrola
Blåsippa
Nattviol
Revlummer</t>
        </is>
      </c>
      <c r="W10">
        <f>HYPERLINK("https://klasma.github.io/Logging_2184/artfynd/S 3426-2025 artfynd.xlsx", "S 3426-2025")</f>
        <v/>
      </c>
      <c r="X10">
        <f>HYPERLINK("https://klasma.github.io/Logging_2184/kartor/S 3426-2025 karta.png", "S 3426-2025")</f>
        <v/>
      </c>
      <c r="Y10">
        <f>HYPERLINK("https://klasma.github.io/Logging_2184/kartor_geotiff/S 3426-2025 georefererad karta.tif", "S 3426-2025")</f>
        <v/>
      </c>
      <c r="AA10">
        <f>HYPERLINK("https://klasma.github.io/Logging_2184/klagomål/S 3426-2025 FSC-klagomål.docx", "S 3426-2025")</f>
        <v/>
      </c>
      <c r="AB10">
        <f>HYPERLINK("https://klasma.github.io/Logging_2184/klagomålsmail/S 3426-2025 FSC-klagomål mail.docx", "S 3426-2025")</f>
        <v/>
      </c>
      <c r="AC10">
        <f>HYPERLINK("https://klasma.github.io/Logging_2184/tillsyn/S 3426-2025 tillsynsbegäran.docx", "S 3426-2025")</f>
        <v/>
      </c>
      <c r="AD10">
        <f>HYPERLINK("https://klasma.github.io/Logging_2184/tillsynsmail/S 3426-2025 tillsynsbegäran mail.docx", "S 3426-2025")</f>
        <v/>
      </c>
    </row>
    <row r="11" ht="15" customHeight="1">
      <c r="A11" t="inlineStr">
        <is>
          <t>A 42489-2025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45905</v>
      </c>
      <c r="E11" s="1" t="n">
        <v>46272</v>
      </c>
      <c r="F11" t="inlineStr">
        <is>
          <t>GÄVLEBORGS LÄN</t>
        </is>
      </c>
      <c r="G11" t="inlineStr">
        <is>
          <t>HUDIKSVALL</t>
        </is>
      </c>
      <c r="I11" t="n">
        <v>1.5</v>
      </c>
      <c r="J11" t="n">
        <v>0</v>
      </c>
      <c r="K11" t="n">
        <v>1</v>
      </c>
      <c r="L11" t="n">
        <v>4</v>
      </c>
      <c r="M11" t="n">
        <v>1</v>
      </c>
      <c r="N11" t="n">
        <v>2</v>
      </c>
      <c r="O11" t="n">
        <v>0</v>
      </c>
      <c r="P11" t="n">
        <v>0</v>
      </c>
      <c r="Q11" t="n">
        <v>7</v>
      </c>
      <c r="R11" t="n">
        <v>3</v>
      </c>
      <c r="S11" t="n">
        <v>8</v>
      </c>
      <c r="T11" t="n">
        <v>19</v>
      </c>
      <c r="U11" t="n">
        <v>2</v>
      </c>
      <c r="V11" s="2" t="inlineStr">
        <is>
          <t>Koppartaggsvamp
Raggtaggsvamp
Ulltickeporing
Fjällig taggsvamp s.str.
Skarp dropptaggsvamp
Sotvaxskivling
Ullticka
Zontaggsvamp</t>
        </is>
      </c>
      <c r="W11">
        <f>HYPERLINK("https://klasma.github.io/Logging_2184/artfynd/A 42489-2025 artfynd.xlsx", "A 42489-2025")</f>
        <v/>
      </c>
      <c r="X11">
        <f>HYPERLINK("https://klasma.github.io/Logging_2184/kartor/A 42489-2025 karta.png", "A 42489-2025")</f>
        <v/>
      </c>
      <c r="Y11">
        <f>HYPERLINK("https://klasma.github.io/Logging_2184/kartor_geotiff/A 42489-2025 georefererad karta.tif", "A 42489-2025")</f>
        <v/>
      </c>
      <c r="AA11">
        <f>HYPERLINK("https://klasma.github.io/Logging_2184/klagomål/A 42489-2025 FSC-klagomål.docx", "A 42489-2025")</f>
        <v/>
      </c>
      <c r="AB11">
        <f>HYPERLINK("https://klasma.github.io/Logging_2184/klagomålsmail/A 42489-2025 FSC-klagomål mail.docx", "A 42489-2025")</f>
        <v/>
      </c>
      <c r="AC11">
        <f>HYPERLINK("https://klasma.github.io/Logging_2184/tillsyn/A 42489-2025 tillsynsbegäran.docx", "A 42489-2025")</f>
        <v/>
      </c>
      <c r="AD11">
        <f>HYPERLINK("https://klasma.github.io/Logging_2184/tillsynsmail/A 42489-2025 tillsynsbegäran mail.docx", "A 42489-2025")</f>
        <v/>
      </c>
    </row>
    <row r="12" ht="15" customHeight="1">
      <c r="A12" t="inlineStr">
        <is>
          <t>A 13505-2026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46094</v>
      </c>
      <c r="E12" s="1" t="n">
        <v>46272</v>
      </c>
      <c r="F12" t="inlineStr">
        <is>
          <t>GÄVLEBORGS LÄN</t>
        </is>
      </c>
      <c r="G12" t="inlineStr">
        <is>
          <t>HUDIKSVALL</t>
        </is>
      </c>
      <c r="H12" t="inlineStr">
        <is>
          <t>Holmen skog AB</t>
        </is>
      </c>
      <c r="I12" t="n">
        <v>11.7</v>
      </c>
      <c r="J12" t="n">
        <v>3</v>
      </c>
      <c r="K12" t="n">
        <v>3</v>
      </c>
      <c r="L12" t="n">
        <v>1</v>
      </c>
      <c r="M12" t="n">
        <v>0</v>
      </c>
      <c r="N12" t="n">
        <v>1</v>
      </c>
      <c r="O12" t="n">
        <v>0</v>
      </c>
      <c r="P12" t="n">
        <v>0</v>
      </c>
      <c r="Q12" t="n">
        <v>2</v>
      </c>
      <c r="R12" t="n">
        <v>1</v>
      </c>
      <c r="S12" t="n">
        <v>8</v>
      </c>
      <c r="T12" t="n">
        <v>9</v>
      </c>
      <c r="U12" t="n">
        <v>1</v>
      </c>
      <c r="V12" s="2" t="inlineStr">
        <is>
          <t>Skogsalm
Skogssvingel
Strutbräken
Tibast
Ögonpyrola
Blåsippa
Lopplummer (aggregat)
Revlummer</t>
        </is>
      </c>
      <c r="W12">
        <f>HYPERLINK("https://klasma.github.io/Logging_2184/artfynd/A 13505-2026 artfynd.xlsx", "A 13505-2026")</f>
        <v/>
      </c>
      <c r="X12">
        <f>HYPERLINK("https://klasma.github.io/Logging_2184/kartor/A 13505-2026 karta.png", "A 13505-2026")</f>
        <v/>
      </c>
      <c r="Y12">
        <f>HYPERLINK("https://klasma.github.io/Logging_2184/kartor_geotiff/A 13505-2026 georefererad karta.tif", "A 13505-2026")</f>
        <v/>
      </c>
      <c r="AA12">
        <f>HYPERLINK("https://klasma.github.io/Logging_2184/klagomål/A 13505-2026 FSC-klagomål.docx", "A 13505-2026")</f>
        <v/>
      </c>
      <c r="AB12">
        <f>HYPERLINK("https://klasma.github.io/Logging_2184/klagomålsmail/A 13505-2026 FSC-klagomål mail.docx", "A 13505-2026")</f>
        <v/>
      </c>
      <c r="AC12">
        <f>HYPERLINK("https://klasma.github.io/Logging_2184/tillsyn/A 13505-2026 tillsynsbegäran.docx", "A 13505-2026")</f>
        <v/>
      </c>
      <c r="AD12">
        <f>HYPERLINK("https://klasma.github.io/Logging_2184/tillsynsmail/A 13505-2026 tillsynsbegäran mail.docx", "A 13505-2026")</f>
        <v/>
      </c>
    </row>
    <row r="13" ht="15" customHeight="1">
      <c r="A13" t="inlineStr">
        <is>
          <t>A 49148-2021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44453</v>
      </c>
      <c r="E13" s="1" t="n">
        <v>46272</v>
      </c>
      <c r="F13" t="inlineStr">
        <is>
          <t>GÄVLEBORGS LÄN</t>
        </is>
      </c>
      <c r="G13" t="inlineStr">
        <is>
          <t>HUDIKSVALL</t>
        </is>
      </c>
      <c r="I13" t="n">
        <v>6.2</v>
      </c>
      <c r="J13" t="n">
        <v>4</v>
      </c>
      <c r="K13" t="n">
        <v>2</v>
      </c>
      <c r="L13" t="n">
        <v>1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t="n">
        <v>0</v>
      </c>
      <c r="S13" t="n">
        <v>7</v>
      </c>
      <c r="T13" t="n">
        <v>9</v>
      </c>
      <c r="U13" t="n">
        <v>9</v>
      </c>
      <c r="V13" s="2" t="inlineStr">
        <is>
          <t>Backruta
Tibast
Ögonpyrola
Blåsippa
Brudsporre
Nattviol
Revlummer</t>
        </is>
      </c>
      <c r="W13">
        <f>HYPERLINK("https://klasma.github.io/Logging_2184/artfynd/A 49148-2021 artfynd.xlsx", "A 49148-2021")</f>
        <v/>
      </c>
      <c r="X13">
        <f>HYPERLINK("https://klasma.github.io/Logging_2184/kartor/A 49148-2021 karta.png", "A 49148-2021")</f>
        <v/>
      </c>
      <c r="Y13">
        <f>HYPERLINK("https://klasma.github.io/Logging_2184/kartor_geotiff/A 49148-2021 georefererad karta.tif", "A 49148-2021")</f>
        <v/>
      </c>
      <c r="AA13">
        <f>HYPERLINK("https://klasma.github.io/Logging_2184/klagomål/A 49148-2021 FSC-klagomål.docx", "A 49148-2021")</f>
        <v/>
      </c>
      <c r="AB13">
        <f>HYPERLINK("https://klasma.github.io/Logging_2184/klagomålsmail/A 49148-2021 FSC-klagomål mail.docx", "A 49148-2021")</f>
        <v/>
      </c>
      <c r="AC13">
        <f>HYPERLINK("https://klasma.github.io/Logging_2184/tillsyn/A 49148-2021 tillsynsbegäran.docx", "A 49148-2021")</f>
        <v/>
      </c>
      <c r="AD13">
        <f>HYPERLINK("https://klasma.github.io/Logging_2184/tillsynsmail/A 49148-2021 tillsynsbegäran mail.docx", "A 49148-2021")</f>
        <v/>
      </c>
    </row>
    <row r="14" ht="15" customHeight="1">
      <c r="A14" t="inlineStr">
        <is>
          <t>A 55253-2022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44887</v>
      </c>
      <c r="E14" s="1" t="n">
        <v>46272</v>
      </c>
      <c r="F14" t="inlineStr">
        <is>
          <t>GÄVLEBORGS LÄN</t>
        </is>
      </c>
      <c r="G14" t="inlineStr">
        <is>
          <t>HUDIKSVALL</t>
        </is>
      </c>
      <c r="H14" t="inlineStr">
        <is>
          <t>Holmen skog AB</t>
        </is>
      </c>
      <c r="I14" t="n">
        <v>5.1</v>
      </c>
      <c r="J14" t="n">
        <v>2</v>
      </c>
      <c r="K14" t="n">
        <v>0</v>
      </c>
      <c r="L14" t="n">
        <v>5</v>
      </c>
      <c r="M14" t="n">
        <v>2</v>
      </c>
      <c r="N14" t="n">
        <v>0</v>
      </c>
      <c r="O14" t="n">
        <v>0</v>
      </c>
      <c r="P14" t="n">
        <v>0</v>
      </c>
      <c r="Q14" t="n">
        <v>7</v>
      </c>
      <c r="R14" t="n">
        <v>2</v>
      </c>
      <c r="S14" t="n">
        <v>7</v>
      </c>
      <c r="T14" t="n">
        <v>8</v>
      </c>
      <c r="U14" t="n">
        <v>8</v>
      </c>
      <c r="V14" s="2" t="inlineStr">
        <is>
          <t>Garnlav
Knärot
Bivråk
Rosenticka
Rynkskinn
Ullticka
Vedtrappmossa</t>
        </is>
      </c>
      <c r="W14">
        <f>HYPERLINK("https://klasma.github.io/Logging_2184/artfynd/A 55253-2022 artfynd.xlsx", "A 55253-2022")</f>
        <v/>
      </c>
      <c r="X14">
        <f>HYPERLINK("https://klasma.github.io/Logging_2184/kartor/A 55253-2022 karta.png", "A 55253-2022")</f>
        <v/>
      </c>
      <c r="Y14">
        <f>HYPERLINK("https://klasma.github.io/Logging_2184/kartor_geotiff/A 55253-2022 georefererad karta.tif", "A 55253-2022")</f>
        <v/>
      </c>
      <c r="Z14">
        <f>HYPERLINK("https://klasma.github.io/Logging_2184/knärot/A 55253-2022 karta knärot.png", "A 55253-2022")</f>
        <v/>
      </c>
      <c r="AA14">
        <f>HYPERLINK("https://klasma.github.io/Logging_2184/klagomål/A 55253-2022 FSC-klagomål.docx", "A 55253-2022")</f>
        <v/>
      </c>
      <c r="AB14">
        <f>HYPERLINK("https://klasma.github.io/Logging_2184/klagomålsmail/A 55253-2022 FSC-klagomål mail.docx", "A 55253-2022")</f>
        <v/>
      </c>
      <c r="AC14">
        <f>HYPERLINK("https://klasma.github.io/Logging_2184/tillsyn/A 55253-2022 tillsynsbegäran.docx", "A 55253-2022")</f>
        <v/>
      </c>
      <c r="AD14">
        <f>HYPERLINK("https://klasma.github.io/Logging_2184/tillsynsmail/A 55253-2022 tillsynsbegäran mail.docx", "A 55253-2022")</f>
        <v/>
      </c>
      <c r="AE14">
        <f>HYPERLINK("https://klasma.github.io/Logging_2184/fåglar/A 55253-2022 prioriterade fågelarter.docx", "A 55253-2022")</f>
        <v/>
      </c>
    </row>
    <row r="15" ht="15" customHeight="1">
      <c r="A15" t="inlineStr">
        <is>
          <t>S 116-2025</t>
        </is>
      </c>
      <c r="B15" t="inlineStr">
        <is>
          <t>samrådsanmälan</t>
        </is>
      </c>
      <c r="C15" t="inlineStr">
        <is>
          <t>Skogsgödsling</t>
        </is>
      </c>
      <c r="D15" s="1" t="n">
        <v>45670</v>
      </c>
      <c r="E15" s="1" t="n">
        <v>46272</v>
      </c>
      <c r="F15" t="inlineStr">
        <is>
          <t>GÄVLEBORGS LÄN</t>
        </is>
      </c>
      <c r="G15" t="inlineStr">
        <is>
          <t>HUDIKSVALL</t>
        </is>
      </c>
      <c r="H15" t="inlineStr">
        <is>
          <t>Holmen skog AB</t>
        </is>
      </c>
      <c r="I15" t="n">
        <v>99.3</v>
      </c>
      <c r="J15" t="n">
        <v>3</v>
      </c>
      <c r="K15" t="n">
        <v>2</v>
      </c>
      <c r="L15" t="n">
        <v>2</v>
      </c>
      <c r="M15" t="n">
        <v>1</v>
      </c>
      <c r="N15" t="n">
        <v>0</v>
      </c>
      <c r="O15" t="n">
        <v>0</v>
      </c>
      <c r="P15" t="n">
        <v>0</v>
      </c>
      <c r="Q15" t="n">
        <v>3</v>
      </c>
      <c r="R15" t="n">
        <v>1</v>
      </c>
      <c r="S15" t="n">
        <v>7</v>
      </c>
      <c r="T15" t="n">
        <v>8</v>
      </c>
      <c r="U15" t="n">
        <v>4</v>
      </c>
      <c r="V15" s="2" t="inlineStr">
        <is>
          <t>Knärot
Dropptaggsvamp
Ullticka
Robust tickgnagare
Skinnlav
Nattviol
Revlummer</t>
        </is>
      </c>
      <c r="W15">
        <f>HYPERLINK("https://klasma.github.io/Logging_2184/artfynd/S 116-2025 artfynd.xlsx", "S 116-2025")</f>
        <v/>
      </c>
      <c r="X15">
        <f>HYPERLINK("https://klasma.github.io/Logging_2184/kartor/S 116-2025 karta.png", "S 116-2025")</f>
        <v/>
      </c>
      <c r="Y15">
        <f>HYPERLINK("https://klasma.github.io/Logging_2184/kartor_geotiff/S 116-2025 georefererad karta.tif", "S 116-2025")</f>
        <v/>
      </c>
      <c r="Z15">
        <f>HYPERLINK("https://klasma.github.io/Logging_2184/knärot/S 116-2025 karta knärot.png", "S 116-2025")</f>
        <v/>
      </c>
      <c r="AA15">
        <f>HYPERLINK("https://klasma.github.io/Logging_2184/klagomål/S 116-2025 FSC-klagomål.docx", "S 116-2025")</f>
        <v/>
      </c>
      <c r="AB15">
        <f>HYPERLINK("https://klasma.github.io/Logging_2184/klagomålsmail/S 116-2025 FSC-klagomål mail.docx", "S 116-2025")</f>
        <v/>
      </c>
      <c r="AC15">
        <f>HYPERLINK("https://klasma.github.io/Logging_2184/tillsyn/S 116-2025 tillsynsbegäran.docx", "S 116-2025")</f>
        <v/>
      </c>
      <c r="AD15">
        <f>HYPERLINK("https://klasma.github.io/Logging_2184/tillsynsmail/S 116-2025 tillsynsbegäran mail.docx", "S 116-2025")</f>
        <v/>
      </c>
    </row>
    <row r="16" ht="15" customHeight="1">
      <c r="A16" t="inlineStr">
        <is>
          <t>S 114-2025</t>
        </is>
      </c>
      <c r="B16" t="inlineStr">
        <is>
          <t>samrådsanmälan</t>
        </is>
      </c>
      <c r="C16" t="inlineStr">
        <is>
          <t>Skogsgödsling</t>
        </is>
      </c>
      <c r="D16" s="1" t="n">
        <v>45670</v>
      </c>
      <c r="E16" s="1" t="n">
        <v>46272</v>
      </c>
      <c r="F16" t="inlineStr">
        <is>
          <t>GÄVLEBORGS LÄN</t>
        </is>
      </c>
      <c r="G16" t="inlineStr">
        <is>
          <t>HUDIKSVALL</t>
        </is>
      </c>
      <c r="H16" t="inlineStr">
        <is>
          <t>Holmen skog AB</t>
        </is>
      </c>
      <c r="I16" t="n">
        <v>128</v>
      </c>
      <c r="J16" t="n">
        <v>3</v>
      </c>
      <c r="K16" t="n">
        <v>1</v>
      </c>
      <c r="L16" t="n">
        <v>3</v>
      </c>
      <c r="M16" t="n">
        <v>0</v>
      </c>
      <c r="N16" t="n">
        <v>1</v>
      </c>
      <c r="O16" t="n">
        <v>0</v>
      </c>
      <c r="P16" t="n">
        <v>0</v>
      </c>
      <c r="Q16" t="n">
        <v>4</v>
      </c>
      <c r="R16" t="n">
        <v>1</v>
      </c>
      <c r="S16" t="n">
        <v>7</v>
      </c>
      <c r="T16" t="n">
        <v>10</v>
      </c>
      <c r="U16" t="n">
        <v>0</v>
      </c>
      <c r="V16" s="2" t="inlineStr">
        <is>
          <t>Pärluggla
Gammelgransskål
Lunglav
Rynkskinn
Skinnlav
Tjäder
Revlummer</t>
        </is>
      </c>
      <c r="W16">
        <f>HYPERLINK("https://klasma.github.io/Logging_2184/artfynd/S 114-2025 artfynd.xlsx", "S 114-2025")</f>
        <v/>
      </c>
      <c r="X16">
        <f>HYPERLINK("https://klasma.github.io/Logging_2184/kartor/S 114-2025 karta.png", "S 114-2025")</f>
        <v/>
      </c>
      <c r="Y16">
        <f>HYPERLINK("https://klasma.github.io/Logging_2184/kartor_geotiff/S 114-2025 georefererad karta.tif", "S 114-2025")</f>
        <v/>
      </c>
      <c r="AA16">
        <f>HYPERLINK("https://klasma.github.io/Logging_2184/klagomål/S 114-2025 FSC-klagomål.docx", "S 114-2025")</f>
        <v/>
      </c>
      <c r="AB16">
        <f>HYPERLINK("https://klasma.github.io/Logging_2184/klagomålsmail/S 114-2025 FSC-klagomål mail.docx", "S 114-2025")</f>
        <v/>
      </c>
      <c r="AC16">
        <f>HYPERLINK("https://klasma.github.io/Logging_2184/tillsyn/S 114-2025 tillsynsbegäran.docx", "S 114-2025")</f>
        <v/>
      </c>
      <c r="AD16">
        <f>HYPERLINK("https://klasma.github.io/Logging_2184/tillsynsmail/S 114-2025 tillsynsbegäran mail.docx", "S 114-2025")</f>
        <v/>
      </c>
      <c r="AE16">
        <f>HYPERLINK("https://klasma.github.io/Logging_2184/fåglar/S 114-2025 prioriterade fågelarter.docx", "S 114-2025")</f>
        <v/>
      </c>
    </row>
    <row r="17" ht="15" customHeight="1">
      <c r="A17" t="inlineStr">
        <is>
          <t>S 3427-2025</t>
        </is>
      </c>
      <c r="B17" t="inlineStr">
        <is>
          <t>samrådsanmälan</t>
        </is>
      </c>
      <c r="C17" t="inlineStr">
        <is>
          <t>Skogsgödsling</t>
        </is>
      </c>
      <c r="D17" s="1" t="n">
        <v>45995</v>
      </c>
      <c r="E17" s="1" t="n">
        <v>46272</v>
      </c>
      <c r="F17" t="inlineStr">
        <is>
          <t>GÄVLEBORGS LÄN</t>
        </is>
      </c>
      <c r="G17" t="inlineStr">
        <is>
          <t>HUDIKSVALL</t>
        </is>
      </c>
      <c r="H17" t="inlineStr">
        <is>
          <t>Holmen skog AB</t>
        </is>
      </c>
      <c r="I17" t="n">
        <v>81.2</v>
      </c>
      <c r="J17" t="n">
        <v>3</v>
      </c>
      <c r="K17" t="n">
        <v>1</v>
      </c>
      <c r="L17" t="n">
        <v>2</v>
      </c>
      <c r="M17" t="n">
        <v>1</v>
      </c>
      <c r="N17" t="n">
        <v>0</v>
      </c>
      <c r="O17" t="n">
        <v>0</v>
      </c>
      <c r="P17" t="n">
        <v>0</v>
      </c>
      <c r="Q17" t="n">
        <v>3</v>
      </c>
      <c r="R17" t="n">
        <v>1</v>
      </c>
      <c r="S17" t="n">
        <v>7</v>
      </c>
      <c r="T17" t="n">
        <v>10</v>
      </c>
      <c r="U17" t="n">
        <v>1</v>
      </c>
      <c r="V17" s="2" t="inlineStr">
        <is>
          <t>Garnlav
Lunglav
Vedflamlav
Nästlav
Orre
Fläcknycklar
Revlummer</t>
        </is>
      </c>
      <c r="W17">
        <f>HYPERLINK("https://klasma.github.io/Logging_2184/artfynd/S 3427-2025 artfynd.xlsx", "S 3427-2025")</f>
        <v/>
      </c>
      <c r="X17">
        <f>HYPERLINK("https://klasma.github.io/Logging_2184/kartor/S 3427-2025 karta.png", "S 3427-2025")</f>
        <v/>
      </c>
      <c r="Y17">
        <f>HYPERLINK("https://klasma.github.io/Logging_2184/kartor_geotiff/S 3427-2025 georefererad karta.tif", "S 3427-2025")</f>
        <v/>
      </c>
      <c r="AA17">
        <f>HYPERLINK("https://klasma.github.io/Logging_2184/klagomål/S 3427-2025 FSC-klagomål.docx", "S 3427-2025")</f>
        <v/>
      </c>
      <c r="AB17">
        <f>HYPERLINK("https://klasma.github.io/Logging_2184/klagomålsmail/S 3427-2025 FSC-klagomål mail.docx", "S 3427-2025")</f>
        <v/>
      </c>
      <c r="AC17">
        <f>HYPERLINK("https://klasma.github.io/Logging_2184/tillsyn/S 3427-2025 tillsynsbegäran.docx", "S 3427-2025")</f>
        <v/>
      </c>
      <c r="AD17">
        <f>HYPERLINK("https://klasma.github.io/Logging_2184/tillsynsmail/S 3427-2025 tillsynsbegäran mail.docx", "S 3427-2025")</f>
        <v/>
      </c>
      <c r="AE17">
        <f>HYPERLINK("https://klasma.github.io/Logging_2184/fåglar/S 3427-2025 prioriterade fågelarter.docx", "S 3427-2025")</f>
        <v/>
      </c>
    </row>
    <row r="18" ht="15" customHeight="1">
      <c r="A18" t="inlineStr">
        <is>
          <t>A 49036-2021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44453</v>
      </c>
      <c r="E18" s="1" t="n">
        <v>46272</v>
      </c>
      <c r="F18" t="inlineStr">
        <is>
          <t>GÄVLEBORGS LÄN</t>
        </is>
      </c>
      <c r="G18" t="inlineStr">
        <is>
          <t>HUDIKSVALL</t>
        </is>
      </c>
      <c r="I18" t="n">
        <v>11.7</v>
      </c>
      <c r="J18" t="n">
        <v>0</v>
      </c>
      <c r="K18" t="n">
        <v>1</v>
      </c>
      <c r="L18" t="n">
        <v>4</v>
      </c>
      <c r="M18" t="n">
        <v>1</v>
      </c>
      <c r="N18" t="n">
        <v>0</v>
      </c>
      <c r="O18" t="n">
        <v>0</v>
      </c>
      <c r="P18" t="n">
        <v>0</v>
      </c>
      <c r="Q18" t="n">
        <v>5</v>
      </c>
      <c r="R18" t="n">
        <v>1</v>
      </c>
      <c r="S18" t="n">
        <v>6</v>
      </c>
      <c r="T18" t="n">
        <v>13</v>
      </c>
      <c r="U18" t="n">
        <v>0</v>
      </c>
      <c r="V18" s="2" t="inlineStr">
        <is>
          <t>Garnlav
Kattfotslav
Kortskaftad ärgspik
Ullticka
Violettgrå tagellav
Vedticka</t>
        </is>
      </c>
      <c r="W18">
        <f>HYPERLINK("https://klasma.github.io/Logging_2184/artfynd/A 49036-2021 artfynd.xlsx", "A 49036-2021")</f>
        <v/>
      </c>
      <c r="X18">
        <f>HYPERLINK("https://klasma.github.io/Logging_2184/kartor/A 49036-2021 karta.png", "A 49036-2021")</f>
        <v/>
      </c>
      <c r="Y18">
        <f>HYPERLINK("https://klasma.github.io/Logging_2184/kartor_geotiff/A 49036-2021 georefererad karta.tif", "A 49036-2021")</f>
        <v/>
      </c>
      <c r="AA18">
        <f>HYPERLINK("https://klasma.github.io/Logging_2184/klagomål/A 49036-2021 FSC-klagomål.docx", "A 49036-2021")</f>
        <v/>
      </c>
      <c r="AB18">
        <f>HYPERLINK("https://klasma.github.io/Logging_2184/klagomålsmail/A 49036-2021 FSC-klagomål mail.docx", "A 49036-2021")</f>
        <v/>
      </c>
      <c r="AC18">
        <f>HYPERLINK("https://klasma.github.io/Logging_2184/tillsyn/A 49036-2021 tillsynsbegäran.docx", "A 49036-2021")</f>
        <v/>
      </c>
      <c r="AD18">
        <f>HYPERLINK("https://klasma.github.io/Logging_2184/tillsynsmail/A 49036-2021 tillsynsbegäran mail.docx", "A 49036-2021")</f>
        <v/>
      </c>
    </row>
    <row r="19" ht="15" customHeight="1">
      <c r="A19" t="inlineStr">
        <is>
          <t>A 35985-2022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44802</v>
      </c>
      <c r="E19" s="1" t="n">
        <v>46272</v>
      </c>
      <c r="F19" t="inlineStr">
        <is>
          <t>GÄVLEBORGS LÄN</t>
        </is>
      </c>
      <c r="G19" t="inlineStr">
        <is>
          <t>HUDIKSVALL</t>
        </is>
      </c>
      <c r="H19" t="inlineStr">
        <is>
          <t>Holmen skog AB</t>
        </is>
      </c>
      <c r="I19" t="n">
        <v>9.1</v>
      </c>
      <c r="J19" t="n">
        <v>1</v>
      </c>
      <c r="K19" t="n">
        <v>4</v>
      </c>
      <c r="L19" t="n">
        <v>1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t="n">
        <v>0</v>
      </c>
      <c r="S19" t="n">
        <v>6</v>
      </c>
      <c r="T19" t="n">
        <v>6</v>
      </c>
      <c r="U19" t="n">
        <v>6</v>
      </c>
      <c r="V19" s="2" t="inlineStr">
        <is>
          <t>Myskmåra
Strutbräken
Svart trolldruva
Tibast
Underviol
Blåsippa</t>
        </is>
      </c>
      <c r="W19">
        <f>HYPERLINK("https://klasma.github.io/Logging_2184/artfynd/A 35985-2022 artfynd.xlsx", "A 35985-2022")</f>
        <v/>
      </c>
      <c r="X19">
        <f>HYPERLINK("https://klasma.github.io/Logging_2184/kartor/A 35985-2022 karta.png", "A 35985-2022")</f>
        <v/>
      </c>
      <c r="Y19">
        <f>HYPERLINK("https://klasma.github.io/Logging_2184/kartor_geotiff/A 35985-2022 georefererad karta.tif", "A 35985-2022")</f>
        <v/>
      </c>
      <c r="AA19">
        <f>HYPERLINK("https://klasma.github.io/Logging_2184/klagomål/A 35985-2022 FSC-klagomål.docx", "A 35985-2022")</f>
        <v/>
      </c>
      <c r="AB19">
        <f>HYPERLINK("https://klasma.github.io/Logging_2184/klagomålsmail/A 35985-2022 FSC-klagomål mail.docx", "A 35985-2022")</f>
        <v/>
      </c>
      <c r="AC19">
        <f>HYPERLINK("https://klasma.github.io/Logging_2184/tillsyn/A 35985-2022 tillsynsbegäran.docx", "A 35985-2022")</f>
        <v/>
      </c>
      <c r="AD19">
        <f>HYPERLINK("https://klasma.github.io/Logging_2184/tillsynsmail/A 35985-2022 tillsynsbegäran mail.docx", "A 35985-2022")</f>
        <v/>
      </c>
    </row>
    <row r="20" ht="15" customHeight="1">
      <c r="A20" t="inlineStr">
        <is>
          <t>A 7229-2022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44606</v>
      </c>
      <c r="E20" s="1" t="n">
        <v>46272</v>
      </c>
      <c r="F20" t="inlineStr">
        <is>
          <t>GÄVLEBORGS LÄN</t>
        </is>
      </c>
      <c r="G20" t="inlineStr">
        <is>
          <t>HUDIKSVALL</t>
        </is>
      </c>
      <c r="H20" t="inlineStr">
        <is>
          <t>Holmen skog AB</t>
        </is>
      </c>
      <c r="I20" t="n">
        <v>1.4</v>
      </c>
      <c r="J20" t="n">
        <v>1</v>
      </c>
      <c r="K20" t="n">
        <v>2</v>
      </c>
      <c r="L20" t="n">
        <v>3</v>
      </c>
      <c r="M20" t="n">
        <v>0</v>
      </c>
      <c r="N20" t="n">
        <v>0</v>
      </c>
      <c r="O20" t="n">
        <v>0</v>
      </c>
      <c r="P20" t="n">
        <v>0</v>
      </c>
      <c r="Q20" t="n">
        <v>3</v>
      </c>
      <c r="R20" t="n">
        <v>0</v>
      </c>
      <c r="S20" t="n">
        <v>6</v>
      </c>
      <c r="T20" t="n">
        <v>7</v>
      </c>
      <c r="U20" t="n">
        <v>0</v>
      </c>
      <c r="V20" s="2" t="inlineStr">
        <is>
          <t>Blanksvart spiklav
Ullticka
Violettgrå tagellav
Bronshjon
Vedticka
Revlummer</t>
        </is>
      </c>
      <c r="W20">
        <f>HYPERLINK("https://klasma.github.io/Logging_2184/artfynd/A 7229-2022 artfynd.xlsx", "A 7229-2022")</f>
        <v/>
      </c>
      <c r="X20">
        <f>HYPERLINK("https://klasma.github.io/Logging_2184/kartor/A 7229-2022 karta.png", "A 7229-2022")</f>
        <v/>
      </c>
      <c r="Y20">
        <f>HYPERLINK("https://klasma.github.io/Logging_2184/kartor_geotiff/A 7229-2022 georefererad karta.tif", "A 7229-2022")</f>
        <v/>
      </c>
      <c r="AA20">
        <f>HYPERLINK("https://klasma.github.io/Logging_2184/klagomål/A 7229-2022 FSC-klagomål.docx", "A 7229-2022")</f>
        <v/>
      </c>
      <c r="AB20">
        <f>HYPERLINK("https://klasma.github.io/Logging_2184/klagomålsmail/A 7229-2022 FSC-klagomål mail.docx", "A 7229-2022")</f>
        <v/>
      </c>
      <c r="AC20">
        <f>HYPERLINK("https://klasma.github.io/Logging_2184/tillsyn/A 7229-2022 tillsynsbegäran.docx", "A 7229-2022")</f>
        <v/>
      </c>
      <c r="AD20">
        <f>HYPERLINK("https://klasma.github.io/Logging_2184/tillsynsmail/A 7229-2022 tillsynsbegäran mail.docx", "A 7229-2022")</f>
        <v/>
      </c>
    </row>
    <row r="21" ht="15" customHeight="1">
      <c r="A21" t="inlineStr">
        <is>
          <t>A 45153-2023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45191</v>
      </c>
      <c r="E21" s="1" t="n">
        <v>46272</v>
      </c>
      <c r="F21" t="inlineStr">
        <is>
          <t>GÄVLEBORGS LÄN</t>
        </is>
      </c>
      <c r="G21" t="inlineStr">
        <is>
          <t>HUDIKSVALL</t>
        </is>
      </c>
      <c r="I21" t="n">
        <v>0.6</v>
      </c>
      <c r="J21" t="n">
        <v>3</v>
      </c>
      <c r="K21" t="n">
        <v>2</v>
      </c>
      <c r="L21" t="n">
        <v>2</v>
      </c>
      <c r="M21" t="n">
        <v>0</v>
      </c>
      <c r="N21" t="n">
        <v>0</v>
      </c>
      <c r="O21" t="n">
        <v>0</v>
      </c>
      <c r="P21" t="n">
        <v>0</v>
      </c>
      <c r="Q21" t="n">
        <v>2</v>
      </c>
      <c r="R21" t="n">
        <v>0</v>
      </c>
      <c r="S21" t="n">
        <v>6</v>
      </c>
      <c r="T21" t="n">
        <v>6</v>
      </c>
      <c r="U21" t="n">
        <v>5</v>
      </c>
      <c r="V21" s="2" t="inlineStr">
        <is>
          <t>Sparvuggla
Vitgrynig nållav
Rödgul trumpetsvamp
Tibast
Slaguggla
Skogsödla</t>
        </is>
      </c>
      <c r="W21">
        <f>HYPERLINK("https://klasma.github.io/Logging_2184/artfynd/A 45153-2023 artfynd.xlsx", "A 45153-2023")</f>
        <v/>
      </c>
      <c r="X21">
        <f>HYPERLINK("https://klasma.github.io/Logging_2184/kartor/A 45153-2023 karta.png", "A 45153-2023")</f>
        <v/>
      </c>
      <c r="Y21">
        <f>HYPERLINK("https://klasma.github.io/Logging_2184/kartor_geotiff/A 45153-2023 georefererad karta.tif", "A 45153-2023")</f>
        <v/>
      </c>
      <c r="AA21">
        <f>HYPERLINK("https://klasma.github.io/Logging_2184/klagomål/A 45153-2023 FSC-klagomål.docx", "A 45153-2023")</f>
        <v/>
      </c>
      <c r="AB21">
        <f>HYPERLINK("https://klasma.github.io/Logging_2184/klagomålsmail/A 45153-2023 FSC-klagomål mail.docx", "A 45153-2023")</f>
        <v/>
      </c>
      <c r="AC21">
        <f>HYPERLINK("https://klasma.github.io/Logging_2184/tillsyn/A 45153-2023 tillsynsbegäran.docx", "A 45153-2023")</f>
        <v/>
      </c>
      <c r="AD21">
        <f>HYPERLINK("https://klasma.github.io/Logging_2184/tillsynsmail/A 45153-2023 tillsynsbegäran mail.docx", "A 45153-2023")</f>
        <v/>
      </c>
      <c r="AE21">
        <f>HYPERLINK("https://klasma.github.io/Logging_2184/fåglar/A 45153-2023 prioriterade fågelarter.docx", "A 45153-2023")</f>
        <v/>
      </c>
    </row>
    <row r="22" ht="15" customHeight="1">
      <c r="A22" t="inlineStr">
        <is>
          <t>A 19432-2025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45769</v>
      </c>
      <c r="E22" s="1" t="n">
        <v>46272</v>
      </c>
      <c r="F22" t="inlineStr">
        <is>
          <t>GÄVLEBORGS LÄN</t>
        </is>
      </c>
      <c r="G22" t="inlineStr">
        <is>
          <t>HUDIKSVALL</t>
        </is>
      </c>
      <c r="H22" t="inlineStr">
        <is>
          <t>Holmen skog AB</t>
        </is>
      </c>
      <c r="I22" t="n">
        <v>10.4</v>
      </c>
      <c r="J22" t="n">
        <v>1</v>
      </c>
      <c r="K22" t="n">
        <v>4</v>
      </c>
      <c r="L22" t="n">
        <v>1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t="n">
        <v>0</v>
      </c>
      <c r="S22" t="n">
        <v>6</v>
      </c>
      <c r="T22" t="n">
        <v>6</v>
      </c>
      <c r="U22" t="n">
        <v>6</v>
      </c>
      <c r="V22" s="2" t="inlineStr">
        <is>
          <t>Myskmåra
Strutbräken
Svart trolldruva
Tibast
Underviol
Blåsippa</t>
        </is>
      </c>
      <c r="W22">
        <f>HYPERLINK("https://klasma.github.io/Logging_2184/artfynd/A 19432-2025 artfynd.xlsx", "A 19432-2025")</f>
        <v/>
      </c>
      <c r="X22">
        <f>HYPERLINK("https://klasma.github.io/Logging_2184/kartor/A 19432-2025 karta.png", "A 19432-2025")</f>
        <v/>
      </c>
      <c r="Y22">
        <f>HYPERLINK("https://klasma.github.io/Logging_2184/kartor_geotiff/A 19432-2025 georefererad karta.tif", "A 19432-2025")</f>
        <v/>
      </c>
      <c r="AA22">
        <f>HYPERLINK("https://klasma.github.io/Logging_2184/klagomål/A 19432-2025 FSC-klagomål.docx", "A 19432-2025")</f>
        <v/>
      </c>
      <c r="AB22">
        <f>HYPERLINK("https://klasma.github.io/Logging_2184/klagomålsmail/A 19432-2025 FSC-klagomål mail.docx", "A 19432-2025")</f>
        <v/>
      </c>
      <c r="AC22">
        <f>HYPERLINK("https://klasma.github.io/Logging_2184/tillsyn/A 19432-2025 tillsynsbegäran.docx", "A 19432-2025")</f>
        <v/>
      </c>
      <c r="AD22">
        <f>HYPERLINK("https://klasma.github.io/Logging_2184/tillsynsmail/A 19432-2025 tillsynsbegäran mail.docx", "A 19432-2025")</f>
        <v/>
      </c>
    </row>
    <row r="23" ht="15" customHeight="1">
      <c r="A23" t="inlineStr">
        <is>
          <t>S 120-2025</t>
        </is>
      </c>
      <c r="B23" t="inlineStr">
        <is>
          <t>samrådsanmälan</t>
        </is>
      </c>
      <c r="C23" t="inlineStr">
        <is>
          <t>Skogsgödsling</t>
        </is>
      </c>
      <c r="D23" s="1" t="n">
        <v>45670</v>
      </c>
      <c r="E23" s="1" t="n">
        <v>46272</v>
      </c>
      <c r="F23" t="inlineStr">
        <is>
          <t>GÄVLEBORGS LÄN</t>
        </is>
      </c>
      <c r="G23" t="inlineStr">
        <is>
          <t>HUDIKSVALL</t>
        </is>
      </c>
      <c r="H23" t="inlineStr">
        <is>
          <t>Holmen skog AB</t>
        </is>
      </c>
      <c r="I23" t="n">
        <v>47.2</v>
      </c>
      <c r="J23" t="n">
        <v>3</v>
      </c>
      <c r="K23" t="n">
        <v>0</v>
      </c>
      <c r="L23" t="n">
        <v>2</v>
      </c>
      <c r="M23" t="n">
        <v>2</v>
      </c>
      <c r="N23" t="n">
        <v>0</v>
      </c>
      <c r="O23" t="n">
        <v>0</v>
      </c>
      <c r="P23" t="n">
        <v>0</v>
      </c>
      <c r="Q23" t="n">
        <v>4</v>
      </c>
      <c r="R23" t="n">
        <v>2</v>
      </c>
      <c r="S23" t="n">
        <v>6</v>
      </c>
      <c r="T23" t="n">
        <v>11</v>
      </c>
      <c r="U23" t="n">
        <v>10</v>
      </c>
      <c r="V23" s="2" t="inlineStr">
        <is>
          <t>Knärot
Ulltickeporing
Enkelbeckasin
Ullticka
Blåsippa
Kärrfibbla</t>
        </is>
      </c>
      <c r="W23">
        <f>HYPERLINK("https://klasma.github.io/Logging_2184/artfynd/S 120-2025 artfynd.xlsx", "S 120-2025")</f>
        <v/>
      </c>
      <c r="X23">
        <f>HYPERLINK("https://klasma.github.io/Logging_2184/kartor/S 120-2025 karta.png", "S 120-2025")</f>
        <v/>
      </c>
      <c r="Y23">
        <f>HYPERLINK("https://klasma.github.io/Logging_2184/kartor_geotiff/S 120-2025 georefererad karta.tif", "S 120-2025")</f>
        <v/>
      </c>
      <c r="Z23">
        <f>HYPERLINK("https://klasma.github.io/Logging_2184/knärot/S 120-2025 karta knärot.png", "S 120-2025")</f>
        <v/>
      </c>
      <c r="AA23">
        <f>HYPERLINK("https://klasma.github.io/Logging_2184/klagomål/S 120-2025 FSC-klagomål.docx", "S 120-2025")</f>
        <v/>
      </c>
      <c r="AB23">
        <f>HYPERLINK("https://klasma.github.io/Logging_2184/klagomålsmail/S 120-2025 FSC-klagomål mail.docx", "S 120-2025")</f>
        <v/>
      </c>
      <c r="AC23">
        <f>HYPERLINK("https://klasma.github.io/Logging_2184/tillsyn/S 120-2025 tillsynsbegäran.docx", "S 120-2025")</f>
        <v/>
      </c>
      <c r="AD23">
        <f>HYPERLINK("https://klasma.github.io/Logging_2184/tillsynsmail/S 120-2025 tillsynsbegäran mail.docx", "S 120-2025")</f>
        <v/>
      </c>
      <c r="AE23">
        <f>HYPERLINK("https://klasma.github.io/Logging_2184/fåglar/S 120-2025 prioriterade fågelarter.docx", "S 120-2025")</f>
        <v/>
      </c>
    </row>
    <row r="24" ht="15" customHeight="1">
      <c r="A24" t="inlineStr">
        <is>
          <t>A 49799-2023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45212</v>
      </c>
      <c r="E24" s="1" t="n">
        <v>46272</v>
      </c>
      <c r="F24" t="inlineStr">
        <is>
          <t>GÄVLEBORGS LÄN</t>
        </is>
      </c>
      <c r="G24" t="inlineStr">
        <is>
          <t>HUDIKSVALL</t>
        </is>
      </c>
      <c r="I24" t="n">
        <v>4</v>
      </c>
      <c r="J24" t="n">
        <v>0</v>
      </c>
      <c r="K24" t="n">
        <v>1</v>
      </c>
      <c r="L24" t="n">
        <v>4</v>
      </c>
      <c r="M24" t="n">
        <v>0</v>
      </c>
      <c r="N24" t="n">
        <v>0</v>
      </c>
      <c r="O24" t="n">
        <v>0</v>
      </c>
      <c r="P24" t="n">
        <v>0</v>
      </c>
      <c r="Q24" t="n">
        <v>4</v>
      </c>
      <c r="R24" t="n">
        <v>0</v>
      </c>
      <c r="S24" t="n">
        <v>5</v>
      </c>
      <c r="T24" t="n">
        <v>7</v>
      </c>
      <c r="U24" t="n">
        <v>0</v>
      </c>
      <c r="V24" s="2" t="inlineStr">
        <is>
          <t>Rosenticka
Ullticka
Violettgrå tagellav
Vitgrynig nållav
Vedticka</t>
        </is>
      </c>
      <c r="W24">
        <f>HYPERLINK("https://klasma.github.io/Logging_2184/artfynd/A 49799-2023 artfynd.xlsx", "A 49799-2023")</f>
        <v/>
      </c>
      <c r="X24">
        <f>HYPERLINK("https://klasma.github.io/Logging_2184/kartor/A 49799-2023 karta.png", "A 49799-2023")</f>
        <v/>
      </c>
      <c r="Y24">
        <f>HYPERLINK("https://klasma.github.io/Logging_2184/kartor_geotiff/A 49799-2023 georefererad karta.tif", "A 49799-2023")</f>
        <v/>
      </c>
      <c r="AA24">
        <f>HYPERLINK("https://klasma.github.io/Logging_2184/klagomål/A 49799-2023 FSC-klagomål.docx", "A 49799-2023")</f>
        <v/>
      </c>
      <c r="AB24">
        <f>HYPERLINK("https://klasma.github.io/Logging_2184/klagomålsmail/A 49799-2023 FSC-klagomål mail.docx", "A 49799-2023")</f>
        <v/>
      </c>
      <c r="AC24">
        <f>HYPERLINK("https://klasma.github.io/Logging_2184/tillsyn/A 49799-2023 tillsynsbegäran.docx", "A 49799-2023")</f>
        <v/>
      </c>
      <c r="AD24">
        <f>HYPERLINK("https://klasma.github.io/Logging_2184/tillsynsmail/A 49799-2023 tillsynsbegäran mail.docx", "A 49799-2023")</f>
        <v/>
      </c>
    </row>
    <row r="25" ht="15" customHeight="1">
      <c r="A25" t="inlineStr">
        <is>
          <t>A 41151-2025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45898</v>
      </c>
      <c r="E25" s="1" t="n">
        <v>46272</v>
      </c>
      <c r="F25" t="inlineStr">
        <is>
          <t>GÄVLEBORGS LÄN</t>
        </is>
      </c>
      <c r="G25" t="inlineStr">
        <is>
          <t>HUDIKSVALL</t>
        </is>
      </c>
      <c r="I25" t="n">
        <v>1.3</v>
      </c>
      <c r="J25" t="n">
        <v>5</v>
      </c>
      <c r="K25" t="n">
        <v>0</v>
      </c>
      <c r="L25" t="n">
        <v>2</v>
      </c>
      <c r="M25" t="n">
        <v>0</v>
      </c>
      <c r="N25" t="n">
        <v>0</v>
      </c>
      <c r="O25" t="n">
        <v>0</v>
      </c>
      <c r="P25" t="n">
        <v>0</v>
      </c>
      <c r="Q25" t="n">
        <v>2</v>
      </c>
      <c r="R25" t="n">
        <v>0</v>
      </c>
      <c r="S25" t="n">
        <v>5</v>
      </c>
      <c r="T25" t="n">
        <v>5</v>
      </c>
      <c r="U25" t="n">
        <v>0</v>
      </c>
      <c r="V25" s="2" t="inlineStr">
        <is>
          <t>Ladusvala
Skrattmås
Kråka
Sångsvan
Trana</t>
        </is>
      </c>
      <c r="W25">
        <f>HYPERLINK("https://klasma.github.io/Logging_2184/artfynd/A 41151-2025 artfynd.xlsx", "A 41151-2025")</f>
        <v/>
      </c>
      <c r="X25">
        <f>HYPERLINK("https://klasma.github.io/Logging_2184/kartor/A 41151-2025 karta.png", "A 41151-2025")</f>
        <v/>
      </c>
      <c r="Y25">
        <f>HYPERLINK("https://klasma.github.io/Logging_2184/kartor_geotiff/A 41151-2025 georefererad karta.tif", "A 41151-2025")</f>
        <v/>
      </c>
      <c r="AA25">
        <f>HYPERLINK("https://klasma.github.io/Logging_2184/klagomål/A 41151-2025 FSC-klagomål.docx", "A 41151-2025")</f>
        <v/>
      </c>
      <c r="AB25">
        <f>HYPERLINK("https://klasma.github.io/Logging_2184/klagomålsmail/A 41151-2025 FSC-klagomål mail.docx", "A 41151-2025")</f>
        <v/>
      </c>
      <c r="AC25">
        <f>HYPERLINK("https://klasma.github.io/Logging_2184/tillsyn/A 41151-2025 tillsynsbegäran.docx", "A 41151-2025")</f>
        <v/>
      </c>
      <c r="AD25">
        <f>HYPERLINK("https://klasma.github.io/Logging_2184/tillsynsmail/A 41151-2025 tillsynsbegäran mail.docx", "A 41151-2025")</f>
        <v/>
      </c>
      <c r="AE25">
        <f>HYPERLINK("https://klasma.github.io/Logging_2184/fåglar/A 41151-2025 prioriterade fågelarter.docx", "A 41151-2025")</f>
        <v/>
      </c>
    </row>
    <row r="26" ht="15" customHeight="1">
      <c r="A26" t="inlineStr">
        <is>
          <t>A 43647-2025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45912</v>
      </c>
      <c r="E26" s="1" t="n">
        <v>46272</v>
      </c>
      <c r="F26" t="inlineStr">
        <is>
          <t>GÄVLEBORGS LÄN</t>
        </is>
      </c>
      <c r="G26" t="inlineStr">
        <is>
          <t>HUDIKSVALL</t>
        </is>
      </c>
      <c r="I26" t="n">
        <v>3</v>
      </c>
      <c r="J26" t="n">
        <v>0</v>
      </c>
      <c r="K26" t="n">
        <v>1</v>
      </c>
      <c r="L26" t="n">
        <v>4</v>
      </c>
      <c r="M26" t="n">
        <v>0</v>
      </c>
      <c r="N26" t="n">
        <v>0</v>
      </c>
      <c r="O26" t="n">
        <v>0</v>
      </c>
      <c r="P26" t="n">
        <v>0</v>
      </c>
      <c r="Q26" t="n">
        <v>4</v>
      </c>
      <c r="R26" t="n">
        <v>0</v>
      </c>
      <c r="S26" t="n">
        <v>5</v>
      </c>
      <c r="T26" t="n">
        <v>9</v>
      </c>
      <c r="U26" t="n">
        <v>0</v>
      </c>
      <c r="V26" s="2" t="inlineStr">
        <is>
          <t>Kattfotslav
Rosenticka
Tallticka
Ullticka
Vedticka</t>
        </is>
      </c>
      <c r="W26">
        <f>HYPERLINK("https://klasma.github.io/Logging_2184/artfynd/A 43647-2025 artfynd.xlsx", "A 43647-2025")</f>
        <v/>
      </c>
      <c r="X26">
        <f>HYPERLINK("https://klasma.github.io/Logging_2184/kartor/A 43647-2025 karta.png", "A 43647-2025")</f>
        <v/>
      </c>
      <c r="Y26">
        <f>HYPERLINK("https://klasma.github.io/Logging_2184/kartor_geotiff/A 43647-2025 georefererad karta.tif", "A 43647-2025")</f>
        <v/>
      </c>
      <c r="AA26">
        <f>HYPERLINK("https://klasma.github.io/Logging_2184/klagomål/A 43647-2025 FSC-klagomål.docx", "A 43647-2025")</f>
        <v/>
      </c>
      <c r="AB26">
        <f>HYPERLINK("https://klasma.github.io/Logging_2184/klagomålsmail/A 43647-2025 FSC-klagomål mail.docx", "A 43647-2025")</f>
        <v/>
      </c>
      <c r="AC26">
        <f>HYPERLINK("https://klasma.github.io/Logging_2184/tillsyn/A 43647-2025 tillsynsbegäran.docx", "A 43647-2025")</f>
        <v/>
      </c>
      <c r="AD26">
        <f>HYPERLINK("https://klasma.github.io/Logging_2184/tillsynsmail/A 43647-2025 tillsynsbegäran mail.docx", "A 43647-2025")</f>
        <v/>
      </c>
    </row>
    <row r="27" ht="15" customHeight="1">
      <c r="A27" t="inlineStr">
        <is>
          <t>A 37207-2025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45875</v>
      </c>
      <c r="E27" s="1" t="n">
        <v>46272</v>
      </c>
      <c r="F27" t="inlineStr">
        <is>
          <t>GÄVLEBORGS LÄN</t>
        </is>
      </c>
      <c r="G27" t="inlineStr">
        <is>
          <t>HUDIKSVALL</t>
        </is>
      </c>
      <c r="I27" t="n">
        <v>5</v>
      </c>
      <c r="J27" t="n">
        <v>1</v>
      </c>
      <c r="K27" t="n">
        <v>2</v>
      </c>
      <c r="L27" t="n">
        <v>3</v>
      </c>
      <c r="M27" t="n">
        <v>0</v>
      </c>
      <c r="N27" t="n">
        <v>0</v>
      </c>
      <c r="O27" t="n">
        <v>0</v>
      </c>
      <c r="P27" t="n">
        <v>0</v>
      </c>
      <c r="Q27" t="n">
        <v>3</v>
      </c>
      <c r="R27" t="n">
        <v>0</v>
      </c>
      <c r="S27" t="n">
        <v>5</v>
      </c>
      <c r="T27" t="n">
        <v>5</v>
      </c>
      <c r="U27" t="n">
        <v>5</v>
      </c>
      <c r="V27" s="2" t="inlineStr">
        <is>
          <t>Rynkskinn
Tallticka
Talltita
Bronshjon
Jättesvampmal</t>
        </is>
      </c>
      <c r="W27">
        <f>HYPERLINK("https://klasma.github.io/Logging_2184/artfynd/A 37207-2025 artfynd.xlsx", "A 37207-2025")</f>
        <v/>
      </c>
      <c r="X27">
        <f>HYPERLINK("https://klasma.github.io/Logging_2184/kartor/A 37207-2025 karta.png", "A 37207-2025")</f>
        <v/>
      </c>
      <c r="Y27">
        <f>HYPERLINK("https://klasma.github.io/Logging_2184/kartor_geotiff/A 37207-2025 georefererad karta.tif", "A 37207-2025")</f>
        <v/>
      </c>
      <c r="AA27">
        <f>HYPERLINK("https://klasma.github.io/Logging_2184/klagomål/A 37207-2025 FSC-klagomål.docx", "A 37207-2025")</f>
        <v/>
      </c>
      <c r="AB27">
        <f>HYPERLINK("https://klasma.github.io/Logging_2184/klagomålsmail/A 37207-2025 FSC-klagomål mail.docx", "A 37207-2025")</f>
        <v/>
      </c>
      <c r="AC27">
        <f>HYPERLINK("https://klasma.github.io/Logging_2184/tillsyn/A 37207-2025 tillsynsbegäran.docx", "A 37207-2025")</f>
        <v/>
      </c>
      <c r="AD27">
        <f>HYPERLINK("https://klasma.github.io/Logging_2184/tillsynsmail/A 37207-2025 tillsynsbegäran mail.docx", "A 37207-2025")</f>
        <v/>
      </c>
      <c r="AE27">
        <f>HYPERLINK("https://klasma.github.io/Logging_2184/fåglar/A 37207-2025 prioriterade fågelarter.docx", "A 37207-2025")</f>
        <v/>
      </c>
    </row>
    <row r="28" ht="15" customHeight="1">
      <c r="A28" t="inlineStr">
        <is>
          <t>A 29582-2026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46204</v>
      </c>
      <c r="E28" s="1" t="n">
        <v>46272</v>
      </c>
      <c r="F28" t="inlineStr">
        <is>
          <t>GÄVLEBORGS LÄN</t>
        </is>
      </c>
      <c r="G28" t="inlineStr">
        <is>
          <t>HUDIKSVALL</t>
        </is>
      </c>
      <c r="H28" t="inlineStr">
        <is>
          <t>Holmen skog AB</t>
        </is>
      </c>
      <c r="I28" t="n">
        <v>21.3</v>
      </c>
      <c r="J28" t="n">
        <v>1</v>
      </c>
      <c r="K28" t="n">
        <v>0</v>
      </c>
      <c r="L28" t="n">
        <v>3</v>
      </c>
      <c r="M28" t="n">
        <v>1</v>
      </c>
      <c r="N28" t="n">
        <v>0</v>
      </c>
      <c r="O28" t="n">
        <v>0</v>
      </c>
      <c r="P28" t="n">
        <v>0</v>
      </c>
      <c r="Q28" t="n">
        <v>4</v>
      </c>
      <c r="R28" t="n">
        <v>1</v>
      </c>
      <c r="S28" t="n">
        <v>5</v>
      </c>
      <c r="T28" t="n">
        <v>10</v>
      </c>
      <c r="U28" t="n">
        <v>0</v>
      </c>
      <c r="V28" s="2" t="inlineStr">
        <is>
          <t>Garnlav
Gammelgransskål
Violettgrå tagellav
Vitgrynig nållav
Järpe</t>
        </is>
      </c>
      <c r="W28">
        <f>HYPERLINK("https://klasma.github.io/Logging_2184/artfynd/A 29582-2026 artfynd.xlsx", "A 29582-2026")</f>
        <v/>
      </c>
      <c r="X28">
        <f>HYPERLINK("https://klasma.github.io/Logging_2184/kartor/A 29582-2026 karta.png", "A 29582-2026")</f>
        <v/>
      </c>
      <c r="Y28">
        <f>HYPERLINK("https://klasma.github.io/Logging_2184/kartor_geotiff/A 29582-2026 georefererad karta.tif", "A 29582-2026")</f>
        <v/>
      </c>
      <c r="AA28">
        <f>HYPERLINK("https://klasma.github.io/Logging_2184/klagomål/A 29582-2026 FSC-klagomål.docx", "A 29582-2026")</f>
        <v/>
      </c>
      <c r="AB28">
        <f>HYPERLINK("https://klasma.github.io/Logging_2184/klagomålsmail/A 29582-2026 FSC-klagomål mail.docx", "A 29582-2026")</f>
        <v/>
      </c>
      <c r="AC28">
        <f>HYPERLINK("https://klasma.github.io/Logging_2184/tillsyn/A 29582-2026 tillsynsbegäran.docx", "A 29582-2026")</f>
        <v/>
      </c>
      <c r="AD28">
        <f>HYPERLINK("https://klasma.github.io/Logging_2184/tillsynsmail/A 29582-2026 tillsynsbegäran mail.docx", "A 29582-2026")</f>
        <v/>
      </c>
      <c r="AE28">
        <f>HYPERLINK("https://klasma.github.io/Logging_2184/fåglar/A 29582-2026 prioriterade fågelarter.docx", "A 29582-2026")</f>
        <v/>
      </c>
    </row>
    <row r="29" ht="15" customHeight="1">
      <c r="A29" t="inlineStr">
        <is>
          <t>A 35201-2026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46260</v>
      </c>
      <c r="E29" s="1" t="n">
        <v>46272</v>
      </c>
      <c r="F29" t="inlineStr">
        <is>
          <t>GÄVLEBORGS LÄN</t>
        </is>
      </c>
      <c r="G29" t="inlineStr">
        <is>
          <t>HUDIKSVALL</t>
        </is>
      </c>
      <c r="H29" t="inlineStr">
        <is>
          <t>Holmen skog AB</t>
        </is>
      </c>
      <c r="I29" t="n">
        <v>7.5</v>
      </c>
      <c r="J29" t="n">
        <v>1</v>
      </c>
      <c r="K29" t="n">
        <v>3</v>
      </c>
      <c r="L29" t="n">
        <v>1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t="n">
        <v>0</v>
      </c>
      <c r="S29" t="n">
        <v>5</v>
      </c>
      <c r="T29" t="n">
        <v>5</v>
      </c>
      <c r="U29" t="n">
        <v>0</v>
      </c>
      <c r="V29" s="2" t="inlineStr">
        <is>
          <t>Gullpudra
Skogsbräsma
Strutbräken
Svart trolldruva
Lopplummer (aggregat)</t>
        </is>
      </c>
      <c r="W29">
        <f>HYPERLINK("https://klasma.github.io/Logging_2184/artfynd/A 35201-2026 artfynd.xlsx", "A 35201-2026")</f>
        <v/>
      </c>
      <c r="X29">
        <f>HYPERLINK("https://klasma.github.io/Logging_2184/kartor/A 35201-2026 karta.png", "A 35201-2026")</f>
        <v/>
      </c>
      <c r="Y29">
        <f>HYPERLINK("https://klasma.github.io/Logging_2184/kartor_geotiff/A 35201-2026 georefererad karta.tif", "A 35201-2026")</f>
        <v/>
      </c>
      <c r="AA29">
        <f>HYPERLINK("https://klasma.github.io/Logging_2184/klagomål/A 35201-2026 FSC-klagomål.docx", "A 35201-2026")</f>
        <v/>
      </c>
      <c r="AB29">
        <f>HYPERLINK("https://klasma.github.io/Logging_2184/klagomålsmail/A 35201-2026 FSC-klagomål mail.docx", "A 35201-2026")</f>
        <v/>
      </c>
      <c r="AC29">
        <f>HYPERLINK("https://klasma.github.io/Logging_2184/tillsyn/A 35201-2026 tillsynsbegäran.docx", "A 35201-2026")</f>
        <v/>
      </c>
      <c r="AD29">
        <f>HYPERLINK("https://klasma.github.io/Logging_2184/tillsynsmail/A 35201-2026 tillsynsbegäran mail.docx", "A 35201-2026")</f>
        <v/>
      </c>
    </row>
    <row r="30" ht="15" customHeight="1">
      <c r="A30" t="inlineStr">
        <is>
          <t>A 55280-2022</t>
        </is>
      </c>
      <c r="B30" t="inlineStr">
        <is>
          <t>avverkningsanmälan</t>
        </is>
      </c>
      <c r="C30" t="inlineStr">
        <is>
          <t>Avverkning för att bevara och utveckla /försöksver</t>
        </is>
      </c>
      <c r="D30" s="1" t="n">
        <v>44887</v>
      </c>
      <c r="E30" s="1" t="n">
        <v>46272</v>
      </c>
      <c r="F30" t="inlineStr">
        <is>
          <t>GÄVLEBORGS LÄN</t>
        </is>
      </c>
      <c r="G30" t="inlineStr">
        <is>
          <t>HUDIKSVALL</t>
        </is>
      </c>
      <c r="H30" t="inlineStr">
        <is>
          <t>Holmen skog AB</t>
        </is>
      </c>
      <c r="I30" t="n">
        <v>3.3</v>
      </c>
      <c r="J30" t="n">
        <v>0</v>
      </c>
      <c r="K30" t="n">
        <v>1</v>
      </c>
      <c r="L30" t="n">
        <v>3</v>
      </c>
      <c r="M30" t="n">
        <v>0</v>
      </c>
      <c r="N30" t="n">
        <v>0</v>
      </c>
      <c r="O30" t="n">
        <v>0</v>
      </c>
      <c r="P30" t="n">
        <v>0</v>
      </c>
      <c r="Q30" t="n">
        <v>3</v>
      </c>
      <c r="R30" t="n">
        <v>0</v>
      </c>
      <c r="S30" t="n">
        <v>4</v>
      </c>
      <c r="T30" t="n">
        <v>5</v>
      </c>
      <c r="U30" t="n">
        <v>5</v>
      </c>
      <c r="V30" s="2" t="inlineStr">
        <is>
          <t>Ullticka
Veckticka
Vedtrappmossa
Korallblylav</t>
        </is>
      </c>
      <c r="W30">
        <f>HYPERLINK("https://klasma.github.io/Logging_2184/artfynd/A 55280-2022 artfynd.xlsx", "A 55280-2022")</f>
        <v/>
      </c>
      <c r="X30">
        <f>HYPERLINK("https://klasma.github.io/Logging_2184/kartor/A 55280-2022 karta.png", "A 55280-2022")</f>
        <v/>
      </c>
      <c r="Y30">
        <f>HYPERLINK("https://klasma.github.io/Logging_2184/kartor_geotiff/A 55280-2022 georefererad karta.tif", "A 55280-2022")</f>
        <v/>
      </c>
      <c r="AA30">
        <f>HYPERLINK("https://klasma.github.io/Logging_2184/klagomål/A 55280-2022 FSC-klagomål.docx", "A 55280-2022")</f>
        <v/>
      </c>
      <c r="AB30">
        <f>HYPERLINK("https://klasma.github.io/Logging_2184/klagomålsmail/A 55280-2022 FSC-klagomål mail.docx", "A 55280-2022")</f>
        <v/>
      </c>
      <c r="AC30">
        <f>HYPERLINK("https://klasma.github.io/Logging_2184/tillsyn/A 55280-2022 tillsynsbegäran.docx", "A 55280-2022")</f>
        <v/>
      </c>
      <c r="AD30">
        <f>HYPERLINK("https://klasma.github.io/Logging_2184/tillsynsmail/A 55280-2022 tillsynsbegäran mail.docx", "A 55280-2022")</f>
        <v/>
      </c>
    </row>
    <row r="31" ht="15" customHeight="1">
      <c r="A31" t="inlineStr">
        <is>
          <t>A 42606-2025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45905</v>
      </c>
      <c r="E31" s="1" t="n">
        <v>46272</v>
      </c>
      <c r="F31" t="inlineStr">
        <is>
          <t>GÄVLEBORGS LÄN</t>
        </is>
      </c>
      <c r="G31" t="inlineStr">
        <is>
          <t>HUDIKSVALL</t>
        </is>
      </c>
      <c r="H31" t="inlineStr">
        <is>
          <t>Holmen skog AB</t>
        </is>
      </c>
      <c r="I31" t="n">
        <v>2.9</v>
      </c>
      <c r="J31" t="n">
        <v>0</v>
      </c>
      <c r="K31" t="n">
        <v>1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4</v>
      </c>
      <c r="T31" t="n">
        <v>4</v>
      </c>
      <c r="U31" t="n">
        <v>4</v>
      </c>
      <c r="V31" s="2" t="inlineStr">
        <is>
          <t>Strutbräken
Lundarv
Ormbär
Torta</t>
        </is>
      </c>
      <c r="W31">
        <f>HYPERLINK("https://klasma.github.io/Logging_2184/artfynd/A 42606-2025 artfynd.xlsx", "A 42606-2025")</f>
        <v/>
      </c>
      <c r="X31">
        <f>HYPERLINK("https://klasma.github.io/Logging_2184/kartor/A 42606-2025 karta.png", "A 42606-2025")</f>
        <v/>
      </c>
      <c r="Y31">
        <f>HYPERLINK("https://klasma.github.io/Logging_2184/kartor_geotiff/A 42606-2025 georefererad karta.tif", "A 42606-2025")</f>
        <v/>
      </c>
      <c r="AA31">
        <f>HYPERLINK("https://klasma.github.io/Logging_2184/klagomål/A 42606-2025 FSC-klagomål.docx", "A 42606-2025")</f>
        <v/>
      </c>
      <c r="AB31">
        <f>HYPERLINK("https://klasma.github.io/Logging_2184/klagomålsmail/A 42606-2025 FSC-klagomål mail.docx", "A 42606-2025")</f>
        <v/>
      </c>
      <c r="AC31">
        <f>HYPERLINK("https://klasma.github.io/Logging_2184/tillsyn/A 42606-2025 tillsynsbegäran.docx", "A 42606-2025")</f>
        <v/>
      </c>
      <c r="AD31">
        <f>HYPERLINK("https://klasma.github.io/Logging_2184/tillsynsmail/A 42606-2025 tillsynsbegäran mail.docx", "A 42606-2025")</f>
        <v/>
      </c>
    </row>
    <row r="32" ht="15" customHeight="1">
      <c r="A32" t="inlineStr">
        <is>
          <t>A 32157-2025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45835</v>
      </c>
      <c r="E32" s="1" t="n">
        <v>46272</v>
      </c>
      <c r="F32" t="inlineStr">
        <is>
          <t>GÄVLEBORGS LÄN</t>
        </is>
      </c>
      <c r="G32" t="inlineStr">
        <is>
          <t>HUDIKSVALL</t>
        </is>
      </c>
      <c r="I32" t="n">
        <v>4.5</v>
      </c>
      <c r="J32" t="n">
        <v>3</v>
      </c>
      <c r="K32" t="n">
        <v>0</v>
      </c>
      <c r="L32" t="n">
        <v>1</v>
      </c>
      <c r="M32" t="n">
        <v>1</v>
      </c>
      <c r="N32" t="n">
        <v>0</v>
      </c>
      <c r="O32" t="n">
        <v>0</v>
      </c>
      <c r="P32" t="n">
        <v>0</v>
      </c>
      <c r="Q32" t="n">
        <v>2</v>
      </c>
      <c r="R32" t="n">
        <v>1</v>
      </c>
      <c r="S32" t="n">
        <v>4</v>
      </c>
      <c r="T32" t="n">
        <v>7</v>
      </c>
      <c r="U32" t="n">
        <v>0</v>
      </c>
      <c r="V32" s="2" t="inlineStr">
        <is>
          <t>Knärot
Ullticka
Fläcknycklar
Nattviol</t>
        </is>
      </c>
      <c r="W32">
        <f>HYPERLINK("https://klasma.github.io/Logging_2184/artfynd/A 32157-2025 artfynd.xlsx", "A 32157-2025")</f>
        <v/>
      </c>
      <c r="X32">
        <f>HYPERLINK("https://klasma.github.io/Logging_2184/kartor/A 32157-2025 karta.png", "A 32157-2025")</f>
        <v/>
      </c>
      <c r="Y32">
        <f>HYPERLINK("https://klasma.github.io/Logging_2184/kartor_geotiff/A 32157-2025 georefererad karta.tif", "A 32157-2025")</f>
        <v/>
      </c>
      <c r="Z32">
        <f>HYPERLINK("https://klasma.github.io/Logging_2184/knärot/A 32157-2025 karta knärot.png", "A 32157-2025")</f>
        <v/>
      </c>
      <c r="AA32">
        <f>HYPERLINK("https://klasma.github.io/Logging_2184/klagomål/A 32157-2025 FSC-klagomål.docx", "A 32157-2025")</f>
        <v/>
      </c>
      <c r="AB32">
        <f>HYPERLINK("https://klasma.github.io/Logging_2184/klagomålsmail/A 32157-2025 FSC-klagomål mail.docx", "A 32157-2025")</f>
        <v/>
      </c>
      <c r="AC32">
        <f>HYPERLINK("https://klasma.github.io/Logging_2184/tillsyn/A 32157-2025 tillsynsbegäran.docx", "A 32157-2025")</f>
        <v/>
      </c>
      <c r="AD32">
        <f>HYPERLINK("https://klasma.github.io/Logging_2184/tillsynsmail/A 32157-2025 tillsynsbegäran mail.docx", "A 32157-2025")</f>
        <v/>
      </c>
    </row>
    <row r="33" ht="15" customHeight="1">
      <c r="A33" t="inlineStr">
        <is>
          <t>A 36196-2023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45149</v>
      </c>
      <c r="E33" s="1" t="n">
        <v>46272</v>
      </c>
      <c r="F33" t="inlineStr">
        <is>
          <t>GÄVLEBORGS LÄN</t>
        </is>
      </c>
      <c r="G33" t="inlineStr">
        <is>
          <t>HUDIKSVALL</t>
        </is>
      </c>
      <c r="H33" t="inlineStr">
        <is>
          <t>Holmen skog AB</t>
        </is>
      </c>
      <c r="I33" t="n">
        <v>11.8</v>
      </c>
      <c r="J33" t="n">
        <v>1</v>
      </c>
      <c r="K33" t="n">
        <v>1</v>
      </c>
      <c r="L33" t="n">
        <v>2</v>
      </c>
      <c r="M33" t="n">
        <v>1</v>
      </c>
      <c r="N33" t="n">
        <v>0</v>
      </c>
      <c r="O33" t="n">
        <v>0</v>
      </c>
      <c r="P33" t="n">
        <v>0</v>
      </c>
      <c r="Q33" t="n">
        <v>3</v>
      </c>
      <c r="R33" t="n">
        <v>1</v>
      </c>
      <c r="S33" t="n">
        <v>4</v>
      </c>
      <c r="T33" t="n">
        <v>19</v>
      </c>
      <c r="U33" t="n">
        <v>19</v>
      </c>
      <c r="V33" s="2" t="inlineStr">
        <is>
          <t>Knärot
Rosenticka
Ullticka
Stor aspticka</t>
        </is>
      </c>
      <c r="W33">
        <f>HYPERLINK("https://klasma.github.io/Logging_2184/artfynd/A 36196-2023 artfynd.xlsx", "A 36196-2023")</f>
        <v/>
      </c>
      <c r="X33">
        <f>HYPERLINK("https://klasma.github.io/Logging_2184/kartor/A 36196-2023 karta.png", "A 36196-2023")</f>
        <v/>
      </c>
      <c r="Y33">
        <f>HYPERLINK("https://klasma.github.io/Logging_2184/kartor_geotiff/A 36196-2023 georefererad karta.tif", "A 36196-2023")</f>
        <v/>
      </c>
      <c r="Z33">
        <f>HYPERLINK("https://klasma.github.io/Logging_2184/knärot/A 36196-2023 karta knärot.png", "A 36196-2023")</f>
        <v/>
      </c>
      <c r="AA33">
        <f>HYPERLINK("https://klasma.github.io/Logging_2184/klagomål/A 36196-2023 FSC-klagomål.docx", "A 36196-2023")</f>
        <v/>
      </c>
      <c r="AB33">
        <f>HYPERLINK("https://klasma.github.io/Logging_2184/klagomålsmail/A 36196-2023 FSC-klagomål mail.docx", "A 36196-2023")</f>
        <v/>
      </c>
      <c r="AC33">
        <f>HYPERLINK("https://klasma.github.io/Logging_2184/tillsyn/A 36196-2023 tillsynsbegäran.docx", "A 36196-2023")</f>
        <v/>
      </c>
      <c r="AD33">
        <f>HYPERLINK("https://klasma.github.io/Logging_2184/tillsynsmail/A 36196-2023 tillsynsbegäran mail.docx", "A 36196-2023")</f>
        <v/>
      </c>
    </row>
    <row r="34" ht="15" customHeight="1">
      <c r="A34" t="inlineStr">
        <is>
          <t>A 4344-2026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46045</v>
      </c>
      <c r="E34" s="1" t="n">
        <v>46272</v>
      </c>
      <c r="F34" t="inlineStr">
        <is>
          <t>GÄVLEBORGS LÄN</t>
        </is>
      </c>
      <c r="G34" t="inlineStr">
        <is>
          <t>HUDIKSVALL</t>
        </is>
      </c>
      <c r="I34" t="n">
        <v>11.7</v>
      </c>
      <c r="J34" t="n">
        <v>1</v>
      </c>
      <c r="K34" t="n">
        <v>0</v>
      </c>
      <c r="L34" t="n">
        <v>3</v>
      </c>
      <c r="M34" t="n">
        <v>0</v>
      </c>
      <c r="N34" t="n">
        <v>0</v>
      </c>
      <c r="O34" t="n">
        <v>0</v>
      </c>
      <c r="P34" t="n">
        <v>0</v>
      </c>
      <c r="Q34" t="n">
        <v>3</v>
      </c>
      <c r="R34" t="n">
        <v>0</v>
      </c>
      <c r="S34" t="n">
        <v>4</v>
      </c>
      <c r="T34" t="n">
        <v>6</v>
      </c>
      <c r="U34" t="n">
        <v>0</v>
      </c>
      <c r="V34" s="2" t="inlineStr">
        <is>
          <t>Dvärgbägarlav
Motaggsvamp
Reliktbock
Spillkråka</t>
        </is>
      </c>
      <c r="W34">
        <f>HYPERLINK("https://klasma.github.io/Logging_2184/artfynd/A 4344-2026 artfynd.xlsx", "A 4344-2026")</f>
        <v/>
      </c>
      <c r="X34">
        <f>HYPERLINK("https://klasma.github.io/Logging_2184/kartor/A 4344-2026 karta.png", "A 4344-2026")</f>
        <v/>
      </c>
      <c r="Y34">
        <f>HYPERLINK("https://klasma.github.io/Logging_2184/kartor_geotiff/A 4344-2026 georefererad karta.tif", "A 4344-2026")</f>
        <v/>
      </c>
      <c r="AA34">
        <f>HYPERLINK("https://klasma.github.io/Logging_2184/klagomål/A 4344-2026 FSC-klagomål.docx", "A 4344-2026")</f>
        <v/>
      </c>
      <c r="AB34">
        <f>HYPERLINK("https://klasma.github.io/Logging_2184/klagomålsmail/A 4344-2026 FSC-klagomål mail.docx", "A 4344-2026")</f>
        <v/>
      </c>
      <c r="AC34">
        <f>HYPERLINK("https://klasma.github.io/Logging_2184/tillsyn/A 4344-2026 tillsynsbegäran.docx", "A 4344-2026")</f>
        <v/>
      </c>
      <c r="AD34">
        <f>HYPERLINK("https://klasma.github.io/Logging_2184/tillsynsmail/A 4344-2026 tillsynsbegäran mail.docx", "A 4344-2026")</f>
        <v/>
      </c>
      <c r="AE34">
        <f>HYPERLINK("https://klasma.github.io/Logging_2184/fåglar/A 4344-2026 prioriterade fågelarter.docx", "A 4344-2026")</f>
        <v/>
      </c>
    </row>
    <row r="35" ht="15" customHeight="1">
      <c r="A35" t="inlineStr">
        <is>
          <t>A 40120-2025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45894</v>
      </c>
      <c r="E35" s="1" t="n">
        <v>46272</v>
      </c>
      <c r="F35" t="inlineStr">
        <is>
          <t>GÄVLEBORGS LÄN</t>
        </is>
      </c>
      <c r="G35" t="inlineStr">
        <is>
          <t>HUDIKSVALL</t>
        </is>
      </c>
      <c r="I35" t="n">
        <v>3.6</v>
      </c>
      <c r="J35" t="n">
        <v>1</v>
      </c>
      <c r="K35" t="n">
        <v>0</v>
      </c>
      <c r="L35" t="n">
        <v>3</v>
      </c>
      <c r="M35" t="n">
        <v>1</v>
      </c>
      <c r="N35" t="n">
        <v>0</v>
      </c>
      <c r="O35" t="n">
        <v>0</v>
      </c>
      <c r="P35" t="n">
        <v>0</v>
      </c>
      <c r="Q35" t="n">
        <v>4</v>
      </c>
      <c r="R35" t="n">
        <v>1</v>
      </c>
      <c r="S35" t="n">
        <v>4</v>
      </c>
      <c r="T35" t="n">
        <v>5</v>
      </c>
      <c r="U35" t="n">
        <v>5</v>
      </c>
      <c r="V35" s="2" t="inlineStr">
        <is>
          <t>Knärot
Kattfotslav
Motaggsvamp
Rynkskinn</t>
        </is>
      </c>
      <c r="W35">
        <f>HYPERLINK("https://klasma.github.io/Logging_2184/artfynd/A 40120-2025 artfynd.xlsx", "A 40120-2025")</f>
        <v/>
      </c>
      <c r="X35">
        <f>HYPERLINK("https://klasma.github.io/Logging_2184/kartor/A 40120-2025 karta.png", "A 40120-2025")</f>
        <v/>
      </c>
      <c r="Y35">
        <f>HYPERLINK("https://klasma.github.io/Logging_2184/kartor_geotiff/A 40120-2025 georefererad karta.tif", "A 40120-2025")</f>
        <v/>
      </c>
      <c r="Z35">
        <f>HYPERLINK("https://klasma.github.io/Logging_2184/knärot/A 40120-2025 karta knärot.png", "A 40120-2025")</f>
        <v/>
      </c>
      <c r="AA35">
        <f>HYPERLINK("https://klasma.github.io/Logging_2184/klagomål/A 40120-2025 FSC-klagomål.docx", "A 40120-2025")</f>
        <v/>
      </c>
      <c r="AB35">
        <f>HYPERLINK("https://klasma.github.io/Logging_2184/klagomålsmail/A 40120-2025 FSC-klagomål mail.docx", "A 40120-2025")</f>
        <v/>
      </c>
      <c r="AC35">
        <f>HYPERLINK("https://klasma.github.io/Logging_2184/tillsyn/A 40120-2025 tillsynsbegäran.docx", "A 40120-2025")</f>
        <v/>
      </c>
      <c r="AD35">
        <f>HYPERLINK("https://klasma.github.io/Logging_2184/tillsynsmail/A 40120-2025 tillsynsbegäran mail.docx", "A 40120-2025")</f>
        <v/>
      </c>
    </row>
    <row r="36" ht="15" customHeight="1">
      <c r="A36" t="inlineStr">
        <is>
          <t>A 7943-2026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46063</v>
      </c>
      <c r="E36" s="1" t="n">
        <v>46272</v>
      </c>
      <c r="F36" t="inlineStr">
        <is>
          <t>GÄVLEBORGS LÄN</t>
        </is>
      </c>
      <c r="G36" t="inlineStr">
        <is>
          <t>HUDIKSVALL</t>
        </is>
      </c>
      <c r="I36" t="n">
        <v>3.7</v>
      </c>
      <c r="J36" t="n">
        <v>0</v>
      </c>
      <c r="K36" t="n">
        <v>0</v>
      </c>
      <c r="L36" t="n">
        <v>3</v>
      </c>
      <c r="M36" t="n">
        <v>1</v>
      </c>
      <c r="N36" t="n">
        <v>0</v>
      </c>
      <c r="O36" t="n">
        <v>0</v>
      </c>
      <c r="P36" t="n">
        <v>0</v>
      </c>
      <c r="Q36" t="n">
        <v>4</v>
      </c>
      <c r="R36" t="n">
        <v>1</v>
      </c>
      <c r="S36" t="n">
        <v>4</v>
      </c>
      <c r="T36" t="n">
        <v>5</v>
      </c>
      <c r="U36" t="n">
        <v>0</v>
      </c>
      <c r="V36" s="2" t="inlineStr">
        <is>
          <t>Garnlav
Rosenticka
Ullticka
Vedskivlav</t>
        </is>
      </c>
      <c r="W36">
        <f>HYPERLINK("https://klasma.github.io/Logging_2184/artfynd/A 7943-2026 artfynd.xlsx", "A 7943-2026")</f>
        <v/>
      </c>
      <c r="X36">
        <f>HYPERLINK("https://klasma.github.io/Logging_2184/kartor/A 7943-2026 karta.png", "A 7943-2026")</f>
        <v/>
      </c>
      <c r="Y36">
        <f>HYPERLINK("https://klasma.github.io/Logging_2184/kartor_geotiff/A 7943-2026 georefererad karta.tif", "A 7943-2026")</f>
        <v/>
      </c>
      <c r="AA36">
        <f>HYPERLINK("https://klasma.github.io/Logging_2184/klagomål/A 7943-2026 FSC-klagomål.docx", "A 7943-2026")</f>
        <v/>
      </c>
      <c r="AB36">
        <f>HYPERLINK("https://klasma.github.io/Logging_2184/klagomålsmail/A 7943-2026 FSC-klagomål mail.docx", "A 7943-2026")</f>
        <v/>
      </c>
      <c r="AC36">
        <f>HYPERLINK("https://klasma.github.io/Logging_2184/tillsyn/A 7943-2026 tillsynsbegäran.docx", "A 7943-2026")</f>
        <v/>
      </c>
      <c r="AD36">
        <f>HYPERLINK("https://klasma.github.io/Logging_2184/tillsynsmail/A 7943-2026 tillsynsbegäran mail.docx", "A 7943-2026")</f>
        <v/>
      </c>
    </row>
    <row r="37" ht="15" customHeight="1">
      <c r="A37" t="inlineStr">
        <is>
          <t>A 18222-2026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46126</v>
      </c>
      <c r="E37" s="1" t="n">
        <v>46272</v>
      </c>
      <c r="F37" t="inlineStr">
        <is>
          <t>GÄVLEBORGS LÄN</t>
        </is>
      </c>
      <c r="G37" t="inlineStr">
        <is>
          <t>HUDIKSVALL</t>
        </is>
      </c>
      <c r="I37" t="n">
        <v>3</v>
      </c>
      <c r="J37" t="n">
        <v>3</v>
      </c>
      <c r="K37" t="n">
        <v>0</v>
      </c>
      <c r="L37" t="n">
        <v>0</v>
      </c>
      <c r="M37" t="n">
        <v>1</v>
      </c>
      <c r="N37" t="n">
        <v>0</v>
      </c>
      <c r="O37" t="n">
        <v>0</v>
      </c>
      <c r="P37" t="n">
        <v>0</v>
      </c>
      <c r="Q37" t="n">
        <v>1</v>
      </c>
      <c r="R37" t="n">
        <v>1</v>
      </c>
      <c r="S37" t="n">
        <v>4</v>
      </c>
      <c r="T37" t="n">
        <v>6</v>
      </c>
      <c r="U37" t="n">
        <v>0</v>
      </c>
      <c r="V37" s="2" t="inlineStr">
        <is>
          <t>Ringlav
Mattlummer
Fläcknycklar
Revlummer</t>
        </is>
      </c>
      <c r="W37">
        <f>HYPERLINK("https://klasma.github.io/Logging_2184/artfynd/A 18222-2026 artfynd.xlsx", "A 18222-2026")</f>
        <v/>
      </c>
      <c r="X37">
        <f>HYPERLINK("https://klasma.github.io/Logging_2184/kartor/A 18222-2026 karta.png", "A 18222-2026")</f>
        <v/>
      </c>
      <c r="Y37">
        <f>HYPERLINK("https://klasma.github.io/Logging_2184/kartor_geotiff/A 18222-2026 georefererad karta.tif", "A 18222-2026")</f>
        <v/>
      </c>
      <c r="AA37">
        <f>HYPERLINK("https://klasma.github.io/Logging_2184/klagomål/A 18222-2026 FSC-klagomål.docx", "A 18222-2026")</f>
        <v/>
      </c>
      <c r="AB37">
        <f>HYPERLINK("https://klasma.github.io/Logging_2184/klagomålsmail/A 18222-2026 FSC-klagomål mail.docx", "A 18222-2026")</f>
        <v/>
      </c>
      <c r="AC37">
        <f>HYPERLINK("https://klasma.github.io/Logging_2184/tillsyn/A 18222-2026 tillsynsbegäran.docx", "A 18222-2026")</f>
        <v/>
      </c>
      <c r="AD37">
        <f>HYPERLINK("https://klasma.github.io/Logging_2184/tillsynsmail/A 18222-2026 tillsynsbegäran mail.docx", "A 18222-2026")</f>
        <v/>
      </c>
    </row>
    <row r="38" ht="15" customHeight="1">
      <c r="A38" t="inlineStr">
        <is>
          <t>A 12920-2026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46092</v>
      </c>
      <c r="E38" s="1" t="n">
        <v>46272</v>
      </c>
      <c r="F38" t="inlineStr">
        <is>
          <t>GÄVLEBORGS LÄN</t>
        </is>
      </c>
      <c r="G38" t="inlineStr">
        <is>
          <t>HUDIKSVALL</t>
        </is>
      </c>
      <c r="I38" t="n">
        <v>18.1</v>
      </c>
      <c r="J38" t="n">
        <v>0</v>
      </c>
      <c r="K38" t="n">
        <v>2</v>
      </c>
      <c r="L38" t="n">
        <v>2</v>
      </c>
      <c r="M38" t="n">
        <v>0</v>
      </c>
      <c r="N38" t="n">
        <v>0</v>
      </c>
      <c r="O38" t="n">
        <v>0</v>
      </c>
      <c r="P38" t="n">
        <v>0</v>
      </c>
      <c r="Q38" t="n">
        <v>2</v>
      </c>
      <c r="R38" t="n">
        <v>0</v>
      </c>
      <c r="S38" t="n">
        <v>4</v>
      </c>
      <c r="T38" t="n">
        <v>5</v>
      </c>
      <c r="U38" t="n">
        <v>0</v>
      </c>
      <c r="V38" s="2" t="inlineStr">
        <is>
          <t>Lunglav
Ullticka
Korallblylav
Vedticka</t>
        </is>
      </c>
      <c r="W38">
        <f>HYPERLINK("https://klasma.github.io/Logging_2184/artfynd/A 12920-2026 artfynd.xlsx", "A 12920-2026")</f>
        <v/>
      </c>
      <c r="X38">
        <f>HYPERLINK("https://klasma.github.io/Logging_2184/kartor/A 12920-2026 karta.png", "A 12920-2026")</f>
        <v/>
      </c>
      <c r="Y38">
        <f>HYPERLINK("https://klasma.github.io/Logging_2184/kartor_geotiff/A 12920-2026 georefererad karta.tif", "A 12920-2026")</f>
        <v/>
      </c>
      <c r="AA38">
        <f>HYPERLINK("https://klasma.github.io/Logging_2184/klagomål/A 12920-2026 FSC-klagomål.docx", "A 12920-2026")</f>
        <v/>
      </c>
      <c r="AB38">
        <f>HYPERLINK("https://klasma.github.io/Logging_2184/klagomålsmail/A 12920-2026 FSC-klagomål mail.docx", "A 12920-2026")</f>
        <v/>
      </c>
      <c r="AC38">
        <f>HYPERLINK("https://klasma.github.io/Logging_2184/tillsyn/A 12920-2026 tillsynsbegäran.docx", "A 12920-2026")</f>
        <v/>
      </c>
      <c r="AD38">
        <f>HYPERLINK("https://klasma.github.io/Logging_2184/tillsynsmail/A 12920-2026 tillsynsbegäran mail.docx", "A 12920-2026")</f>
        <v/>
      </c>
    </row>
    <row r="39" ht="15" customHeight="1">
      <c r="A39" t="inlineStr">
        <is>
          <t>A 8376-2026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46064</v>
      </c>
      <c r="E39" s="1" t="n">
        <v>46272</v>
      </c>
      <c r="F39" t="inlineStr">
        <is>
          <t>GÄVLEBORGS LÄN</t>
        </is>
      </c>
      <c r="G39" t="inlineStr">
        <is>
          <t>HUDIKSVALL</t>
        </is>
      </c>
      <c r="I39" t="n">
        <v>32.4</v>
      </c>
      <c r="J39" t="n">
        <v>2</v>
      </c>
      <c r="K39" t="n">
        <v>2</v>
      </c>
      <c r="L39" t="n">
        <v>1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t="n">
        <v>0</v>
      </c>
      <c r="S39" t="n">
        <v>4</v>
      </c>
      <c r="T39" t="n">
        <v>4</v>
      </c>
      <c r="U39" t="n">
        <v>0</v>
      </c>
      <c r="V39" s="2" t="inlineStr">
        <is>
          <t>Ullticka
Skogsknipprot
Stor aspticka
Fläcknycklar</t>
        </is>
      </c>
      <c r="W39">
        <f>HYPERLINK("https://klasma.github.io/Logging_2184/artfynd/A 8376-2026 artfynd.xlsx", "A 8376-2026")</f>
        <v/>
      </c>
      <c r="X39">
        <f>HYPERLINK("https://klasma.github.io/Logging_2184/kartor/A 8376-2026 karta.png", "A 8376-2026")</f>
        <v/>
      </c>
      <c r="Y39">
        <f>HYPERLINK("https://klasma.github.io/Logging_2184/kartor_geotiff/A 8376-2026 georefererad karta.tif", "A 8376-2026")</f>
        <v/>
      </c>
      <c r="AA39">
        <f>HYPERLINK("https://klasma.github.io/Logging_2184/klagomål/A 8376-2026 FSC-klagomål.docx", "A 8376-2026")</f>
        <v/>
      </c>
      <c r="AB39">
        <f>HYPERLINK("https://klasma.github.io/Logging_2184/klagomålsmail/A 8376-2026 FSC-klagomål mail.docx", "A 8376-2026")</f>
        <v/>
      </c>
      <c r="AC39">
        <f>HYPERLINK("https://klasma.github.io/Logging_2184/tillsyn/A 8376-2026 tillsynsbegäran.docx", "A 8376-2026")</f>
        <v/>
      </c>
      <c r="AD39">
        <f>HYPERLINK("https://klasma.github.io/Logging_2184/tillsynsmail/A 8376-2026 tillsynsbegäran mail.docx", "A 8376-2026")</f>
        <v/>
      </c>
    </row>
    <row r="40" ht="15" customHeight="1">
      <c r="A40" t="inlineStr">
        <is>
          <t>A 6239-2026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46055</v>
      </c>
      <c r="E40" s="1" t="n">
        <v>46272</v>
      </c>
      <c r="F40" t="inlineStr">
        <is>
          <t>GÄVLEBORGS LÄN</t>
        </is>
      </c>
      <c r="G40" t="inlineStr">
        <is>
          <t>HUDIKSVALL</t>
        </is>
      </c>
      <c r="I40" t="n">
        <v>1.5</v>
      </c>
      <c r="J40" t="n">
        <v>2</v>
      </c>
      <c r="K40" t="n">
        <v>1</v>
      </c>
      <c r="L40" t="n">
        <v>1</v>
      </c>
      <c r="M40" t="n">
        <v>1</v>
      </c>
      <c r="N40" t="n">
        <v>0</v>
      </c>
      <c r="O40" t="n">
        <v>0</v>
      </c>
      <c r="P40" t="n">
        <v>0</v>
      </c>
      <c r="Q40" t="n">
        <v>2</v>
      </c>
      <c r="R40" t="n">
        <v>1</v>
      </c>
      <c r="S40" t="n">
        <v>4</v>
      </c>
      <c r="T40" t="n">
        <v>4</v>
      </c>
      <c r="U40" t="n">
        <v>0</v>
      </c>
      <c r="V40" s="2" t="inlineStr">
        <is>
          <t>Garnlav
Talltita
Tibast
Revlummer</t>
        </is>
      </c>
      <c r="W40">
        <f>HYPERLINK("https://klasma.github.io/Logging_2184/artfynd/A 6239-2026 artfynd.xlsx", "A 6239-2026")</f>
        <v/>
      </c>
      <c r="X40">
        <f>HYPERLINK("https://klasma.github.io/Logging_2184/kartor/A 6239-2026 karta.png", "A 6239-2026")</f>
        <v/>
      </c>
      <c r="Y40">
        <f>HYPERLINK("https://klasma.github.io/Logging_2184/kartor_geotiff/A 6239-2026 georefererad karta.tif", "A 6239-2026")</f>
        <v/>
      </c>
      <c r="AA40">
        <f>HYPERLINK("https://klasma.github.io/Logging_2184/klagomål/A 6239-2026 FSC-klagomål.docx", "A 6239-2026")</f>
        <v/>
      </c>
      <c r="AB40">
        <f>HYPERLINK("https://klasma.github.io/Logging_2184/klagomålsmail/A 6239-2026 FSC-klagomål mail.docx", "A 6239-2026")</f>
        <v/>
      </c>
      <c r="AC40">
        <f>HYPERLINK("https://klasma.github.io/Logging_2184/tillsyn/A 6239-2026 tillsynsbegäran.docx", "A 6239-2026")</f>
        <v/>
      </c>
      <c r="AD40">
        <f>HYPERLINK("https://klasma.github.io/Logging_2184/tillsynsmail/A 6239-2026 tillsynsbegäran mail.docx", "A 6239-2026")</f>
        <v/>
      </c>
      <c r="AE40">
        <f>HYPERLINK("https://klasma.github.io/Logging_2184/fåglar/A 6239-2026 prioriterade fågelarter.docx", "A 6239-2026")</f>
        <v/>
      </c>
    </row>
    <row r="41" ht="15" customHeight="1">
      <c r="A41" t="inlineStr">
        <is>
          <t>A 5500-2024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45334</v>
      </c>
      <c r="E41" s="1" t="n">
        <v>46272</v>
      </c>
      <c r="F41" t="inlineStr">
        <is>
          <t>GÄVLEBORGS LÄN</t>
        </is>
      </c>
      <c r="G41" t="inlineStr">
        <is>
          <t>HUDIKSVALL</t>
        </is>
      </c>
      <c r="H41" t="inlineStr">
        <is>
          <t>Holmen skog AB</t>
        </is>
      </c>
      <c r="I41" t="n">
        <v>5</v>
      </c>
      <c r="J41" t="n">
        <v>0</v>
      </c>
      <c r="K41" t="n">
        <v>0</v>
      </c>
      <c r="L41" t="n">
        <v>3</v>
      </c>
      <c r="M41" t="n">
        <v>1</v>
      </c>
      <c r="N41" t="n">
        <v>0</v>
      </c>
      <c r="O41" t="n">
        <v>0</v>
      </c>
      <c r="P41" t="n">
        <v>0</v>
      </c>
      <c r="Q41" t="n">
        <v>4</v>
      </c>
      <c r="R41" t="n">
        <v>1</v>
      </c>
      <c r="S41" t="n">
        <v>4</v>
      </c>
      <c r="T41" t="n">
        <v>4</v>
      </c>
      <c r="U41" t="n">
        <v>4</v>
      </c>
      <c r="V41" s="2" t="inlineStr">
        <is>
          <t>Garnlav
Dropptaggsvamp
Mörk kolflarnlav
Rosenticka</t>
        </is>
      </c>
      <c r="W41">
        <f>HYPERLINK("https://klasma.github.io/Logging_2184/artfynd/A 5500-2024 artfynd.xlsx", "A 5500-2024")</f>
        <v/>
      </c>
      <c r="X41">
        <f>HYPERLINK("https://klasma.github.io/Logging_2184/kartor/A 5500-2024 karta.png", "A 5500-2024")</f>
        <v/>
      </c>
      <c r="Y41">
        <f>HYPERLINK("https://klasma.github.io/Logging_2184/kartor_geotiff/A 5500-2024 georefererad karta.tif", "A 5500-2024")</f>
        <v/>
      </c>
      <c r="AA41">
        <f>HYPERLINK("https://klasma.github.io/Logging_2184/klagomål/A 5500-2024 FSC-klagomål.docx", "A 5500-2024")</f>
        <v/>
      </c>
      <c r="AB41">
        <f>HYPERLINK("https://klasma.github.io/Logging_2184/klagomålsmail/A 5500-2024 FSC-klagomål mail.docx", "A 5500-2024")</f>
        <v/>
      </c>
      <c r="AC41">
        <f>HYPERLINK("https://klasma.github.io/Logging_2184/tillsyn/A 5500-2024 tillsynsbegäran.docx", "A 5500-2024")</f>
        <v/>
      </c>
      <c r="AD41">
        <f>HYPERLINK("https://klasma.github.io/Logging_2184/tillsynsmail/A 5500-2024 tillsynsbegäran mail.docx", "A 5500-2024")</f>
        <v/>
      </c>
    </row>
    <row r="42" ht="15" customHeight="1">
      <c r="A42" t="inlineStr">
        <is>
          <t>S 84-2025</t>
        </is>
      </c>
      <c r="B42" t="inlineStr">
        <is>
          <t>samrådsanmälan</t>
        </is>
      </c>
      <c r="C42" t="inlineStr">
        <is>
          <t>Skogsgödsling</t>
        </is>
      </c>
      <c r="D42" s="1" t="n">
        <v>45670</v>
      </c>
      <c r="E42" s="1" t="n">
        <v>46272</v>
      </c>
      <c r="F42" t="inlineStr">
        <is>
          <t>GÄVLEBORGS LÄN</t>
        </is>
      </c>
      <c r="G42" t="inlineStr">
        <is>
          <t>HUDIKSVALL</t>
        </is>
      </c>
      <c r="H42" t="inlineStr">
        <is>
          <t>Holmen skog AB</t>
        </is>
      </c>
      <c r="I42" t="n">
        <v>110.4</v>
      </c>
      <c r="J42" t="n">
        <v>3</v>
      </c>
      <c r="K42" t="n">
        <v>1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4</v>
      </c>
      <c r="T42" t="n">
        <v>5</v>
      </c>
      <c r="U42" t="n">
        <v>4</v>
      </c>
      <c r="V42" s="2" t="inlineStr">
        <is>
          <t>Ögonpyrola
Blåsippa
Nattviol
Revlummer</t>
        </is>
      </c>
      <c r="W42">
        <f>HYPERLINK("https://klasma.github.io/Logging_2184/artfynd/S 84-2025 artfynd.xlsx", "S 84-2025")</f>
        <v/>
      </c>
      <c r="X42">
        <f>HYPERLINK("https://klasma.github.io/Logging_2184/kartor/S 84-2025 karta.png", "S 84-2025")</f>
        <v/>
      </c>
      <c r="Y42">
        <f>HYPERLINK("https://klasma.github.io/Logging_2184/kartor_geotiff/S 84-2025 georefererad karta.tif", "S 84-2025")</f>
        <v/>
      </c>
      <c r="AA42">
        <f>HYPERLINK("https://klasma.github.io/Logging_2184/klagomål/S 84-2025 FSC-klagomål.docx", "S 84-2025")</f>
        <v/>
      </c>
      <c r="AB42">
        <f>HYPERLINK("https://klasma.github.io/Logging_2184/klagomålsmail/S 84-2025 FSC-klagomål mail.docx", "S 84-2025")</f>
        <v/>
      </c>
      <c r="AC42">
        <f>HYPERLINK("https://klasma.github.io/Logging_2184/tillsyn/S 84-2025 tillsynsbegäran.docx", "S 84-2025")</f>
        <v/>
      </c>
      <c r="AD42">
        <f>HYPERLINK("https://klasma.github.io/Logging_2184/tillsynsmail/S 84-2025 tillsynsbegäran mail.docx", "S 84-2025")</f>
        <v/>
      </c>
    </row>
    <row r="43" ht="15" customHeight="1">
      <c r="A43" t="inlineStr">
        <is>
          <t>A 42203-2022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44830</v>
      </c>
      <c r="E43" s="1" t="n">
        <v>46272</v>
      </c>
      <c r="F43" t="inlineStr">
        <is>
          <t>GÄVLEBORGS LÄN</t>
        </is>
      </c>
      <c r="G43" t="inlineStr">
        <is>
          <t>HUDIKSVALL</t>
        </is>
      </c>
      <c r="I43" t="n">
        <v>2.3</v>
      </c>
      <c r="J43" t="n">
        <v>2</v>
      </c>
      <c r="K43" t="n">
        <v>0</v>
      </c>
      <c r="L43" t="n">
        <v>1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t="n">
        <v>0</v>
      </c>
      <c r="S43" t="n">
        <v>3</v>
      </c>
      <c r="T43" t="n">
        <v>6</v>
      </c>
      <c r="U43" t="n">
        <v>6</v>
      </c>
      <c r="V43" s="2" t="inlineStr">
        <is>
          <t>Blanksvart spiklav
Fläcknycklar
Revlummer</t>
        </is>
      </c>
      <c r="W43">
        <f>HYPERLINK("https://klasma.github.io/Logging_2184/artfynd/A 42203-2022 artfynd.xlsx", "A 42203-2022")</f>
        <v/>
      </c>
      <c r="X43">
        <f>HYPERLINK("https://klasma.github.io/Logging_2184/kartor/A 42203-2022 karta.png", "A 42203-2022")</f>
        <v/>
      </c>
      <c r="Y43">
        <f>HYPERLINK("https://klasma.github.io/Logging_2184/kartor_geotiff/A 42203-2022 georefererad karta.tif", "A 42203-2022")</f>
        <v/>
      </c>
      <c r="AA43">
        <f>HYPERLINK("https://klasma.github.io/Logging_2184/klagomål/A 42203-2022 FSC-klagomål.docx", "A 42203-2022")</f>
        <v/>
      </c>
      <c r="AB43">
        <f>HYPERLINK("https://klasma.github.io/Logging_2184/klagomålsmail/A 42203-2022 FSC-klagomål mail.docx", "A 42203-2022")</f>
        <v/>
      </c>
      <c r="AC43">
        <f>HYPERLINK("https://klasma.github.io/Logging_2184/tillsyn/A 42203-2022 tillsynsbegäran.docx", "A 42203-2022")</f>
        <v/>
      </c>
      <c r="AD43">
        <f>HYPERLINK("https://klasma.github.io/Logging_2184/tillsynsmail/A 42203-2022 tillsynsbegäran mail.docx", "A 42203-2022")</f>
        <v/>
      </c>
    </row>
    <row r="44" ht="15" customHeight="1">
      <c r="A44" t="inlineStr">
        <is>
          <t>A 8446-2022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44612</v>
      </c>
      <c r="E44" s="1" t="n">
        <v>46272</v>
      </c>
      <c r="F44" t="inlineStr">
        <is>
          <t>GÄVLEBORGS LÄN</t>
        </is>
      </c>
      <c r="G44" t="inlineStr">
        <is>
          <t>HUDIKSVALL</t>
        </is>
      </c>
      <c r="I44" t="n">
        <v>5.4</v>
      </c>
      <c r="J44" t="n">
        <v>3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3</v>
      </c>
      <c r="T44" t="n">
        <v>3</v>
      </c>
      <c r="U44" t="n">
        <v>3</v>
      </c>
      <c r="V44" s="2" t="inlineStr">
        <is>
          <t>Blåsippa
Fläcknycklar
Nattviol</t>
        </is>
      </c>
      <c r="W44">
        <f>HYPERLINK("https://klasma.github.io/Logging_2184/artfynd/A 8446-2022 artfynd.xlsx", "A 8446-2022")</f>
        <v/>
      </c>
      <c r="X44">
        <f>HYPERLINK("https://klasma.github.io/Logging_2184/kartor/A 8446-2022 karta.png", "A 8446-2022")</f>
        <v/>
      </c>
      <c r="Y44">
        <f>HYPERLINK("https://klasma.github.io/Logging_2184/kartor_geotiff/A 8446-2022 georefererad karta.tif", "A 8446-2022")</f>
        <v/>
      </c>
      <c r="AA44">
        <f>HYPERLINK("https://klasma.github.io/Logging_2184/klagomål/A 8446-2022 FSC-klagomål.docx", "A 8446-2022")</f>
        <v/>
      </c>
      <c r="AB44">
        <f>HYPERLINK("https://klasma.github.io/Logging_2184/klagomålsmail/A 8446-2022 FSC-klagomål mail.docx", "A 8446-2022")</f>
        <v/>
      </c>
      <c r="AC44">
        <f>HYPERLINK("https://klasma.github.io/Logging_2184/tillsyn/A 8446-2022 tillsynsbegäran.docx", "A 8446-2022")</f>
        <v/>
      </c>
      <c r="AD44">
        <f>HYPERLINK("https://klasma.github.io/Logging_2184/tillsynsmail/A 8446-2022 tillsynsbegäran mail.docx", "A 8446-2022")</f>
        <v/>
      </c>
    </row>
    <row r="45" ht="15" customHeight="1">
      <c r="A45" t="inlineStr">
        <is>
          <t>A 49922-2021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44455</v>
      </c>
      <c r="E45" s="1" t="n">
        <v>46272</v>
      </c>
      <c r="F45" t="inlineStr">
        <is>
          <t>GÄVLEBORGS LÄN</t>
        </is>
      </c>
      <c r="G45" t="inlineStr">
        <is>
          <t>HUDIKSVALL</t>
        </is>
      </c>
      <c r="I45" t="n">
        <v>4.5</v>
      </c>
      <c r="J45" t="n">
        <v>0</v>
      </c>
      <c r="K45" t="n">
        <v>2</v>
      </c>
      <c r="L45" t="n">
        <v>1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t="n">
        <v>0</v>
      </c>
      <c r="S45" t="n">
        <v>3</v>
      </c>
      <c r="T45" t="n">
        <v>3</v>
      </c>
      <c r="U45" t="n">
        <v>0</v>
      </c>
      <c r="V45" s="2" t="inlineStr">
        <is>
          <t>Kattfotslav
Korallblylav
Skinnlav</t>
        </is>
      </c>
      <c r="W45">
        <f>HYPERLINK("https://klasma.github.io/Logging_2184/artfynd/A 49922-2021 artfynd.xlsx", "A 49922-2021")</f>
        <v/>
      </c>
      <c r="X45">
        <f>HYPERLINK("https://klasma.github.io/Logging_2184/kartor/A 49922-2021 karta.png", "A 49922-2021")</f>
        <v/>
      </c>
      <c r="Y45">
        <f>HYPERLINK("https://klasma.github.io/Logging_2184/kartor_geotiff/A 49922-2021 georefererad karta.tif", "A 49922-2021")</f>
        <v/>
      </c>
      <c r="AA45">
        <f>HYPERLINK("https://klasma.github.io/Logging_2184/klagomål/A 49922-2021 FSC-klagomål.docx", "A 49922-2021")</f>
        <v/>
      </c>
      <c r="AB45">
        <f>HYPERLINK("https://klasma.github.io/Logging_2184/klagomålsmail/A 49922-2021 FSC-klagomål mail.docx", "A 49922-2021")</f>
        <v/>
      </c>
      <c r="AC45">
        <f>HYPERLINK("https://klasma.github.io/Logging_2184/tillsyn/A 49922-2021 tillsynsbegäran.docx", "A 49922-2021")</f>
        <v/>
      </c>
      <c r="AD45">
        <f>HYPERLINK("https://klasma.github.io/Logging_2184/tillsynsmail/A 49922-2021 tillsynsbegäran mail.docx", "A 49922-2021")</f>
        <v/>
      </c>
    </row>
    <row r="46" ht="15" customHeight="1">
      <c r="A46" t="inlineStr">
        <is>
          <t>A 12843-2024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45384</v>
      </c>
      <c r="E46" s="1" t="n">
        <v>46272</v>
      </c>
      <c r="F46" t="inlineStr">
        <is>
          <t>GÄVLEBORGS LÄN</t>
        </is>
      </c>
      <c r="G46" t="inlineStr">
        <is>
          <t>HUDIKSVALL</t>
        </is>
      </c>
      <c r="H46" t="inlineStr">
        <is>
          <t>Holmen skog AB</t>
        </is>
      </c>
      <c r="I46" t="n">
        <v>23.4</v>
      </c>
      <c r="J46" t="n">
        <v>3</v>
      </c>
      <c r="K46" t="n">
        <v>1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3</v>
      </c>
      <c r="T46" t="n">
        <v>3</v>
      </c>
      <c r="U46" t="n">
        <v>3</v>
      </c>
      <c r="V46" s="2" t="inlineStr">
        <is>
          <t>Spindelblomster
Fläcknycklar
Revlummer</t>
        </is>
      </c>
      <c r="W46">
        <f>HYPERLINK("https://klasma.github.io/Logging_2184/artfynd/A 12843-2024 artfynd.xlsx", "A 12843-2024")</f>
        <v/>
      </c>
      <c r="X46">
        <f>HYPERLINK("https://klasma.github.io/Logging_2184/kartor/A 12843-2024 karta.png", "A 12843-2024")</f>
        <v/>
      </c>
      <c r="Y46">
        <f>HYPERLINK("https://klasma.github.io/Logging_2184/kartor_geotiff/A 12843-2024 georefererad karta.tif", "A 12843-2024")</f>
        <v/>
      </c>
      <c r="AA46">
        <f>HYPERLINK("https://klasma.github.io/Logging_2184/klagomål/A 12843-2024 FSC-klagomål.docx", "A 12843-2024")</f>
        <v/>
      </c>
      <c r="AB46">
        <f>HYPERLINK("https://klasma.github.io/Logging_2184/klagomålsmail/A 12843-2024 FSC-klagomål mail.docx", "A 12843-2024")</f>
        <v/>
      </c>
      <c r="AC46">
        <f>HYPERLINK("https://klasma.github.io/Logging_2184/tillsyn/A 12843-2024 tillsynsbegäran.docx", "A 12843-2024")</f>
        <v/>
      </c>
      <c r="AD46">
        <f>HYPERLINK("https://klasma.github.io/Logging_2184/tillsynsmail/A 12843-2024 tillsynsbegäran mail.docx", "A 12843-2024")</f>
        <v/>
      </c>
    </row>
    <row r="47" ht="15" customHeight="1">
      <c r="A47" t="inlineStr">
        <is>
          <t>A 33783-2023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45133</v>
      </c>
      <c r="E47" s="1" t="n">
        <v>46272</v>
      </c>
      <c r="F47" t="inlineStr">
        <is>
          <t>GÄVLEBORGS LÄN</t>
        </is>
      </c>
      <c r="G47" t="inlineStr">
        <is>
          <t>HUDIKSVALL</t>
        </is>
      </c>
      <c r="H47" t="inlineStr">
        <is>
          <t>Holmen skog AB</t>
        </is>
      </c>
      <c r="I47" t="n">
        <v>2.6</v>
      </c>
      <c r="J47" t="n">
        <v>0</v>
      </c>
      <c r="K47" t="n">
        <v>1</v>
      </c>
      <c r="L47" t="n">
        <v>1</v>
      </c>
      <c r="M47" t="n">
        <v>1</v>
      </c>
      <c r="N47" t="n">
        <v>0</v>
      </c>
      <c r="O47" t="n">
        <v>0</v>
      </c>
      <c r="P47" t="n">
        <v>0</v>
      </c>
      <c r="Q47" t="n">
        <v>2</v>
      </c>
      <c r="R47" t="n">
        <v>1</v>
      </c>
      <c r="S47" t="n">
        <v>3</v>
      </c>
      <c r="T47" t="n">
        <v>3</v>
      </c>
      <c r="U47" t="n">
        <v>3</v>
      </c>
      <c r="V47" s="2" t="inlineStr">
        <is>
          <t>Garnlav
Lunglav
Stuplav</t>
        </is>
      </c>
      <c r="W47">
        <f>HYPERLINK("https://klasma.github.io/Logging_2184/artfynd/A 33783-2023 artfynd.xlsx", "A 33783-2023")</f>
        <v/>
      </c>
      <c r="X47">
        <f>HYPERLINK("https://klasma.github.io/Logging_2184/kartor/A 33783-2023 karta.png", "A 33783-2023")</f>
        <v/>
      </c>
      <c r="Y47">
        <f>HYPERLINK("https://klasma.github.io/Logging_2184/kartor_geotiff/A 33783-2023 georefererad karta.tif", "A 33783-2023")</f>
        <v/>
      </c>
      <c r="AA47">
        <f>HYPERLINK("https://klasma.github.io/Logging_2184/klagomål/A 33783-2023 FSC-klagomål.docx", "A 33783-2023")</f>
        <v/>
      </c>
      <c r="AB47">
        <f>HYPERLINK("https://klasma.github.io/Logging_2184/klagomålsmail/A 33783-2023 FSC-klagomål mail.docx", "A 33783-2023")</f>
        <v/>
      </c>
      <c r="AC47">
        <f>HYPERLINK("https://klasma.github.io/Logging_2184/tillsyn/A 33783-2023 tillsynsbegäran.docx", "A 33783-2023")</f>
        <v/>
      </c>
      <c r="AD47">
        <f>HYPERLINK("https://klasma.github.io/Logging_2184/tillsynsmail/A 33783-2023 tillsynsbegäran mail.docx", "A 33783-2023")</f>
        <v/>
      </c>
    </row>
    <row r="48" ht="15" customHeight="1">
      <c r="A48" t="inlineStr">
        <is>
          <t>A 8049-2026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46063</v>
      </c>
      <c r="E48" s="1" t="n">
        <v>46272</v>
      </c>
      <c r="F48" t="inlineStr">
        <is>
          <t>GÄVLEBORGS LÄN</t>
        </is>
      </c>
      <c r="G48" t="inlineStr">
        <is>
          <t>HUDIKSVALL</t>
        </is>
      </c>
      <c r="I48" t="n">
        <v>4</v>
      </c>
      <c r="J48" t="n">
        <v>1</v>
      </c>
      <c r="K48" t="n">
        <v>1</v>
      </c>
      <c r="L48" t="n">
        <v>1</v>
      </c>
      <c r="M48" t="n">
        <v>1</v>
      </c>
      <c r="N48" t="n">
        <v>0</v>
      </c>
      <c r="O48" t="n">
        <v>0</v>
      </c>
      <c r="P48" t="n">
        <v>0</v>
      </c>
      <c r="Q48" t="n">
        <v>2</v>
      </c>
      <c r="R48" t="n">
        <v>1</v>
      </c>
      <c r="S48" t="n">
        <v>3</v>
      </c>
      <c r="T48" t="n">
        <v>3</v>
      </c>
      <c r="U48" t="n">
        <v>0</v>
      </c>
      <c r="V48" s="2" t="inlineStr">
        <is>
          <t>Knärot
Blå taggsvamp
Kamjordstjärna</t>
        </is>
      </c>
      <c r="W48">
        <f>HYPERLINK("https://klasma.github.io/Logging_2184/artfynd/A 8049-2026 artfynd.xlsx", "A 8049-2026")</f>
        <v/>
      </c>
      <c r="X48">
        <f>HYPERLINK("https://klasma.github.io/Logging_2184/kartor/A 8049-2026 karta.png", "A 8049-2026")</f>
        <v/>
      </c>
      <c r="Y48">
        <f>HYPERLINK("https://klasma.github.io/Logging_2184/kartor_geotiff/A 8049-2026 georefererad karta.tif", "A 8049-2026")</f>
        <v/>
      </c>
      <c r="Z48">
        <f>HYPERLINK("https://klasma.github.io/Logging_2184/knärot/A 8049-2026 karta knärot.png", "A 8049-2026")</f>
        <v/>
      </c>
      <c r="AA48">
        <f>HYPERLINK("https://klasma.github.io/Logging_2184/klagomål/A 8049-2026 FSC-klagomål.docx", "A 8049-2026")</f>
        <v/>
      </c>
      <c r="AB48">
        <f>HYPERLINK("https://klasma.github.io/Logging_2184/klagomålsmail/A 8049-2026 FSC-klagomål mail.docx", "A 8049-2026")</f>
        <v/>
      </c>
      <c r="AC48">
        <f>HYPERLINK("https://klasma.github.io/Logging_2184/tillsyn/A 8049-2026 tillsynsbegäran.docx", "A 8049-2026")</f>
        <v/>
      </c>
      <c r="AD48">
        <f>HYPERLINK("https://klasma.github.io/Logging_2184/tillsynsmail/A 8049-2026 tillsynsbegäran mail.docx", "A 8049-2026")</f>
        <v/>
      </c>
    </row>
    <row r="49" ht="15" customHeight="1">
      <c r="A49" t="inlineStr">
        <is>
          <t>A 33608-2024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45520</v>
      </c>
      <c r="E49" s="1" t="n">
        <v>46272</v>
      </c>
      <c r="F49" t="inlineStr">
        <is>
          <t>GÄVLEBORGS LÄN</t>
        </is>
      </c>
      <c r="G49" t="inlineStr">
        <is>
          <t>HUDIKSVALL</t>
        </is>
      </c>
      <c r="H49" t="inlineStr">
        <is>
          <t>Holmen skog AB</t>
        </is>
      </c>
      <c r="I49" t="n">
        <v>19.7</v>
      </c>
      <c r="J49" t="n">
        <v>1</v>
      </c>
      <c r="K49" t="n">
        <v>0</v>
      </c>
      <c r="L49" t="n">
        <v>1</v>
      </c>
      <c r="M49" t="n">
        <v>2</v>
      </c>
      <c r="N49" t="n">
        <v>0</v>
      </c>
      <c r="O49" t="n">
        <v>0</v>
      </c>
      <c r="P49" t="n">
        <v>0</v>
      </c>
      <c r="Q49" t="n">
        <v>3</v>
      </c>
      <c r="R49" t="n">
        <v>2</v>
      </c>
      <c r="S49" t="n">
        <v>3</v>
      </c>
      <c r="T49" t="n">
        <v>4</v>
      </c>
      <c r="U49" t="n">
        <v>4</v>
      </c>
      <c r="V49" s="2" t="inlineStr">
        <is>
          <t>Garnlav
Knärot
Ullticka</t>
        </is>
      </c>
      <c r="W49">
        <f>HYPERLINK("https://klasma.github.io/Logging_2184/artfynd/A 33608-2024 artfynd.xlsx", "A 33608-2024")</f>
        <v/>
      </c>
      <c r="X49">
        <f>HYPERLINK("https://klasma.github.io/Logging_2184/kartor/A 33608-2024 karta.png", "A 33608-2024")</f>
        <v/>
      </c>
      <c r="Y49">
        <f>HYPERLINK("https://klasma.github.io/Logging_2184/kartor_geotiff/A 33608-2024 georefererad karta.tif", "A 33608-2024")</f>
        <v/>
      </c>
      <c r="Z49">
        <f>HYPERLINK("https://klasma.github.io/Logging_2184/knärot/A 33608-2024 karta knärot.png", "A 33608-2024")</f>
        <v/>
      </c>
      <c r="AA49">
        <f>HYPERLINK("https://klasma.github.io/Logging_2184/klagomål/A 33608-2024 FSC-klagomål.docx", "A 33608-2024")</f>
        <v/>
      </c>
      <c r="AB49">
        <f>HYPERLINK("https://klasma.github.io/Logging_2184/klagomålsmail/A 33608-2024 FSC-klagomål mail.docx", "A 33608-2024")</f>
        <v/>
      </c>
      <c r="AC49">
        <f>HYPERLINK("https://klasma.github.io/Logging_2184/tillsyn/A 33608-2024 tillsynsbegäran.docx", "A 33608-2024")</f>
        <v/>
      </c>
      <c r="AD49">
        <f>HYPERLINK("https://klasma.github.io/Logging_2184/tillsynsmail/A 33608-2024 tillsynsbegäran mail.docx", "A 33608-2024")</f>
        <v/>
      </c>
    </row>
    <row r="50" ht="15" customHeight="1">
      <c r="A50" t="inlineStr">
        <is>
          <t>A 12028-2026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46085</v>
      </c>
      <c r="E50" s="1" t="n">
        <v>46272</v>
      </c>
      <c r="F50" t="inlineStr">
        <is>
          <t>GÄVLEBORGS LÄN</t>
        </is>
      </c>
      <c r="G50" t="inlineStr">
        <is>
          <t>HUDIKSVALL</t>
        </is>
      </c>
      <c r="I50" t="n">
        <v>6.6</v>
      </c>
      <c r="J50" t="n">
        <v>3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3</v>
      </c>
      <c r="T50" t="n">
        <v>3</v>
      </c>
      <c r="U50" t="n">
        <v>0</v>
      </c>
      <c r="V50" s="2" t="inlineStr">
        <is>
          <t>Mattlummer
Brudsporre
Fläcknycklar</t>
        </is>
      </c>
      <c r="W50">
        <f>HYPERLINK("https://klasma.github.io/Logging_2184/artfynd/A 12028-2026 artfynd.xlsx", "A 12028-2026")</f>
        <v/>
      </c>
      <c r="X50">
        <f>HYPERLINK("https://klasma.github.io/Logging_2184/kartor/A 12028-2026 karta.png", "A 12028-2026")</f>
        <v/>
      </c>
      <c r="Y50">
        <f>HYPERLINK("https://klasma.github.io/Logging_2184/kartor_geotiff/A 12028-2026 georefererad karta.tif", "A 12028-2026")</f>
        <v/>
      </c>
      <c r="AA50">
        <f>HYPERLINK("https://klasma.github.io/Logging_2184/klagomål/A 12028-2026 FSC-klagomål.docx", "A 12028-2026")</f>
        <v/>
      </c>
      <c r="AB50">
        <f>HYPERLINK("https://klasma.github.io/Logging_2184/klagomålsmail/A 12028-2026 FSC-klagomål mail.docx", "A 12028-2026")</f>
        <v/>
      </c>
      <c r="AC50">
        <f>HYPERLINK("https://klasma.github.io/Logging_2184/tillsyn/A 12028-2026 tillsynsbegäran.docx", "A 12028-2026")</f>
        <v/>
      </c>
      <c r="AD50">
        <f>HYPERLINK("https://klasma.github.io/Logging_2184/tillsynsmail/A 12028-2026 tillsynsbegäran mail.docx", "A 12028-2026")</f>
        <v/>
      </c>
    </row>
    <row r="51" ht="15" customHeight="1">
      <c r="A51" t="inlineStr">
        <is>
          <t>A 42624-2024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45565</v>
      </c>
      <c r="E51" s="1" t="n">
        <v>46272</v>
      </c>
      <c r="F51" t="inlineStr">
        <is>
          <t>GÄVLEBORGS LÄN</t>
        </is>
      </c>
      <c r="G51" t="inlineStr">
        <is>
          <t>HUDIKSVALL</t>
        </is>
      </c>
      <c r="I51" t="n">
        <v>1.5</v>
      </c>
      <c r="J51" t="n">
        <v>1</v>
      </c>
      <c r="K51" t="n">
        <v>0</v>
      </c>
      <c r="L51" t="n">
        <v>2</v>
      </c>
      <c r="M51" t="n">
        <v>0</v>
      </c>
      <c r="N51" t="n">
        <v>0</v>
      </c>
      <c r="O51" t="n">
        <v>0</v>
      </c>
      <c r="P51" t="n">
        <v>0</v>
      </c>
      <c r="Q51" t="n">
        <v>2</v>
      </c>
      <c r="R51" t="n">
        <v>0</v>
      </c>
      <c r="S51" t="n">
        <v>3</v>
      </c>
      <c r="T51" t="n">
        <v>3</v>
      </c>
      <c r="U51" t="n">
        <v>0</v>
      </c>
      <c r="V51" s="2" t="inlineStr">
        <is>
          <t>Vedflikmossa
Violettgrå tagellav
Revlummer</t>
        </is>
      </c>
      <c r="W51">
        <f>HYPERLINK("https://klasma.github.io/Logging_2184/artfynd/A 42624-2024 artfynd.xlsx", "A 42624-2024")</f>
        <v/>
      </c>
      <c r="X51">
        <f>HYPERLINK("https://klasma.github.io/Logging_2184/kartor/A 42624-2024 karta.png", "A 42624-2024")</f>
        <v/>
      </c>
      <c r="Y51">
        <f>HYPERLINK("https://klasma.github.io/Logging_2184/kartor_geotiff/A 42624-2024 georefererad karta.tif", "A 42624-2024")</f>
        <v/>
      </c>
      <c r="AA51">
        <f>HYPERLINK("https://klasma.github.io/Logging_2184/klagomål/A 42624-2024 FSC-klagomål.docx", "A 42624-2024")</f>
        <v/>
      </c>
      <c r="AB51">
        <f>HYPERLINK("https://klasma.github.io/Logging_2184/klagomålsmail/A 42624-2024 FSC-klagomål mail.docx", "A 42624-2024")</f>
        <v/>
      </c>
      <c r="AC51">
        <f>HYPERLINK("https://klasma.github.io/Logging_2184/tillsyn/A 42624-2024 tillsynsbegäran.docx", "A 42624-2024")</f>
        <v/>
      </c>
      <c r="AD51">
        <f>HYPERLINK("https://klasma.github.io/Logging_2184/tillsynsmail/A 42624-2024 tillsynsbegäran mail.docx", "A 42624-2024")</f>
        <v/>
      </c>
    </row>
    <row r="52" ht="15" customHeight="1">
      <c r="A52" t="inlineStr">
        <is>
          <t>S 4019-2023</t>
        </is>
      </c>
      <c r="B52" t="inlineStr">
        <is>
          <t>samrådsanmälan</t>
        </is>
      </c>
      <c r="C52" t="inlineStr">
        <is>
          <t>Skogsgödsling</t>
        </is>
      </c>
      <c r="D52" s="1" t="n">
        <v>45237</v>
      </c>
      <c r="E52" s="1" t="n">
        <v>46272</v>
      </c>
      <c r="F52" t="inlineStr">
        <is>
          <t>GÄVLEBORGS LÄN</t>
        </is>
      </c>
      <c r="G52" t="inlineStr">
        <is>
          <t>HUDIKSVALL</t>
        </is>
      </c>
      <c r="H52" t="inlineStr">
        <is>
          <t>Holmen skog AB</t>
        </is>
      </c>
      <c r="I52" t="n">
        <v>130.1</v>
      </c>
      <c r="J52" t="n">
        <v>2</v>
      </c>
      <c r="K52" t="n">
        <v>1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3</v>
      </c>
      <c r="T52" t="n">
        <v>4</v>
      </c>
      <c r="U52" t="n">
        <v>2</v>
      </c>
      <c r="V52" s="2" t="inlineStr">
        <is>
          <t>Bronshjon
Fläcknycklar
Revlummer</t>
        </is>
      </c>
      <c r="W52">
        <f>HYPERLINK("https://klasma.github.io/Logging_2184/artfynd/S 4019-2023 artfynd.xlsx", "S 4019-2023")</f>
        <v/>
      </c>
      <c r="X52">
        <f>HYPERLINK("https://klasma.github.io/Logging_2184/kartor/S 4019-2023 karta.png", "S 4019-2023")</f>
        <v/>
      </c>
      <c r="Y52">
        <f>HYPERLINK("https://klasma.github.io/Logging_2184/kartor_geotiff/S 4019-2023 georefererad karta.tif", "S 4019-2023")</f>
        <v/>
      </c>
      <c r="AA52">
        <f>HYPERLINK("https://klasma.github.io/Logging_2184/klagomål/S 4019-2023 FSC-klagomål.docx", "S 4019-2023")</f>
        <v/>
      </c>
      <c r="AB52">
        <f>HYPERLINK("https://klasma.github.io/Logging_2184/klagomålsmail/S 4019-2023 FSC-klagomål mail.docx", "S 4019-2023")</f>
        <v/>
      </c>
      <c r="AC52">
        <f>HYPERLINK("https://klasma.github.io/Logging_2184/tillsyn/S 4019-2023 tillsynsbegäran.docx", "S 4019-2023")</f>
        <v/>
      </c>
      <c r="AD52">
        <f>HYPERLINK("https://klasma.github.io/Logging_2184/tillsynsmail/S 4019-2023 tillsynsbegäran mail.docx", "S 4019-2023")</f>
        <v/>
      </c>
    </row>
    <row r="53" ht="15" customHeight="1">
      <c r="A53" t="inlineStr">
        <is>
          <t>A 45380-2024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45576</v>
      </c>
      <c r="E53" s="1" t="n">
        <v>46272</v>
      </c>
      <c r="F53" t="inlineStr">
        <is>
          <t>GÄVLEBORGS LÄN</t>
        </is>
      </c>
      <c r="G53" t="inlineStr">
        <is>
          <t>HUDIKSVALL</t>
        </is>
      </c>
      <c r="I53" t="n">
        <v>3</v>
      </c>
      <c r="J53" t="n">
        <v>2</v>
      </c>
      <c r="K53" t="n">
        <v>1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2</v>
      </c>
      <c r="T53" t="n">
        <v>2</v>
      </c>
      <c r="U53" t="n">
        <v>2</v>
      </c>
      <c r="V53" s="2" t="inlineStr">
        <is>
          <t>Plattlummer
Mattlummer</t>
        </is>
      </c>
      <c r="W53">
        <f>HYPERLINK("https://klasma.github.io/Logging_2184/artfynd/A 45380-2024 artfynd.xlsx", "A 45380-2024")</f>
        <v/>
      </c>
      <c r="X53">
        <f>HYPERLINK("https://klasma.github.io/Logging_2184/kartor/A 45380-2024 karta.png", "A 45380-2024")</f>
        <v/>
      </c>
      <c r="Y53">
        <f>HYPERLINK("https://klasma.github.io/Logging_2184/kartor_geotiff/A 45380-2024 georefererad karta.tif", "A 45380-2024")</f>
        <v/>
      </c>
      <c r="AA53">
        <f>HYPERLINK("https://klasma.github.io/Logging_2184/klagomål/A 45380-2024 FSC-klagomål.docx", "A 45380-2024")</f>
        <v/>
      </c>
      <c r="AB53">
        <f>HYPERLINK("https://klasma.github.io/Logging_2184/klagomålsmail/A 45380-2024 FSC-klagomål mail.docx", "A 45380-2024")</f>
        <v/>
      </c>
      <c r="AC53">
        <f>HYPERLINK("https://klasma.github.io/Logging_2184/tillsyn/A 45380-2024 tillsynsbegäran.docx", "A 45380-2024")</f>
        <v/>
      </c>
      <c r="AD53">
        <f>HYPERLINK("https://klasma.github.io/Logging_2184/tillsynsmail/A 45380-2024 tillsynsbegäran mail.docx", "A 45380-2024")</f>
        <v/>
      </c>
    </row>
    <row r="54" ht="15" customHeight="1">
      <c r="A54" t="inlineStr">
        <is>
          <t>A 43163-2025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45910</v>
      </c>
      <c r="E54" s="1" t="n">
        <v>46272</v>
      </c>
      <c r="F54" t="inlineStr">
        <is>
          <t>GÄVLEBORGS LÄN</t>
        </is>
      </c>
      <c r="G54" t="inlineStr">
        <is>
          <t>HUDIKSVALL</t>
        </is>
      </c>
      <c r="H54" t="inlineStr">
        <is>
          <t>Holmen skog AB</t>
        </is>
      </c>
      <c r="I54" t="n">
        <v>2.7</v>
      </c>
      <c r="J54" t="n">
        <v>0</v>
      </c>
      <c r="K54" t="n">
        <v>1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2</v>
      </c>
      <c r="T54" t="n">
        <v>3</v>
      </c>
      <c r="U54" t="n">
        <v>3</v>
      </c>
      <c r="V54" s="2" t="inlineStr">
        <is>
          <t>Skogshakmossa
Ormbär</t>
        </is>
      </c>
      <c r="W54">
        <f>HYPERLINK("https://klasma.github.io/Logging_2184/artfynd/A 43163-2025 artfynd.xlsx", "A 43163-2025")</f>
        <v/>
      </c>
      <c r="X54">
        <f>HYPERLINK("https://klasma.github.io/Logging_2184/kartor/A 43163-2025 karta.png", "A 43163-2025")</f>
        <v/>
      </c>
      <c r="Y54">
        <f>HYPERLINK("https://klasma.github.io/Logging_2184/kartor_geotiff/A 43163-2025 georefererad karta.tif", "A 43163-2025")</f>
        <v/>
      </c>
      <c r="AA54">
        <f>HYPERLINK("https://klasma.github.io/Logging_2184/klagomål/A 43163-2025 FSC-klagomål.docx", "A 43163-2025")</f>
        <v/>
      </c>
      <c r="AB54">
        <f>HYPERLINK("https://klasma.github.io/Logging_2184/klagomålsmail/A 43163-2025 FSC-klagomål mail.docx", "A 43163-2025")</f>
        <v/>
      </c>
      <c r="AC54">
        <f>HYPERLINK("https://klasma.github.io/Logging_2184/tillsyn/A 43163-2025 tillsynsbegäran.docx", "A 43163-2025")</f>
        <v/>
      </c>
      <c r="AD54">
        <f>HYPERLINK("https://klasma.github.io/Logging_2184/tillsynsmail/A 43163-2025 tillsynsbegäran mail.docx", "A 43163-2025")</f>
        <v/>
      </c>
    </row>
    <row r="55" ht="15" customHeight="1">
      <c r="A55" t="inlineStr">
        <is>
          <t>A 52568-2025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45954</v>
      </c>
      <c r="E55" s="1" t="n">
        <v>46272</v>
      </c>
      <c r="F55" t="inlineStr">
        <is>
          <t>GÄVLEBORGS LÄN</t>
        </is>
      </c>
      <c r="G55" t="inlineStr">
        <is>
          <t>HUDIKSVALL</t>
        </is>
      </c>
      <c r="I55" t="n">
        <v>8.199999999999999</v>
      </c>
      <c r="J55" t="n">
        <v>0</v>
      </c>
      <c r="K55" t="n">
        <v>1</v>
      </c>
      <c r="L55" t="n">
        <v>1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t="n">
        <v>0</v>
      </c>
      <c r="S55" t="n">
        <v>2</v>
      </c>
      <c r="T55" t="n">
        <v>2</v>
      </c>
      <c r="U55" t="n">
        <v>2</v>
      </c>
      <c r="V55" s="2" t="inlineStr">
        <is>
          <t>Rosenticka
Vedticka</t>
        </is>
      </c>
      <c r="W55">
        <f>HYPERLINK("https://klasma.github.io/Logging_2184/artfynd/A 52568-2025 artfynd.xlsx", "A 52568-2025")</f>
        <v/>
      </c>
      <c r="X55">
        <f>HYPERLINK("https://klasma.github.io/Logging_2184/kartor/A 52568-2025 karta.png", "A 52568-2025")</f>
        <v/>
      </c>
      <c r="Y55">
        <f>HYPERLINK("https://klasma.github.io/Logging_2184/kartor_geotiff/A 52568-2025 georefererad karta.tif", "A 52568-2025")</f>
        <v/>
      </c>
      <c r="AA55">
        <f>HYPERLINK("https://klasma.github.io/Logging_2184/klagomål/A 52568-2025 FSC-klagomål.docx", "A 52568-2025")</f>
        <v/>
      </c>
      <c r="AB55">
        <f>HYPERLINK("https://klasma.github.io/Logging_2184/klagomålsmail/A 52568-2025 FSC-klagomål mail.docx", "A 52568-2025")</f>
        <v/>
      </c>
      <c r="AC55">
        <f>HYPERLINK("https://klasma.github.io/Logging_2184/tillsyn/A 52568-2025 tillsynsbegäran.docx", "A 52568-2025")</f>
        <v/>
      </c>
      <c r="AD55">
        <f>HYPERLINK("https://klasma.github.io/Logging_2184/tillsynsmail/A 52568-2025 tillsynsbegäran mail.docx", "A 52568-2025")</f>
        <v/>
      </c>
    </row>
    <row r="56" ht="15" customHeight="1">
      <c r="A56" t="inlineStr">
        <is>
          <t>A 6241-2026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46055</v>
      </c>
      <c r="E56" s="1" t="n">
        <v>46272</v>
      </c>
      <c r="F56" t="inlineStr">
        <is>
          <t>GÄVLEBORGS LÄN</t>
        </is>
      </c>
      <c r="G56" t="inlineStr">
        <is>
          <t>HUDIKSVALL</t>
        </is>
      </c>
      <c r="I56" t="n">
        <v>3.3</v>
      </c>
      <c r="J56" t="n">
        <v>1</v>
      </c>
      <c r="K56" t="n">
        <v>0</v>
      </c>
      <c r="L56" t="n">
        <v>1</v>
      </c>
      <c r="M56" t="n">
        <v>1</v>
      </c>
      <c r="N56" t="n">
        <v>0</v>
      </c>
      <c r="O56" t="n">
        <v>0</v>
      </c>
      <c r="P56" t="n">
        <v>0</v>
      </c>
      <c r="Q56" t="n">
        <v>2</v>
      </c>
      <c r="R56" t="n">
        <v>1</v>
      </c>
      <c r="S56" t="n">
        <v>2</v>
      </c>
      <c r="T56" t="n">
        <v>2</v>
      </c>
      <c r="U56" t="n">
        <v>0</v>
      </c>
      <c r="V56" s="2" t="inlineStr">
        <is>
          <t>Knärot
Platt spretmossa</t>
        </is>
      </c>
      <c r="W56">
        <f>HYPERLINK("https://klasma.github.io/Logging_2184/artfynd/A 6241-2026 artfynd.xlsx", "A 6241-2026")</f>
        <v/>
      </c>
      <c r="X56">
        <f>HYPERLINK("https://klasma.github.io/Logging_2184/kartor/A 6241-2026 karta.png", "A 6241-2026")</f>
        <v/>
      </c>
      <c r="Y56">
        <f>HYPERLINK("https://klasma.github.io/Logging_2184/kartor_geotiff/A 6241-2026 georefererad karta.tif", "A 6241-2026")</f>
        <v/>
      </c>
      <c r="Z56">
        <f>HYPERLINK("https://klasma.github.io/Logging_2184/knärot/A 6241-2026 karta knärot.png", "A 6241-2026")</f>
        <v/>
      </c>
      <c r="AA56">
        <f>HYPERLINK("https://klasma.github.io/Logging_2184/klagomål/A 6241-2026 FSC-klagomål.docx", "A 6241-2026")</f>
        <v/>
      </c>
      <c r="AB56">
        <f>HYPERLINK("https://klasma.github.io/Logging_2184/klagomålsmail/A 6241-2026 FSC-klagomål mail.docx", "A 6241-2026")</f>
        <v/>
      </c>
      <c r="AC56">
        <f>HYPERLINK("https://klasma.github.io/Logging_2184/tillsyn/A 6241-2026 tillsynsbegäran.docx", "A 6241-2026")</f>
        <v/>
      </c>
      <c r="AD56">
        <f>HYPERLINK("https://klasma.github.io/Logging_2184/tillsynsmail/A 6241-2026 tillsynsbegäran mail.docx", "A 6241-2026")</f>
        <v/>
      </c>
    </row>
    <row r="57" ht="15" customHeight="1">
      <c r="A57" t="inlineStr">
        <is>
          <t>A 10368-2026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46076</v>
      </c>
      <c r="E57" s="1" t="n">
        <v>46272</v>
      </c>
      <c r="F57" t="inlineStr">
        <is>
          <t>GÄVLEBORGS LÄN</t>
        </is>
      </c>
      <c r="G57" t="inlineStr">
        <is>
          <t>HUDIKSVALL</t>
        </is>
      </c>
      <c r="H57" t="inlineStr">
        <is>
          <t>Holmen skog AB</t>
        </is>
      </c>
      <c r="I57" t="n">
        <v>14</v>
      </c>
      <c r="J57" t="n">
        <v>2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2</v>
      </c>
      <c r="T57" t="n">
        <v>2</v>
      </c>
      <c r="U57" t="n">
        <v>0</v>
      </c>
      <c r="V57" s="2" t="inlineStr">
        <is>
          <t>Spillkråka
Revlummer</t>
        </is>
      </c>
      <c r="W57">
        <f>HYPERLINK("https://klasma.github.io/Logging_2184/artfynd/A 10368-2026 artfynd.xlsx", "A 10368-2026")</f>
        <v/>
      </c>
      <c r="X57">
        <f>HYPERLINK("https://klasma.github.io/Logging_2184/kartor/A 10368-2026 karta.png", "A 10368-2026")</f>
        <v/>
      </c>
      <c r="Y57">
        <f>HYPERLINK("https://klasma.github.io/Logging_2184/kartor_geotiff/A 10368-2026 georefererad karta.tif", "A 10368-2026")</f>
        <v/>
      </c>
      <c r="AA57">
        <f>HYPERLINK("https://klasma.github.io/Logging_2184/klagomål/A 10368-2026 FSC-klagomål.docx", "A 10368-2026")</f>
        <v/>
      </c>
      <c r="AB57">
        <f>HYPERLINK("https://klasma.github.io/Logging_2184/klagomålsmail/A 10368-2026 FSC-klagomål mail.docx", "A 10368-2026")</f>
        <v/>
      </c>
      <c r="AC57">
        <f>HYPERLINK("https://klasma.github.io/Logging_2184/tillsyn/A 10368-2026 tillsynsbegäran.docx", "A 10368-2026")</f>
        <v/>
      </c>
      <c r="AD57">
        <f>HYPERLINK("https://klasma.github.io/Logging_2184/tillsynsmail/A 10368-2026 tillsynsbegäran mail.docx", "A 10368-2026")</f>
        <v/>
      </c>
      <c r="AE57">
        <f>HYPERLINK("https://klasma.github.io/Logging_2184/fåglar/A 10368-2026 prioriterade fågelarter.docx", "A 10368-2026")</f>
        <v/>
      </c>
    </row>
    <row r="58" ht="15" customHeight="1">
      <c r="A58" t="inlineStr">
        <is>
          <t>A 14353-2026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46100</v>
      </c>
      <c r="E58" s="1" t="n">
        <v>46272</v>
      </c>
      <c r="F58" t="inlineStr">
        <is>
          <t>GÄVLEBORGS LÄN</t>
        </is>
      </c>
      <c r="G58" t="inlineStr">
        <is>
          <t>HUDIKSVALL</t>
        </is>
      </c>
      <c r="I58" t="n">
        <v>1</v>
      </c>
      <c r="J58" t="n">
        <v>0</v>
      </c>
      <c r="K58" t="n">
        <v>1</v>
      </c>
      <c r="L58" t="n">
        <v>1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t="n">
        <v>0</v>
      </c>
      <c r="S58" t="n">
        <v>2</v>
      </c>
      <c r="T58" t="n">
        <v>2</v>
      </c>
      <c r="U58" t="n">
        <v>0</v>
      </c>
      <c r="V58" s="2" t="inlineStr">
        <is>
          <t>Blanksvart spiklav
Vedticka</t>
        </is>
      </c>
      <c r="W58">
        <f>HYPERLINK("https://klasma.github.io/Logging_2184/artfynd/A 14353-2026 artfynd.xlsx", "A 14353-2026")</f>
        <v/>
      </c>
      <c r="X58">
        <f>HYPERLINK("https://klasma.github.io/Logging_2184/kartor/A 14353-2026 karta.png", "A 14353-2026")</f>
        <v/>
      </c>
      <c r="Y58">
        <f>HYPERLINK("https://klasma.github.io/Logging_2184/kartor_geotiff/A 14353-2026 georefererad karta.tif", "A 14353-2026")</f>
        <v/>
      </c>
      <c r="AA58">
        <f>HYPERLINK("https://klasma.github.io/Logging_2184/klagomål/A 14353-2026 FSC-klagomål.docx", "A 14353-2026")</f>
        <v/>
      </c>
      <c r="AB58">
        <f>HYPERLINK("https://klasma.github.io/Logging_2184/klagomålsmail/A 14353-2026 FSC-klagomål mail.docx", "A 14353-2026")</f>
        <v/>
      </c>
      <c r="AC58">
        <f>HYPERLINK("https://klasma.github.io/Logging_2184/tillsyn/A 14353-2026 tillsynsbegäran.docx", "A 14353-2026")</f>
        <v/>
      </c>
      <c r="AD58">
        <f>HYPERLINK("https://klasma.github.io/Logging_2184/tillsynsmail/A 14353-2026 tillsynsbegäran mail.docx", "A 14353-2026")</f>
        <v/>
      </c>
    </row>
    <row r="59" ht="15" customHeight="1">
      <c r="A59" t="inlineStr">
        <is>
          <t>A 17222-2026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46119</v>
      </c>
      <c r="E59" s="1" t="n">
        <v>46272</v>
      </c>
      <c r="F59" t="inlineStr">
        <is>
          <t>GÄVLEBORGS LÄN</t>
        </is>
      </c>
      <c r="G59" t="inlineStr">
        <is>
          <t>HUDIKSVALL</t>
        </is>
      </c>
      <c r="I59" t="n">
        <v>33.9</v>
      </c>
      <c r="J59" t="n">
        <v>2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2</v>
      </c>
      <c r="T59" t="n">
        <v>2</v>
      </c>
      <c r="U59" t="n">
        <v>0</v>
      </c>
      <c r="V59" s="2" t="inlineStr">
        <is>
          <t>Blåsippa
Revlummer</t>
        </is>
      </c>
      <c r="W59">
        <f>HYPERLINK("https://klasma.github.io/Logging_2184/artfynd/A 17222-2026 artfynd.xlsx", "A 17222-2026")</f>
        <v/>
      </c>
      <c r="X59">
        <f>HYPERLINK("https://klasma.github.io/Logging_2184/kartor/A 17222-2026 karta.png", "A 17222-2026")</f>
        <v/>
      </c>
      <c r="Y59">
        <f>HYPERLINK("https://klasma.github.io/Logging_2184/kartor_geotiff/A 17222-2026 georefererad karta.tif", "A 17222-2026")</f>
        <v/>
      </c>
      <c r="AA59">
        <f>HYPERLINK("https://klasma.github.io/Logging_2184/klagomål/A 17222-2026 FSC-klagomål.docx", "A 17222-2026")</f>
        <v/>
      </c>
      <c r="AB59">
        <f>HYPERLINK("https://klasma.github.io/Logging_2184/klagomålsmail/A 17222-2026 FSC-klagomål mail.docx", "A 17222-2026")</f>
        <v/>
      </c>
      <c r="AC59">
        <f>HYPERLINK("https://klasma.github.io/Logging_2184/tillsyn/A 17222-2026 tillsynsbegäran.docx", "A 17222-2026")</f>
        <v/>
      </c>
      <c r="AD59">
        <f>HYPERLINK("https://klasma.github.io/Logging_2184/tillsynsmail/A 17222-2026 tillsynsbegäran mail.docx", "A 17222-2026")</f>
        <v/>
      </c>
    </row>
    <row r="60" ht="15" customHeight="1">
      <c r="A60" t="inlineStr">
        <is>
          <t>A 13332-2026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46094</v>
      </c>
      <c r="E60" s="1" t="n">
        <v>46272</v>
      </c>
      <c r="F60" t="inlineStr">
        <is>
          <t>GÄVLEBORGS LÄN</t>
        </is>
      </c>
      <c r="G60" t="inlineStr">
        <is>
          <t>HUDIKSVALL</t>
        </is>
      </c>
      <c r="H60" t="inlineStr">
        <is>
          <t>Holmen skog AB</t>
        </is>
      </c>
      <c r="I60" t="n">
        <v>1</v>
      </c>
      <c r="J60" t="n">
        <v>0</v>
      </c>
      <c r="K60" t="n">
        <v>2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2</v>
      </c>
      <c r="T60" t="n">
        <v>2</v>
      </c>
      <c r="U60" t="n">
        <v>0</v>
      </c>
      <c r="V60" s="2" t="inlineStr">
        <is>
          <t>Bågpraktmossa
Vanlig rörsvepemossa</t>
        </is>
      </c>
      <c r="W60">
        <f>HYPERLINK("https://klasma.github.io/Logging_2184/artfynd/A 13332-2026 artfynd.xlsx", "A 13332-2026")</f>
        <v/>
      </c>
      <c r="X60">
        <f>HYPERLINK("https://klasma.github.io/Logging_2184/kartor/A 13332-2026 karta.png", "A 13332-2026")</f>
        <v/>
      </c>
      <c r="Y60">
        <f>HYPERLINK("https://klasma.github.io/Logging_2184/kartor_geotiff/A 13332-2026 georefererad karta.tif", "A 13332-2026")</f>
        <v/>
      </c>
      <c r="AA60">
        <f>HYPERLINK("https://klasma.github.io/Logging_2184/klagomål/A 13332-2026 FSC-klagomål.docx", "A 13332-2026")</f>
        <v/>
      </c>
      <c r="AB60">
        <f>HYPERLINK("https://klasma.github.io/Logging_2184/klagomålsmail/A 13332-2026 FSC-klagomål mail.docx", "A 13332-2026")</f>
        <v/>
      </c>
      <c r="AC60">
        <f>HYPERLINK("https://klasma.github.io/Logging_2184/tillsyn/A 13332-2026 tillsynsbegäran.docx", "A 13332-2026")</f>
        <v/>
      </c>
      <c r="AD60">
        <f>HYPERLINK("https://klasma.github.io/Logging_2184/tillsynsmail/A 13332-2026 tillsynsbegäran mail.docx", "A 13332-2026")</f>
        <v/>
      </c>
    </row>
    <row r="61" ht="15" customHeight="1">
      <c r="A61" t="inlineStr">
        <is>
          <t>A 20884-2026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46142</v>
      </c>
      <c r="E61" s="1" t="n">
        <v>46272</v>
      </c>
      <c r="F61" t="inlineStr">
        <is>
          <t>GÄVLEBORGS LÄN</t>
        </is>
      </c>
      <c r="G61" t="inlineStr">
        <is>
          <t>HUDIKSVALL</t>
        </is>
      </c>
      <c r="H61" t="inlineStr">
        <is>
          <t>Holmen skog AB</t>
        </is>
      </c>
      <c r="I61" t="n">
        <v>0.7</v>
      </c>
      <c r="J61" t="n">
        <v>1</v>
      </c>
      <c r="K61" t="n">
        <v>0</v>
      </c>
      <c r="L61" t="n">
        <v>1</v>
      </c>
      <c r="M61" t="n">
        <v>1</v>
      </c>
      <c r="N61" t="n">
        <v>0</v>
      </c>
      <c r="O61" t="n">
        <v>0</v>
      </c>
      <c r="P61" t="n">
        <v>0</v>
      </c>
      <c r="Q61" t="n">
        <v>2</v>
      </c>
      <c r="R61" t="n">
        <v>1</v>
      </c>
      <c r="S61" t="n">
        <v>2</v>
      </c>
      <c r="T61" t="n">
        <v>4</v>
      </c>
      <c r="U61" t="n">
        <v>0</v>
      </c>
      <c r="V61" s="2" t="inlineStr">
        <is>
          <t>Knärot
Ullticka</t>
        </is>
      </c>
      <c r="W61">
        <f>HYPERLINK("https://klasma.github.io/Logging_2184/artfynd/A 20884-2026 artfynd.xlsx", "A 20884-2026")</f>
        <v/>
      </c>
      <c r="X61">
        <f>HYPERLINK("https://klasma.github.io/Logging_2184/kartor/A 20884-2026 karta.png", "A 20884-2026")</f>
        <v/>
      </c>
      <c r="Y61">
        <f>HYPERLINK("https://klasma.github.io/Logging_2184/kartor_geotiff/A 20884-2026 georefererad karta.tif", "A 20884-2026")</f>
        <v/>
      </c>
      <c r="Z61">
        <f>HYPERLINK("https://klasma.github.io/Logging_2184/knärot/A 20884-2026 karta knärot.png", "A 20884-2026")</f>
        <v/>
      </c>
      <c r="AA61">
        <f>HYPERLINK("https://klasma.github.io/Logging_2184/klagomål/A 20884-2026 FSC-klagomål.docx", "A 20884-2026")</f>
        <v/>
      </c>
      <c r="AB61">
        <f>HYPERLINK("https://klasma.github.io/Logging_2184/klagomålsmail/A 20884-2026 FSC-klagomål mail.docx", "A 20884-2026")</f>
        <v/>
      </c>
      <c r="AC61">
        <f>HYPERLINK("https://klasma.github.io/Logging_2184/tillsyn/A 20884-2026 tillsynsbegäran.docx", "A 20884-2026")</f>
        <v/>
      </c>
      <c r="AD61">
        <f>HYPERLINK("https://klasma.github.io/Logging_2184/tillsynsmail/A 20884-2026 tillsynsbegäran mail.docx", "A 20884-2026")</f>
        <v/>
      </c>
    </row>
    <row r="62" ht="15" customHeight="1">
      <c r="A62" t="inlineStr">
        <is>
          <t>A 60594-2024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45644</v>
      </c>
      <c r="E62" s="1" t="n">
        <v>46272</v>
      </c>
      <c r="F62" t="inlineStr">
        <is>
          <t>GÄVLEBORGS LÄN</t>
        </is>
      </c>
      <c r="G62" t="inlineStr">
        <is>
          <t>HUDIKSVALL</t>
        </is>
      </c>
      <c r="I62" t="n">
        <v>3.7</v>
      </c>
      <c r="J62" t="n">
        <v>1</v>
      </c>
      <c r="K62" t="n">
        <v>0</v>
      </c>
      <c r="L62" t="n">
        <v>0</v>
      </c>
      <c r="M62" t="n">
        <v>0</v>
      </c>
      <c r="N62" t="n">
        <v>1</v>
      </c>
      <c r="O62" t="n">
        <v>0</v>
      </c>
      <c r="P62" t="n">
        <v>0</v>
      </c>
      <c r="Q62" t="n">
        <v>1</v>
      </c>
      <c r="R62" t="n">
        <v>1</v>
      </c>
      <c r="S62" t="n">
        <v>2</v>
      </c>
      <c r="T62" t="n">
        <v>4</v>
      </c>
      <c r="U62" t="n">
        <v>4</v>
      </c>
      <c r="V62" s="2" t="inlineStr">
        <is>
          <t>Flodpärlmussla
Vanlig padda</t>
        </is>
      </c>
      <c r="W62">
        <f>HYPERLINK("https://klasma.github.io/Logging_2184/artfynd/A 60594-2024 artfynd.xlsx", "A 60594-2024")</f>
        <v/>
      </c>
      <c r="X62">
        <f>HYPERLINK("https://klasma.github.io/Logging_2184/kartor/A 60594-2024 karta.png", "A 60594-2024")</f>
        <v/>
      </c>
      <c r="Y62">
        <f>HYPERLINK("https://klasma.github.io/Logging_2184/kartor_geotiff/A 60594-2024 georefererad karta.tif", "A 60594-2024")</f>
        <v/>
      </c>
      <c r="AA62">
        <f>HYPERLINK("https://klasma.github.io/Logging_2184/klagomål/A 60594-2024 FSC-klagomål.docx", "A 60594-2024")</f>
        <v/>
      </c>
      <c r="AB62">
        <f>HYPERLINK("https://klasma.github.io/Logging_2184/klagomålsmail/A 60594-2024 FSC-klagomål mail.docx", "A 60594-2024")</f>
        <v/>
      </c>
      <c r="AC62">
        <f>HYPERLINK("https://klasma.github.io/Logging_2184/tillsyn/A 60594-2024 tillsynsbegäran.docx", "A 60594-2024")</f>
        <v/>
      </c>
      <c r="AD62">
        <f>HYPERLINK("https://klasma.github.io/Logging_2184/tillsynsmail/A 60594-2024 tillsynsbegäran mail.docx", "A 60594-2024")</f>
        <v/>
      </c>
    </row>
    <row r="63" ht="15" customHeight="1">
      <c r="A63" t="inlineStr">
        <is>
          <t>A 25478-2026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46177</v>
      </c>
      <c r="E63" s="1" t="n">
        <v>46272</v>
      </c>
      <c r="F63" t="inlineStr">
        <is>
          <t>GÄVLEBORGS LÄN</t>
        </is>
      </c>
      <c r="G63" t="inlineStr">
        <is>
          <t>HUDIKSVALL</t>
        </is>
      </c>
      <c r="H63" t="inlineStr">
        <is>
          <t>Holmen skog AB</t>
        </is>
      </c>
      <c r="I63" t="n">
        <v>9.1</v>
      </c>
      <c r="J63" t="n">
        <v>0</v>
      </c>
      <c r="K63" t="n">
        <v>2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2</v>
      </c>
      <c r="T63" t="n">
        <v>2</v>
      </c>
      <c r="U63" t="n">
        <v>0</v>
      </c>
      <c r="V63" s="2" t="inlineStr">
        <is>
          <t>Kambräken
Västlig hakmossa</t>
        </is>
      </c>
      <c r="W63">
        <f>HYPERLINK("https://klasma.github.io/Logging_2184/artfynd/A 25478-2026 artfynd.xlsx", "A 25478-2026")</f>
        <v/>
      </c>
      <c r="X63">
        <f>HYPERLINK("https://klasma.github.io/Logging_2184/kartor/A 25478-2026 karta.png", "A 25478-2026")</f>
        <v/>
      </c>
      <c r="Y63">
        <f>HYPERLINK("https://klasma.github.io/Logging_2184/kartor_geotiff/A 25478-2026 georefererad karta.tif", "A 25478-2026")</f>
        <v/>
      </c>
      <c r="AA63">
        <f>HYPERLINK("https://klasma.github.io/Logging_2184/klagomål/A 25478-2026 FSC-klagomål.docx", "A 25478-2026")</f>
        <v/>
      </c>
      <c r="AB63">
        <f>HYPERLINK("https://klasma.github.io/Logging_2184/klagomålsmail/A 25478-2026 FSC-klagomål mail.docx", "A 25478-2026")</f>
        <v/>
      </c>
      <c r="AC63">
        <f>HYPERLINK("https://klasma.github.io/Logging_2184/tillsyn/A 25478-2026 tillsynsbegäran.docx", "A 25478-2026")</f>
        <v/>
      </c>
      <c r="AD63">
        <f>HYPERLINK("https://klasma.github.io/Logging_2184/tillsynsmail/A 25478-2026 tillsynsbegäran mail.docx", "A 25478-2026")</f>
        <v/>
      </c>
    </row>
    <row r="64" ht="15" customHeight="1">
      <c r="A64" t="inlineStr">
        <is>
          <t>A 9598-2026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46071</v>
      </c>
      <c r="E64" s="1" t="n">
        <v>46272</v>
      </c>
      <c r="F64" t="inlineStr">
        <is>
          <t>GÄVLEBORGS LÄN</t>
        </is>
      </c>
      <c r="G64" t="inlineStr">
        <is>
          <t>HUDIKSVALL</t>
        </is>
      </c>
      <c r="I64" t="n">
        <v>2</v>
      </c>
      <c r="J64" t="n">
        <v>0</v>
      </c>
      <c r="K64" t="n">
        <v>2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2</v>
      </c>
      <c r="T64" t="n">
        <v>2</v>
      </c>
      <c r="U64" t="n">
        <v>0</v>
      </c>
      <c r="V64" s="2" t="inlineStr">
        <is>
          <t>Strutbräken
Tibast</t>
        </is>
      </c>
      <c r="W64">
        <f>HYPERLINK("https://klasma.github.io/Logging_2184/artfynd/A 9598-2026 artfynd.xlsx", "A 9598-2026")</f>
        <v/>
      </c>
      <c r="X64">
        <f>HYPERLINK("https://klasma.github.io/Logging_2184/kartor/A 9598-2026 karta.png", "A 9598-2026")</f>
        <v/>
      </c>
      <c r="Y64">
        <f>HYPERLINK("https://klasma.github.io/Logging_2184/kartor_geotiff/A 9598-2026 georefererad karta.tif", "A 9598-2026")</f>
        <v/>
      </c>
      <c r="AA64">
        <f>HYPERLINK("https://klasma.github.io/Logging_2184/klagomål/A 9598-2026 FSC-klagomål.docx", "A 9598-2026")</f>
        <v/>
      </c>
      <c r="AB64">
        <f>HYPERLINK("https://klasma.github.io/Logging_2184/klagomålsmail/A 9598-2026 FSC-klagomål mail.docx", "A 9598-2026")</f>
        <v/>
      </c>
      <c r="AC64">
        <f>HYPERLINK("https://klasma.github.io/Logging_2184/tillsyn/A 9598-2026 tillsynsbegäran.docx", "A 9598-2026")</f>
        <v/>
      </c>
      <c r="AD64">
        <f>HYPERLINK("https://klasma.github.io/Logging_2184/tillsynsmail/A 9598-2026 tillsynsbegäran mail.docx", "A 9598-2026")</f>
        <v/>
      </c>
    </row>
    <row r="65" ht="15" customHeight="1">
      <c r="A65" t="inlineStr">
        <is>
          <t>A 32046-2026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46233</v>
      </c>
      <c r="E65" s="1" t="n">
        <v>46272</v>
      </c>
      <c r="F65" t="inlineStr">
        <is>
          <t>GÄVLEBORGS LÄN</t>
        </is>
      </c>
      <c r="G65" t="inlineStr">
        <is>
          <t>HUDIKSVALL</t>
        </is>
      </c>
      <c r="I65" t="n">
        <v>1.7</v>
      </c>
      <c r="J65" t="n">
        <v>0</v>
      </c>
      <c r="K65" t="n">
        <v>0</v>
      </c>
      <c r="L65" t="n">
        <v>2</v>
      </c>
      <c r="M65" t="n">
        <v>0</v>
      </c>
      <c r="N65" t="n">
        <v>0</v>
      </c>
      <c r="O65" t="n">
        <v>0</v>
      </c>
      <c r="P65" t="n">
        <v>0</v>
      </c>
      <c r="Q65" t="n">
        <v>2</v>
      </c>
      <c r="R65" t="n">
        <v>0</v>
      </c>
      <c r="S65" t="n">
        <v>2</v>
      </c>
      <c r="T65" t="n">
        <v>2</v>
      </c>
      <c r="U65" t="n">
        <v>1</v>
      </c>
      <c r="V65" s="2" t="inlineStr">
        <is>
          <t>Dropptaggsvamp
Ullticka</t>
        </is>
      </c>
      <c r="W65">
        <f>HYPERLINK("https://klasma.github.io/Logging_2184/artfynd/A 32046-2026 artfynd.xlsx", "A 32046-2026")</f>
        <v/>
      </c>
      <c r="X65">
        <f>HYPERLINK("https://klasma.github.io/Logging_2184/kartor/A 32046-2026 karta.png", "A 32046-2026")</f>
        <v/>
      </c>
      <c r="Y65">
        <f>HYPERLINK("https://klasma.github.io/Logging_2184/kartor_geotiff/A 32046-2026 georefererad karta.tif", "A 32046-2026")</f>
        <v/>
      </c>
      <c r="AA65">
        <f>HYPERLINK("https://klasma.github.io/Logging_2184/klagomål/A 32046-2026 FSC-klagomål.docx", "A 32046-2026")</f>
        <v/>
      </c>
      <c r="AB65">
        <f>HYPERLINK("https://klasma.github.io/Logging_2184/klagomålsmail/A 32046-2026 FSC-klagomål mail.docx", "A 32046-2026")</f>
        <v/>
      </c>
      <c r="AC65">
        <f>HYPERLINK("https://klasma.github.io/Logging_2184/tillsyn/A 32046-2026 tillsynsbegäran.docx", "A 32046-2026")</f>
        <v/>
      </c>
      <c r="AD65">
        <f>HYPERLINK("https://klasma.github.io/Logging_2184/tillsynsmail/A 32046-2026 tillsynsbegäran mail.docx", "A 32046-2026")</f>
        <v/>
      </c>
    </row>
    <row r="66" ht="15" customHeight="1">
      <c r="A66" t="inlineStr">
        <is>
          <t>A 28066-2026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46195</v>
      </c>
      <c r="E66" s="1" t="n">
        <v>46272</v>
      </c>
      <c r="F66" t="inlineStr">
        <is>
          <t>GÄVLEBORGS LÄN</t>
        </is>
      </c>
      <c r="G66" t="inlineStr">
        <is>
          <t>HUDIKSVALL</t>
        </is>
      </c>
      <c r="H66" t="inlineStr">
        <is>
          <t>Kommuner</t>
        </is>
      </c>
      <c r="I66" t="n">
        <v>4.4</v>
      </c>
      <c r="J66" t="n">
        <v>2</v>
      </c>
      <c r="K66" t="n">
        <v>0</v>
      </c>
      <c r="L66" t="n">
        <v>1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t="n">
        <v>0</v>
      </c>
      <c r="S66" t="n">
        <v>2</v>
      </c>
      <c r="T66" t="n">
        <v>3</v>
      </c>
      <c r="U66" t="n">
        <v>0</v>
      </c>
      <c r="V66" s="2" t="inlineStr">
        <is>
          <t>Gulsparv
Grönsiska</t>
        </is>
      </c>
      <c r="W66">
        <f>HYPERLINK("https://klasma.github.io/Logging_2184/artfynd/A 28066-2026 artfynd.xlsx", "A 28066-2026")</f>
        <v/>
      </c>
      <c r="X66">
        <f>HYPERLINK("https://klasma.github.io/Logging_2184/kartor/A 28066-2026 karta.png", "A 28066-2026")</f>
        <v/>
      </c>
      <c r="Y66">
        <f>HYPERLINK("https://klasma.github.io/Logging_2184/kartor_geotiff/A 28066-2026 georefererad karta.tif", "A 28066-2026")</f>
        <v/>
      </c>
      <c r="AA66">
        <f>HYPERLINK("https://klasma.github.io/Logging_2184/klagomål/A 28066-2026 FSC-klagomål.docx", "A 28066-2026")</f>
        <v/>
      </c>
      <c r="AB66">
        <f>HYPERLINK("https://klasma.github.io/Logging_2184/klagomålsmail/A 28066-2026 FSC-klagomål mail.docx", "A 28066-2026")</f>
        <v/>
      </c>
      <c r="AC66">
        <f>HYPERLINK("https://klasma.github.io/Logging_2184/tillsyn/A 28066-2026 tillsynsbegäran.docx", "A 28066-2026")</f>
        <v/>
      </c>
      <c r="AD66">
        <f>HYPERLINK("https://klasma.github.io/Logging_2184/tillsynsmail/A 28066-2026 tillsynsbegäran mail.docx", "A 28066-2026")</f>
        <v/>
      </c>
      <c r="AE66">
        <f>HYPERLINK("https://klasma.github.io/Logging_2184/fåglar/A 28066-2026 prioriterade fågelarter.docx", "A 28066-2026")</f>
        <v/>
      </c>
    </row>
    <row r="67" ht="15" customHeight="1">
      <c r="A67" t="inlineStr">
        <is>
          <t>A 30484-2026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46210</v>
      </c>
      <c r="E67" s="1" t="n">
        <v>46272</v>
      </c>
      <c r="F67" t="inlineStr">
        <is>
          <t>GÄVLEBORGS LÄN</t>
        </is>
      </c>
      <c r="G67" t="inlineStr">
        <is>
          <t>HUDIKSVALL</t>
        </is>
      </c>
      <c r="H67" t="inlineStr">
        <is>
          <t>Holmen skog AB</t>
        </is>
      </c>
      <c r="I67" t="n">
        <v>8.699999999999999</v>
      </c>
      <c r="J67" t="n">
        <v>0</v>
      </c>
      <c r="K67" t="n">
        <v>1</v>
      </c>
      <c r="L67" t="n">
        <v>1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t="n">
        <v>0</v>
      </c>
      <c r="S67" t="n">
        <v>2</v>
      </c>
      <c r="T67" t="n">
        <v>2</v>
      </c>
      <c r="U67" t="n">
        <v>0</v>
      </c>
      <c r="V67" s="2" t="inlineStr">
        <is>
          <t>Ullticka
Vedticka</t>
        </is>
      </c>
      <c r="W67">
        <f>HYPERLINK("https://klasma.github.io/Logging_2184/artfynd/A 30484-2026 artfynd.xlsx", "A 30484-2026")</f>
        <v/>
      </c>
      <c r="X67">
        <f>HYPERLINK("https://klasma.github.io/Logging_2184/kartor/A 30484-2026 karta.png", "A 30484-2026")</f>
        <v/>
      </c>
      <c r="Y67">
        <f>HYPERLINK("https://klasma.github.io/Logging_2184/kartor_geotiff/A 30484-2026 georefererad karta.tif", "A 30484-2026")</f>
        <v/>
      </c>
      <c r="Z67">
        <f>HYPERLINK("https://klasma.github.io/Logging_2184/knärot/A 30484-2026 karta knärot.png", "A 30484-2026")</f>
        <v/>
      </c>
      <c r="AA67">
        <f>HYPERLINK("https://klasma.github.io/Logging_2184/klagomål/A 30484-2026 FSC-klagomål.docx", "A 30484-2026")</f>
        <v/>
      </c>
      <c r="AB67">
        <f>HYPERLINK("https://klasma.github.io/Logging_2184/klagomålsmail/A 30484-2026 FSC-klagomål mail.docx", "A 30484-2026")</f>
        <v/>
      </c>
      <c r="AC67">
        <f>HYPERLINK("https://klasma.github.io/Logging_2184/tillsyn/A 30484-2026 tillsynsbegäran.docx", "A 30484-2026")</f>
        <v/>
      </c>
      <c r="AD67">
        <f>HYPERLINK("https://klasma.github.io/Logging_2184/tillsynsmail/A 30484-2026 tillsynsbegäran mail.docx", "A 30484-2026")</f>
        <v/>
      </c>
    </row>
    <row r="68" ht="15" customHeight="1">
      <c r="A68" t="inlineStr">
        <is>
          <t>A 50822-2023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45217</v>
      </c>
      <c r="E68" s="1" t="n">
        <v>46272</v>
      </c>
      <c r="F68" t="inlineStr">
        <is>
          <t>GÄVLEBORGS LÄN</t>
        </is>
      </c>
      <c r="G68" t="inlineStr">
        <is>
          <t>HUDIKSVALL</t>
        </is>
      </c>
      <c r="I68" t="n">
        <v>1.2</v>
      </c>
      <c r="J68" t="n">
        <v>2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2</v>
      </c>
      <c r="T68" t="n">
        <v>2</v>
      </c>
      <c r="U68" t="n">
        <v>1</v>
      </c>
      <c r="V68" s="2" t="inlineStr">
        <is>
          <t>Järpe
Grönsiska</t>
        </is>
      </c>
      <c r="W68">
        <f>HYPERLINK("https://klasma.github.io/Logging_2184/artfynd/A 50822-2023 artfynd.xlsx", "A 50822-2023")</f>
        <v/>
      </c>
      <c r="X68">
        <f>HYPERLINK("https://klasma.github.io/Logging_2184/kartor/A 50822-2023 karta.png", "A 50822-2023")</f>
        <v/>
      </c>
      <c r="Y68">
        <f>HYPERLINK("https://klasma.github.io/Logging_2184/kartor_geotiff/A 50822-2023 georefererad karta.tif", "A 50822-2023")</f>
        <v/>
      </c>
      <c r="AA68">
        <f>HYPERLINK("https://klasma.github.io/Logging_2184/klagomål/A 50822-2023 FSC-klagomål.docx", "A 50822-2023")</f>
        <v/>
      </c>
      <c r="AB68">
        <f>HYPERLINK("https://klasma.github.io/Logging_2184/klagomålsmail/A 50822-2023 FSC-klagomål mail.docx", "A 50822-2023")</f>
        <v/>
      </c>
      <c r="AC68">
        <f>HYPERLINK("https://klasma.github.io/Logging_2184/tillsyn/A 50822-2023 tillsynsbegäran.docx", "A 50822-2023")</f>
        <v/>
      </c>
      <c r="AD68">
        <f>HYPERLINK("https://klasma.github.io/Logging_2184/tillsynsmail/A 50822-2023 tillsynsbegäran mail.docx", "A 50822-2023")</f>
        <v/>
      </c>
      <c r="AE68">
        <f>HYPERLINK("https://klasma.github.io/Logging_2184/fåglar/A 50822-2023 prioriterade fågelarter.docx", "A 50822-2023")</f>
        <v/>
      </c>
    </row>
    <row r="69" ht="15" customHeight="1">
      <c r="A69" t="inlineStr">
        <is>
          <t>S 4018-2023</t>
        </is>
      </c>
      <c r="B69" t="inlineStr">
        <is>
          <t>samrådsanmälan</t>
        </is>
      </c>
      <c r="C69" t="inlineStr">
        <is>
          <t>Skogsgödsling</t>
        </is>
      </c>
      <c r="D69" s="1" t="n">
        <v>45237</v>
      </c>
      <c r="E69" s="1" t="n">
        <v>46272</v>
      </c>
      <c r="F69" t="inlineStr">
        <is>
          <t>GÄVLEBORGS LÄN</t>
        </is>
      </c>
      <c r="G69" t="inlineStr">
        <is>
          <t>HUDIKSVALL</t>
        </is>
      </c>
      <c r="H69" t="inlineStr">
        <is>
          <t>Holmen skog AB</t>
        </is>
      </c>
      <c r="I69" t="n">
        <v>74.59999999999999</v>
      </c>
      <c r="J69" t="n">
        <v>2</v>
      </c>
      <c r="K69" t="n">
        <v>1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2</v>
      </c>
      <c r="T69" t="n">
        <v>2</v>
      </c>
      <c r="U69" t="n">
        <v>2</v>
      </c>
      <c r="V69" s="2" t="inlineStr">
        <is>
          <t>Korallrot
Gullviva</t>
        </is>
      </c>
      <c r="W69">
        <f>HYPERLINK("https://klasma.github.io/Logging_2184/artfynd/S 4018-2023 artfynd.xlsx", "S 4018-2023")</f>
        <v/>
      </c>
      <c r="X69">
        <f>HYPERLINK("https://klasma.github.io/Logging_2184/kartor/S 4018-2023 karta.png", "S 4018-2023")</f>
        <v/>
      </c>
      <c r="Y69">
        <f>HYPERLINK("https://klasma.github.io/Logging_2184/kartor_geotiff/S 4018-2023 georefererad karta.tif", "S 4018-2023")</f>
        <v/>
      </c>
      <c r="AA69">
        <f>HYPERLINK("https://klasma.github.io/Logging_2184/klagomål/S 4018-2023 FSC-klagomål.docx", "S 4018-2023")</f>
        <v/>
      </c>
      <c r="AB69">
        <f>HYPERLINK("https://klasma.github.io/Logging_2184/klagomålsmail/S 4018-2023 FSC-klagomål mail.docx", "S 4018-2023")</f>
        <v/>
      </c>
      <c r="AC69">
        <f>HYPERLINK("https://klasma.github.io/Logging_2184/tillsyn/S 4018-2023 tillsynsbegäran.docx", "S 4018-2023")</f>
        <v/>
      </c>
      <c r="AD69">
        <f>HYPERLINK("https://klasma.github.io/Logging_2184/tillsynsmail/S 4018-2023 tillsynsbegäran mail.docx", "S 4018-2023")</f>
        <v/>
      </c>
    </row>
    <row r="70" ht="15" customHeight="1">
      <c r="A70" t="inlineStr">
        <is>
          <t>S 113-2025</t>
        </is>
      </c>
      <c r="B70" t="inlineStr">
        <is>
          <t>samrådsanmälan</t>
        </is>
      </c>
      <c r="C70" t="inlineStr">
        <is>
          <t>Skogsgödsling</t>
        </is>
      </c>
      <c r="D70" s="1" t="n">
        <v>45670</v>
      </c>
      <c r="E70" s="1" t="n">
        <v>46272</v>
      </c>
      <c r="F70" t="inlineStr">
        <is>
          <t>GÄVLEBORGS LÄN</t>
        </is>
      </c>
      <c r="G70" t="inlineStr">
        <is>
          <t>HUDIKSVALL</t>
        </is>
      </c>
      <c r="I70" t="n">
        <v>39.1</v>
      </c>
      <c r="J70" t="n">
        <v>0</v>
      </c>
      <c r="K70" t="n">
        <v>0</v>
      </c>
      <c r="L70" t="n">
        <v>1</v>
      </c>
      <c r="M70" t="n">
        <v>1</v>
      </c>
      <c r="N70" t="n">
        <v>0</v>
      </c>
      <c r="O70" t="n">
        <v>0</v>
      </c>
      <c r="P70" t="n">
        <v>0</v>
      </c>
      <c r="Q70" t="n">
        <v>2</v>
      </c>
      <c r="R70" t="n">
        <v>1</v>
      </c>
      <c r="S70" t="n">
        <v>2</v>
      </c>
      <c r="T70" t="n">
        <v>2</v>
      </c>
      <c r="U70" t="n">
        <v>0</v>
      </c>
      <c r="V70" s="2" t="inlineStr">
        <is>
          <t>Garnlav
Orange taggsvamp</t>
        </is>
      </c>
      <c r="W70">
        <f>HYPERLINK("https://klasma.github.io/Logging_2184/artfynd/S 113-2025 artfynd.xlsx", "S 113-2025")</f>
        <v/>
      </c>
      <c r="X70">
        <f>HYPERLINK("https://klasma.github.io/Logging_2184/kartor/S 113-2025 karta.png", "S 113-2025")</f>
        <v/>
      </c>
      <c r="Y70">
        <f>HYPERLINK("https://klasma.github.io/Logging_2184/kartor_geotiff/S 113-2025 georefererad karta.tif", "S 113-2025")</f>
        <v/>
      </c>
      <c r="AA70">
        <f>HYPERLINK("https://klasma.github.io/Logging_2184/klagomål/S 113-2025 FSC-klagomål.docx", "S 113-2025")</f>
        <v/>
      </c>
      <c r="AB70">
        <f>HYPERLINK("https://klasma.github.io/Logging_2184/klagomålsmail/S 113-2025 FSC-klagomål mail.docx", "S 113-2025")</f>
        <v/>
      </c>
      <c r="AC70">
        <f>HYPERLINK("https://klasma.github.io/Logging_2184/tillsyn/S 113-2025 tillsynsbegäran.docx", "S 113-2025")</f>
        <v/>
      </c>
      <c r="AD70">
        <f>HYPERLINK("https://klasma.github.io/Logging_2184/tillsynsmail/S 113-2025 tillsynsbegäran mail.docx", "S 113-2025")</f>
        <v/>
      </c>
    </row>
    <row r="71" ht="15" customHeight="1">
      <c r="A71" t="inlineStr">
        <is>
          <t>A 72077-2021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44544</v>
      </c>
      <c r="E71" s="1" t="n">
        <v>46272</v>
      </c>
      <c r="F71" t="inlineStr">
        <is>
          <t>GÄVLEBORGS LÄN</t>
        </is>
      </c>
      <c r="G71" t="inlineStr">
        <is>
          <t>HUDIKSVALL</t>
        </is>
      </c>
      <c r="I71" t="n">
        <v>0.5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1</v>
      </c>
      <c r="T71" t="n">
        <v>1</v>
      </c>
      <c r="U71" t="n">
        <v>1</v>
      </c>
      <c r="V71" s="2" t="inlineStr">
        <is>
          <t>Orre</t>
        </is>
      </c>
      <c r="W71">
        <f>HYPERLINK("https://klasma.github.io/Logging_2184/artfynd/A 72077-2021 artfynd.xlsx", "A 72077-2021")</f>
        <v/>
      </c>
      <c r="X71">
        <f>HYPERLINK("https://klasma.github.io/Logging_2184/kartor/A 72077-2021 karta.png", "A 72077-2021")</f>
        <v/>
      </c>
      <c r="Y71">
        <f>HYPERLINK("https://klasma.github.io/Logging_2184/kartor_geotiff/A 72077-2021 georefererad karta.tif", "A 72077-2021")</f>
        <v/>
      </c>
      <c r="AA71">
        <f>HYPERLINK("https://klasma.github.io/Logging_2184/klagomål/A 72077-2021 FSC-klagomål.docx", "A 72077-2021")</f>
        <v/>
      </c>
      <c r="AB71">
        <f>HYPERLINK("https://klasma.github.io/Logging_2184/klagomålsmail/A 72077-2021 FSC-klagomål mail.docx", "A 72077-2021")</f>
        <v/>
      </c>
      <c r="AC71">
        <f>HYPERLINK("https://klasma.github.io/Logging_2184/tillsyn/A 72077-2021 tillsynsbegäran.docx", "A 72077-2021")</f>
        <v/>
      </c>
      <c r="AD71">
        <f>HYPERLINK("https://klasma.github.io/Logging_2184/tillsynsmail/A 72077-2021 tillsynsbegäran mail.docx", "A 72077-2021")</f>
        <v/>
      </c>
      <c r="AE71">
        <f>HYPERLINK("https://klasma.github.io/Logging_2184/fåglar/A 72077-2021 prioriterade fågelarter.docx", "A 72077-2021")</f>
        <v/>
      </c>
    </row>
    <row r="72" ht="15" customHeight="1">
      <c r="A72" t="inlineStr">
        <is>
          <t>A 34345-2022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44792</v>
      </c>
      <c r="E72" s="1" t="n">
        <v>46272</v>
      </c>
      <c r="F72" t="inlineStr">
        <is>
          <t>GÄVLEBORGS LÄN</t>
        </is>
      </c>
      <c r="G72" t="inlineStr">
        <is>
          <t>HUDIKSVALL</t>
        </is>
      </c>
      <c r="H72" t="inlineStr">
        <is>
          <t>Holmen skog AB</t>
        </is>
      </c>
      <c r="I72" t="n">
        <v>4.4</v>
      </c>
      <c r="J72" t="n">
        <v>0</v>
      </c>
      <c r="K72" t="n">
        <v>1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1</v>
      </c>
      <c r="T72" t="n">
        <v>1</v>
      </c>
      <c r="U72" t="n">
        <v>0</v>
      </c>
      <c r="V72" s="2" t="inlineStr">
        <is>
          <t>Stuplav</t>
        </is>
      </c>
      <c r="W72">
        <f>HYPERLINK("https://klasma.github.io/Logging_2184/artfynd/A 34345-2022 artfynd.xlsx", "A 34345-2022")</f>
        <v/>
      </c>
      <c r="X72">
        <f>HYPERLINK("https://klasma.github.io/Logging_2184/kartor/A 34345-2022 karta.png", "A 34345-2022")</f>
        <v/>
      </c>
      <c r="Y72">
        <f>HYPERLINK("https://klasma.github.io/Logging_2184/kartor_geotiff/A 34345-2022 georefererad karta.tif", "A 34345-2022")</f>
        <v/>
      </c>
      <c r="AA72">
        <f>HYPERLINK("https://klasma.github.io/Logging_2184/klagomål/A 34345-2022 FSC-klagomål.docx", "A 34345-2022")</f>
        <v/>
      </c>
      <c r="AB72">
        <f>HYPERLINK("https://klasma.github.io/Logging_2184/klagomålsmail/A 34345-2022 FSC-klagomål mail.docx", "A 34345-2022")</f>
        <v/>
      </c>
      <c r="AC72">
        <f>HYPERLINK("https://klasma.github.io/Logging_2184/tillsyn/A 34345-2022 tillsynsbegäran.docx", "A 34345-2022")</f>
        <v/>
      </c>
      <c r="AD72">
        <f>HYPERLINK("https://klasma.github.io/Logging_2184/tillsynsmail/A 34345-2022 tillsynsbegäran mail.docx", "A 34345-2022")</f>
        <v/>
      </c>
    </row>
    <row r="73" ht="15" customHeight="1">
      <c r="A73" t="inlineStr">
        <is>
          <t>A 68162-2021</t>
        </is>
      </c>
      <c r="B73" t="inlineStr">
        <is>
          <t>avverkningsanmälan</t>
        </is>
      </c>
      <c r="C73" t="inlineStr">
        <is>
          <t>Avverkning för annat ändamål</t>
        </is>
      </c>
      <c r="D73" s="1" t="n">
        <v>44526</v>
      </c>
      <c r="E73" s="1" t="n">
        <v>46272</v>
      </c>
      <c r="F73" t="inlineStr">
        <is>
          <t>GÄVLEBORGS LÄN</t>
        </is>
      </c>
      <c r="G73" t="inlineStr">
        <is>
          <t>HUDIKSVALL</t>
        </is>
      </c>
      <c r="I73" t="n">
        <v>1.1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1</v>
      </c>
      <c r="T73" t="n">
        <v>1</v>
      </c>
      <c r="U73" t="n">
        <v>0</v>
      </c>
      <c r="V73" s="2" t="inlineStr">
        <is>
          <t>Större vattensalamander</t>
        </is>
      </c>
      <c r="W73">
        <f>HYPERLINK("https://klasma.github.io/Logging_2184/artfynd/A 68162-2021 artfynd.xlsx", "A 68162-2021")</f>
        <v/>
      </c>
      <c r="X73">
        <f>HYPERLINK("https://klasma.github.io/Logging_2184/kartor/A 68162-2021 karta.png", "A 68162-2021")</f>
        <v/>
      </c>
      <c r="Y73">
        <f>HYPERLINK("https://klasma.github.io/Logging_2184/kartor_geotiff/A 68162-2021 georefererad karta.tif", "A 68162-2021")</f>
        <v/>
      </c>
      <c r="AA73">
        <f>HYPERLINK("https://klasma.github.io/Logging_2184/klagomål/A 68162-2021 FSC-klagomål.docx", "A 68162-2021")</f>
        <v/>
      </c>
      <c r="AB73">
        <f>HYPERLINK("https://klasma.github.io/Logging_2184/klagomålsmail/A 68162-2021 FSC-klagomål mail.docx", "A 68162-2021")</f>
        <v/>
      </c>
      <c r="AC73">
        <f>HYPERLINK("https://klasma.github.io/Logging_2184/tillsyn/A 68162-2021 tillsynsbegäran.docx", "A 68162-2021")</f>
        <v/>
      </c>
      <c r="AD73">
        <f>HYPERLINK("https://klasma.github.io/Logging_2184/tillsynsmail/A 68162-2021 tillsynsbegäran mail.docx", "A 68162-2021")</f>
        <v/>
      </c>
    </row>
    <row r="74" ht="15" customHeight="1">
      <c r="A74" t="inlineStr">
        <is>
          <t>A 71122-2021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44539</v>
      </c>
      <c r="E74" s="1" t="n">
        <v>46272</v>
      </c>
      <c r="F74" t="inlineStr">
        <is>
          <t>GÄVLEBORGS LÄN</t>
        </is>
      </c>
      <c r="G74" t="inlineStr">
        <is>
          <t>HUDIKSVALL</t>
        </is>
      </c>
      <c r="I74" t="n">
        <v>2.6</v>
      </c>
      <c r="J74" t="n">
        <v>1</v>
      </c>
      <c r="K74" t="n">
        <v>0</v>
      </c>
      <c r="L74" t="n">
        <v>0</v>
      </c>
      <c r="M74" t="n">
        <v>1</v>
      </c>
      <c r="N74" t="n">
        <v>0</v>
      </c>
      <c r="O74" t="n">
        <v>0</v>
      </c>
      <c r="P74" t="n">
        <v>0</v>
      </c>
      <c r="Q74" t="n">
        <v>1</v>
      </c>
      <c r="R74" t="n">
        <v>1</v>
      </c>
      <c r="S74" t="n">
        <v>1</v>
      </c>
      <c r="T74" t="n">
        <v>4</v>
      </c>
      <c r="U74" t="n">
        <v>4</v>
      </c>
      <c r="V74" s="2" t="inlineStr">
        <is>
          <t>Knärot</t>
        </is>
      </c>
      <c r="W74">
        <f>HYPERLINK("https://klasma.github.io/Logging_2184/artfynd/A 71122-2021 artfynd.xlsx", "A 71122-2021")</f>
        <v/>
      </c>
      <c r="X74">
        <f>HYPERLINK("https://klasma.github.io/Logging_2184/kartor/A 71122-2021 karta.png", "A 71122-2021")</f>
        <v/>
      </c>
      <c r="Y74">
        <f>HYPERLINK("https://klasma.github.io/Logging_2184/kartor_geotiff/A 71122-2021 georefererad karta.tif", "A 71122-2021")</f>
        <v/>
      </c>
      <c r="Z74">
        <f>HYPERLINK("https://klasma.github.io/Logging_2184/knärot/A 71122-2021 karta knärot.png", "A 71122-2021")</f>
        <v/>
      </c>
      <c r="AA74">
        <f>HYPERLINK("https://klasma.github.io/Logging_2184/klagomål/A 71122-2021 FSC-klagomål.docx", "A 71122-2021")</f>
        <v/>
      </c>
      <c r="AB74">
        <f>HYPERLINK("https://klasma.github.io/Logging_2184/klagomålsmail/A 71122-2021 FSC-klagomål mail.docx", "A 71122-2021")</f>
        <v/>
      </c>
      <c r="AC74">
        <f>HYPERLINK("https://klasma.github.io/Logging_2184/tillsyn/A 71122-2021 tillsynsbegäran.docx", "A 71122-2021")</f>
        <v/>
      </c>
      <c r="AD74">
        <f>HYPERLINK("https://klasma.github.io/Logging_2184/tillsynsmail/A 71122-2021 tillsynsbegäran mail.docx", "A 71122-2021")</f>
        <v/>
      </c>
    </row>
    <row r="75" ht="15" customHeight="1">
      <c r="A75" t="inlineStr">
        <is>
          <t>A 15883-2023</t>
        </is>
      </c>
      <c r="B75" t="inlineStr">
        <is>
          <t>avverkningsanmälan</t>
        </is>
      </c>
      <c r="C75" t="inlineStr">
        <is>
          <t>Avverkning för annat ändamål</t>
        </is>
      </c>
      <c r="D75" s="1" t="n">
        <v>45022</v>
      </c>
      <c r="E75" s="1" t="n">
        <v>46272</v>
      </c>
      <c r="F75" t="inlineStr">
        <is>
          <t>GÄVLEBORGS LÄN</t>
        </is>
      </c>
      <c r="G75" t="inlineStr">
        <is>
          <t>HUDIKSVALL</t>
        </is>
      </c>
      <c r="I75" t="n">
        <v>9.6</v>
      </c>
      <c r="J75" t="n">
        <v>1</v>
      </c>
      <c r="K75" t="n">
        <v>0</v>
      </c>
      <c r="L75" t="n">
        <v>0</v>
      </c>
      <c r="M75" t="n">
        <v>1</v>
      </c>
      <c r="N75" t="n">
        <v>0</v>
      </c>
      <c r="O75" t="n">
        <v>0</v>
      </c>
      <c r="P75" t="n">
        <v>0</v>
      </c>
      <c r="Q75" t="n">
        <v>1</v>
      </c>
      <c r="R75" t="n">
        <v>1</v>
      </c>
      <c r="S75" t="n">
        <v>1</v>
      </c>
      <c r="T75" t="n">
        <v>1</v>
      </c>
      <c r="U75" t="n">
        <v>0</v>
      </c>
      <c r="V75" s="2" t="inlineStr">
        <is>
          <t>Knärot</t>
        </is>
      </c>
      <c r="W75">
        <f>HYPERLINK("https://klasma.github.io/Logging_2184/artfynd/A 15883-2023 artfynd.xlsx", "A 15883-2023")</f>
        <v/>
      </c>
      <c r="X75">
        <f>HYPERLINK("https://klasma.github.io/Logging_2184/kartor/A 15883-2023 karta.png", "A 15883-2023")</f>
        <v/>
      </c>
      <c r="Y75">
        <f>HYPERLINK("https://klasma.github.io/Logging_2184/kartor_geotiff/A 15883-2023 georefererad karta.tif", "A 15883-2023")</f>
        <v/>
      </c>
      <c r="Z75">
        <f>HYPERLINK("https://klasma.github.io/Logging_2184/knärot/A 15883-2023 karta knärot.png", "A 15883-2023")</f>
        <v/>
      </c>
      <c r="AA75">
        <f>HYPERLINK("https://klasma.github.io/Logging_2184/klagomål/A 15883-2023 FSC-klagomål.docx", "A 15883-2023")</f>
        <v/>
      </c>
      <c r="AB75">
        <f>HYPERLINK("https://klasma.github.io/Logging_2184/klagomålsmail/A 15883-2023 FSC-klagomål mail.docx", "A 15883-2023")</f>
        <v/>
      </c>
      <c r="AC75">
        <f>HYPERLINK("https://klasma.github.io/Logging_2184/tillsyn/A 15883-2023 tillsynsbegäran.docx", "A 15883-2023")</f>
        <v/>
      </c>
      <c r="AD75">
        <f>HYPERLINK("https://klasma.github.io/Logging_2184/tillsynsmail/A 15883-2023 tillsynsbegäran mail.docx", "A 15883-2023")</f>
        <v/>
      </c>
    </row>
    <row r="76" ht="15" customHeight="1">
      <c r="A76" t="inlineStr">
        <is>
          <t>A 29337-2024</t>
        </is>
      </c>
      <c r="B76" t="inlineStr">
        <is>
          <t>avverkningsanmälan</t>
        </is>
      </c>
      <c r="C76" t="inlineStr">
        <is>
          <t>Avverkning för annat ändamål</t>
        </is>
      </c>
      <c r="D76" s="1" t="n">
        <v>45483</v>
      </c>
      <c r="E76" s="1" t="n">
        <v>46272</v>
      </c>
      <c r="F76" t="inlineStr">
        <is>
          <t>GÄVLEBORGS LÄN</t>
        </is>
      </c>
      <c r="G76" t="inlineStr">
        <is>
          <t>HUDIKSVALL</t>
        </is>
      </c>
      <c r="H76" t="inlineStr">
        <is>
          <t>Holmen skog AB</t>
        </is>
      </c>
      <c r="I76" t="n">
        <v>1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1</v>
      </c>
      <c r="T76" t="n">
        <v>1</v>
      </c>
      <c r="U76" t="n">
        <v>0</v>
      </c>
      <c r="V76" s="2" t="inlineStr">
        <is>
          <t>Järpe</t>
        </is>
      </c>
      <c r="W76">
        <f>HYPERLINK("https://klasma.github.io/Logging_2184/artfynd/A 29337-2024 artfynd.xlsx", "A 29337-2024")</f>
        <v/>
      </c>
      <c r="X76">
        <f>HYPERLINK("https://klasma.github.io/Logging_2184/kartor/A 29337-2024 karta.png", "A 29337-2024")</f>
        <v/>
      </c>
      <c r="Y76">
        <f>HYPERLINK("https://klasma.github.io/Logging_2184/kartor_geotiff/A 29337-2024 georefererad karta.tif", "A 29337-2024")</f>
        <v/>
      </c>
      <c r="AA76">
        <f>HYPERLINK("https://klasma.github.io/Logging_2184/klagomål/A 29337-2024 FSC-klagomål.docx", "A 29337-2024")</f>
        <v/>
      </c>
      <c r="AB76">
        <f>HYPERLINK("https://klasma.github.io/Logging_2184/klagomålsmail/A 29337-2024 FSC-klagomål mail.docx", "A 29337-2024")</f>
        <v/>
      </c>
      <c r="AC76">
        <f>HYPERLINK("https://klasma.github.io/Logging_2184/tillsyn/A 29337-2024 tillsynsbegäran.docx", "A 29337-2024")</f>
        <v/>
      </c>
      <c r="AD76">
        <f>HYPERLINK("https://klasma.github.io/Logging_2184/tillsynsmail/A 29337-2024 tillsynsbegäran mail.docx", "A 29337-2024")</f>
        <v/>
      </c>
      <c r="AE76">
        <f>HYPERLINK("https://klasma.github.io/Logging_2184/fåglar/A 29337-2024 prioriterade fågelarter.docx", "A 29337-2024")</f>
        <v/>
      </c>
    </row>
    <row r="77" ht="15" customHeight="1">
      <c r="A77" t="inlineStr">
        <is>
          <t>A 25784-2025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45804</v>
      </c>
      <c r="E77" s="1" t="n">
        <v>46272</v>
      </c>
      <c r="F77" t="inlineStr">
        <is>
          <t>GÄVLEBORGS LÄN</t>
        </is>
      </c>
      <c r="G77" t="inlineStr">
        <is>
          <t>HUDIKSVALL</t>
        </is>
      </c>
      <c r="H77" t="inlineStr">
        <is>
          <t>Holmen skog AB</t>
        </is>
      </c>
      <c r="I77" t="n">
        <v>18</v>
      </c>
      <c r="J77" t="n">
        <v>0</v>
      </c>
      <c r="K77" t="n">
        <v>0</v>
      </c>
      <c r="L77" t="n">
        <v>0</v>
      </c>
      <c r="M77" t="n">
        <v>1</v>
      </c>
      <c r="N77" t="n">
        <v>0</v>
      </c>
      <c r="O77" t="n">
        <v>0</v>
      </c>
      <c r="P77" t="n">
        <v>0</v>
      </c>
      <c r="Q77" t="n">
        <v>1</v>
      </c>
      <c r="R77" t="n">
        <v>1</v>
      </c>
      <c r="S77" t="n">
        <v>1</v>
      </c>
      <c r="T77" t="n">
        <v>1</v>
      </c>
      <c r="U77" t="n">
        <v>1</v>
      </c>
      <c r="V77" s="2" t="inlineStr">
        <is>
          <t>Garnlav</t>
        </is>
      </c>
      <c r="W77">
        <f>HYPERLINK("https://klasma.github.io/Logging_2184/artfynd/A 25784-2025 artfynd.xlsx", "A 25784-2025")</f>
        <v/>
      </c>
      <c r="X77">
        <f>HYPERLINK("https://klasma.github.io/Logging_2184/kartor/A 25784-2025 karta.png", "A 25784-2025")</f>
        <v/>
      </c>
      <c r="Y77">
        <f>HYPERLINK("https://klasma.github.io/Logging_2184/kartor_geotiff/A 25784-2025 georefererad karta.tif", "A 25784-2025")</f>
        <v/>
      </c>
      <c r="AA77">
        <f>HYPERLINK("https://klasma.github.io/Logging_2184/klagomål/A 25784-2025 FSC-klagomål.docx", "A 25784-2025")</f>
        <v/>
      </c>
      <c r="AB77">
        <f>HYPERLINK("https://klasma.github.io/Logging_2184/klagomålsmail/A 25784-2025 FSC-klagomål mail.docx", "A 25784-2025")</f>
        <v/>
      </c>
      <c r="AC77">
        <f>HYPERLINK("https://klasma.github.io/Logging_2184/tillsyn/A 25784-2025 tillsynsbegäran.docx", "A 25784-2025")</f>
        <v/>
      </c>
      <c r="AD77">
        <f>HYPERLINK("https://klasma.github.io/Logging_2184/tillsynsmail/A 25784-2025 tillsynsbegäran mail.docx", "A 25784-2025")</f>
        <v/>
      </c>
    </row>
    <row r="78" ht="15" customHeight="1">
      <c r="A78" t="inlineStr">
        <is>
          <t>A 25828-2025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45804</v>
      </c>
      <c r="E78" s="1" t="n">
        <v>46272</v>
      </c>
      <c r="F78" t="inlineStr">
        <is>
          <t>GÄVLEBORGS LÄN</t>
        </is>
      </c>
      <c r="G78" t="inlineStr">
        <is>
          <t>HUDIKSVALL</t>
        </is>
      </c>
      <c r="H78" t="inlineStr">
        <is>
          <t>Holmen skog AB</t>
        </is>
      </c>
      <c r="I78" t="n">
        <v>7.3</v>
      </c>
      <c r="J78" t="n">
        <v>1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1</v>
      </c>
      <c r="T78" t="n">
        <v>1</v>
      </c>
      <c r="U78" t="n">
        <v>0</v>
      </c>
      <c r="V78" s="2" t="inlineStr">
        <is>
          <t>Nattviol</t>
        </is>
      </c>
      <c r="W78">
        <f>HYPERLINK("https://klasma.github.io/Logging_2184/artfynd/A 25828-2025 artfynd.xlsx", "A 25828-2025")</f>
        <v/>
      </c>
      <c r="X78">
        <f>HYPERLINK("https://klasma.github.io/Logging_2184/kartor/A 25828-2025 karta.png", "A 25828-2025")</f>
        <v/>
      </c>
      <c r="Y78">
        <f>HYPERLINK("https://klasma.github.io/Logging_2184/kartor_geotiff/A 25828-2025 georefererad karta.tif", "A 25828-2025")</f>
        <v/>
      </c>
      <c r="AA78">
        <f>HYPERLINK("https://klasma.github.io/Logging_2184/klagomål/A 25828-2025 FSC-klagomål.docx", "A 25828-2025")</f>
        <v/>
      </c>
      <c r="AB78">
        <f>HYPERLINK("https://klasma.github.io/Logging_2184/klagomålsmail/A 25828-2025 FSC-klagomål mail.docx", "A 25828-2025")</f>
        <v/>
      </c>
      <c r="AC78">
        <f>HYPERLINK("https://klasma.github.io/Logging_2184/tillsyn/A 25828-2025 tillsynsbegäran.docx", "A 25828-2025")</f>
        <v/>
      </c>
      <c r="AD78">
        <f>HYPERLINK("https://klasma.github.io/Logging_2184/tillsynsmail/A 25828-2025 tillsynsbegäran mail.docx", "A 25828-2025")</f>
        <v/>
      </c>
    </row>
    <row r="79" ht="15" customHeight="1">
      <c r="A79" t="inlineStr">
        <is>
          <t>A 38496-2025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45884</v>
      </c>
      <c r="E79" s="1" t="n">
        <v>46272</v>
      </c>
      <c r="F79" t="inlineStr">
        <is>
          <t>GÄVLEBORGS LÄN</t>
        </is>
      </c>
      <c r="G79" t="inlineStr">
        <is>
          <t>HUDIKSVALL</t>
        </is>
      </c>
      <c r="I79" t="n">
        <v>42.9</v>
      </c>
      <c r="J79" t="n">
        <v>1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1</v>
      </c>
      <c r="T79" t="n">
        <v>1</v>
      </c>
      <c r="U79" t="n">
        <v>0</v>
      </c>
      <c r="V79" s="2" t="inlineStr">
        <is>
          <t>Vanlig groda</t>
        </is>
      </c>
      <c r="W79">
        <f>HYPERLINK("https://klasma.github.io/Logging_2184/artfynd/A 38496-2025 artfynd.xlsx", "A 38496-2025")</f>
        <v/>
      </c>
      <c r="X79">
        <f>HYPERLINK("https://klasma.github.io/Logging_2184/kartor/A 38496-2025 karta.png", "A 38496-2025")</f>
        <v/>
      </c>
      <c r="Y79">
        <f>HYPERLINK("https://klasma.github.io/Logging_2184/kartor_geotiff/A 38496-2025 georefererad karta.tif", "A 38496-2025")</f>
        <v/>
      </c>
      <c r="AA79">
        <f>HYPERLINK("https://klasma.github.io/Logging_2184/klagomål/A 38496-2025 FSC-klagomål.docx", "A 38496-2025")</f>
        <v/>
      </c>
      <c r="AB79">
        <f>HYPERLINK("https://klasma.github.io/Logging_2184/klagomålsmail/A 38496-2025 FSC-klagomål mail.docx", "A 38496-2025")</f>
        <v/>
      </c>
      <c r="AC79">
        <f>HYPERLINK("https://klasma.github.io/Logging_2184/tillsyn/A 38496-2025 tillsynsbegäran.docx", "A 38496-2025")</f>
        <v/>
      </c>
      <c r="AD79">
        <f>HYPERLINK("https://klasma.github.io/Logging_2184/tillsynsmail/A 38496-2025 tillsynsbegäran mail.docx", "A 38496-2025")</f>
        <v/>
      </c>
    </row>
    <row r="80" ht="15" customHeight="1">
      <c r="A80" t="inlineStr">
        <is>
          <t>A 22595-2025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45789</v>
      </c>
      <c r="E80" s="1" t="n">
        <v>46272</v>
      </c>
      <c r="F80" t="inlineStr">
        <is>
          <t>GÄVLEBORGS LÄN</t>
        </is>
      </c>
      <c r="G80" t="inlineStr">
        <is>
          <t>HUDIKSVALL</t>
        </is>
      </c>
      <c r="H80" t="inlineStr">
        <is>
          <t>Holmen skog AB</t>
        </is>
      </c>
      <c r="I80" t="n">
        <v>6.6</v>
      </c>
      <c r="J80" t="n">
        <v>1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1</v>
      </c>
      <c r="T80" t="n">
        <v>1</v>
      </c>
      <c r="U80" t="n">
        <v>0</v>
      </c>
      <c r="V80" s="2" t="inlineStr">
        <is>
          <t>Revlummer</t>
        </is>
      </c>
      <c r="W80">
        <f>HYPERLINK("https://klasma.github.io/Logging_2184/artfynd/A 22595-2025 artfynd.xlsx", "A 22595-2025")</f>
        <v/>
      </c>
      <c r="X80">
        <f>HYPERLINK("https://klasma.github.io/Logging_2184/kartor/A 22595-2025 karta.png", "A 22595-2025")</f>
        <v/>
      </c>
      <c r="Y80">
        <f>HYPERLINK("https://klasma.github.io/Logging_2184/kartor_geotiff/A 22595-2025 georefererad karta.tif", "A 22595-2025")</f>
        <v/>
      </c>
      <c r="AA80">
        <f>HYPERLINK("https://klasma.github.io/Logging_2184/klagomål/A 22595-2025 FSC-klagomål.docx", "A 22595-2025")</f>
        <v/>
      </c>
      <c r="AB80">
        <f>HYPERLINK("https://klasma.github.io/Logging_2184/klagomålsmail/A 22595-2025 FSC-klagomål mail.docx", "A 22595-2025")</f>
        <v/>
      </c>
      <c r="AC80">
        <f>HYPERLINK("https://klasma.github.io/Logging_2184/tillsyn/A 22595-2025 tillsynsbegäran.docx", "A 22595-2025")</f>
        <v/>
      </c>
      <c r="AD80">
        <f>HYPERLINK("https://klasma.github.io/Logging_2184/tillsynsmail/A 22595-2025 tillsynsbegäran mail.docx", "A 22595-2025")</f>
        <v/>
      </c>
    </row>
    <row r="81" ht="15" customHeight="1">
      <c r="A81" t="inlineStr">
        <is>
          <t>A 55445-2024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45622</v>
      </c>
      <c r="E81" s="1" t="n">
        <v>46272</v>
      </c>
      <c r="F81" t="inlineStr">
        <is>
          <t>GÄVLEBORGS LÄN</t>
        </is>
      </c>
      <c r="G81" t="inlineStr">
        <is>
          <t>HUDIKSVALL</t>
        </is>
      </c>
      <c r="I81" t="n">
        <v>7.2</v>
      </c>
      <c r="J81" t="n">
        <v>0</v>
      </c>
      <c r="K81" t="n">
        <v>1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1</v>
      </c>
      <c r="T81" t="n">
        <v>1</v>
      </c>
      <c r="U81" t="n">
        <v>0</v>
      </c>
      <c r="V81" s="2" t="inlineStr">
        <is>
          <t>Spädstarr</t>
        </is>
      </c>
      <c r="W81">
        <f>HYPERLINK("https://klasma.github.io/Logging_2184/artfynd/A 55445-2024 artfynd.xlsx", "A 55445-2024")</f>
        <v/>
      </c>
      <c r="X81">
        <f>HYPERLINK("https://klasma.github.io/Logging_2184/kartor/A 55445-2024 karta.png", "A 55445-2024")</f>
        <v/>
      </c>
      <c r="Y81">
        <f>HYPERLINK("https://klasma.github.io/Logging_2184/kartor_geotiff/A 55445-2024 georefererad karta.tif", "A 55445-2024")</f>
        <v/>
      </c>
      <c r="AA81">
        <f>HYPERLINK("https://klasma.github.io/Logging_2184/klagomål/A 55445-2024 FSC-klagomål.docx", "A 55445-2024")</f>
        <v/>
      </c>
      <c r="AB81">
        <f>HYPERLINK("https://klasma.github.io/Logging_2184/klagomålsmail/A 55445-2024 FSC-klagomål mail.docx", "A 55445-2024")</f>
        <v/>
      </c>
      <c r="AC81">
        <f>HYPERLINK("https://klasma.github.io/Logging_2184/tillsyn/A 55445-2024 tillsynsbegäran.docx", "A 55445-2024")</f>
        <v/>
      </c>
      <c r="AD81">
        <f>HYPERLINK("https://klasma.github.io/Logging_2184/tillsynsmail/A 55445-2024 tillsynsbegäran mail.docx", "A 55445-2024")</f>
        <v/>
      </c>
    </row>
    <row r="82" ht="15" customHeight="1">
      <c r="A82" t="inlineStr">
        <is>
          <t>A 27176-2025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45812</v>
      </c>
      <c r="E82" s="1" t="n">
        <v>46272</v>
      </c>
      <c r="F82" t="inlineStr">
        <is>
          <t>GÄVLEBORGS LÄN</t>
        </is>
      </c>
      <c r="G82" t="inlineStr">
        <is>
          <t>HUDIKSVALL</t>
        </is>
      </c>
      <c r="H82" t="inlineStr">
        <is>
          <t>Holmen skog AB</t>
        </is>
      </c>
      <c r="I82" t="n">
        <v>6.9</v>
      </c>
      <c r="J82" t="n">
        <v>0</v>
      </c>
      <c r="K82" t="n">
        <v>0</v>
      </c>
      <c r="L82" t="n">
        <v>1</v>
      </c>
      <c r="M82" t="n">
        <v>0</v>
      </c>
      <c r="N82" t="n">
        <v>0</v>
      </c>
      <c r="O82" t="n">
        <v>0</v>
      </c>
      <c r="P82" t="n">
        <v>0</v>
      </c>
      <c r="Q82" t="n">
        <v>1</v>
      </c>
      <c r="R82" t="n">
        <v>0</v>
      </c>
      <c r="S82" t="n">
        <v>1</v>
      </c>
      <c r="T82" t="n">
        <v>1</v>
      </c>
      <c r="U82" t="n">
        <v>0</v>
      </c>
      <c r="V82" s="2" t="inlineStr">
        <is>
          <t>Vedtrappmossa</t>
        </is>
      </c>
      <c r="W82">
        <f>HYPERLINK("https://klasma.github.io/Logging_2184/artfynd/A 27176-2025 artfynd.xlsx", "A 27176-2025")</f>
        <v/>
      </c>
      <c r="X82">
        <f>HYPERLINK("https://klasma.github.io/Logging_2184/kartor/A 27176-2025 karta.png", "A 27176-2025")</f>
        <v/>
      </c>
      <c r="Y82">
        <f>HYPERLINK("https://klasma.github.io/Logging_2184/kartor_geotiff/A 27176-2025 georefererad karta.tif", "A 27176-2025")</f>
        <v/>
      </c>
      <c r="AA82">
        <f>HYPERLINK("https://klasma.github.io/Logging_2184/klagomål/A 27176-2025 FSC-klagomål.docx", "A 27176-2025")</f>
        <v/>
      </c>
      <c r="AB82">
        <f>HYPERLINK("https://klasma.github.io/Logging_2184/klagomålsmail/A 27176-2025 FSC-klagomål mail.docx", "A 27176-2025")</f>
        <v/>
      </c>
      <c r="AC82">
        <f>HYPERLINK("https://klasma.github.io/Logging_2184/tillsyn/A 27176-2025 tillsynsbegäran.docx", "A 27176-2025")</f>
        <v/>
      </c>
      <c r="AD82">
        <f>HYPERLINK("https://klasma.github.io/Logging_2184/tillsynsmail/A 27176-2025 tillsynsbegäran mail.docx", "A 27176-2025")</f>
        <v/>
      </c>
    </row>
    <row r="83" ht="15" customHeight="1">
      <c r="A83" t="inlineStr">
        <is>
          <t>A 44058-2022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44839</v>
      </c>
      <c r="E83" s="1" t="n">
        <v>46272</v>
      </c>
      <c r="F83" t="inlineStr">
        <is>
          <t>GÄVLEBORGS LÄN</t>
        </is>
      </c>
      <c r="G83" t="inlineStr">
        <is>
          <t>HUDIKSVALL</t>
        </is>
      </c>
      <c r="H83" t="inlineStr">
        <is>
          <t>Holmen skog AB</t>
        </is>
      </c>
      <c r="I83" t="n">
        <v>4.7</v>
      </c>
      <c r="J83" t="n">
        <v>0</v>
      </c>
      <c r="K83" t="n">
        <v>0</v>
      </c>
      <c r="L83" t="n">
        <v>0</v>
      </c>
      <c r="M83" t="n">
        <v>1</v>
      </c>
      <c r="N83" t="n">
        <v>0</v>
      </c>
      <c r="O83" t="n">
        <v>0</v>
      </c>
      <c r="P83" t="n">
        <v>0</v>
      </c>
      <c r="Q83" t="n">
        <v>1</v>
      </c>
      <c r="R83" t="n">
        <v>1</v>
      </c>
      <c r="S83" t="n">
        <v>1</v>
      </c>
      <c r="T83" t="n">
        <v>1</v>
      </c>
      <c r="U83" t="n">
        <v>1</v>
      </c>
      <c r="V83" s="2" t="inlineStr">
        <is>
          <t>Garnlav</t>
        </is>
      </c>
      <c r="W83">
        <f>HYPERLINK("https://klasma.github.io/Logging_2184/artfynd/A 44058-2022 artfynd.xlsx", "A 44058-2022")</f>
        <v/>
      </c>
      <c r="X83">
        <f>HYPERLINK("https://klasma.github.io/Logging_2184/kartor/A 44058-2022 karta.png", "A 44058-2022")</f>
        <v/>
      </c>
      <c r="Y83">
        <f>HYPERLINK("https://klasma.github.io/Logging_2184/kartor_geotiff/A 44058-2022 georefererad karta.tif", "A 44058-2022")</f>
        <v/>
      </c>
      <c r="AA83">
        <f>HYPERLINK("https://klasma.github.io/Logging_2184/klagomål/A 44058-2022 FSC-klagomål.docx", "A 44058-2022")</f>
        <v/>
      </c>
      <c r="AB83">
        <f>HYPERLINK("https://klasma.github.io/Logging_2184/klagomålsmail/A 44058-2022 FSC-klagomål mail.docx", "A 44058-2022")</f>
        <v/>
      </c>
      <c r="AC83">
        <f>HYPERLINK("https://klasma.github.io/Logging_2184/tillsyn/A 44058-2022 tillsynsbegäran.docx", "A 44058-2022")</f>
        <v/>
      </c>
      <c r="AD83">
        <f>HYPERLINK("https://klasma.github.io/Logging_2184/tillsynsmail/A 44058-2022 tillsynsbegäran mail.docx", "A 44058-2022")</f>
        <v/>
      </c>
    </row>
    <row r="84" ht="15" customHeight="1">
      <c r="A84" t="inlineStr">
        <is>
          <t>A 28381-2025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45819</v>
      </c>
      <c r="E84" s="1" t="n">
        <v>46272</v>
      </c>
      <c r="F84" t="inlineStr">
        <is>
          <t>GÄVLEBORGS LÄN</t>
        </is>
      </c>
      <c r="G84" t="inlineStr">
        <is>
          <t>HUDIKSVALL</t>
        </is>
      </c>
      <c r="H84" t="inlineStr">
        <is>
          <t>Holmen skog AB</t>
        </is>
      </c>
      <c r="I84" t="n">
        <v>8.699999999999999</v>
      </c>
      <c r="J84" t="n">
        <v>1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1</v>
      </c>
      <c r="T84" t="n">
        <v>1</v>
      </c>
      <c r="U84" t="n">
        <v>0</v>
      </c>
      <c r="V84" s="2" t="inlineStr">
        <is>
          <t>Revlummer</t>
        </is>
      </c>
      <c r="W84">
        <f>HYPERLINK("https://klasma.github.io/Logging_2184/artfynd/A 28381-2025 artfynd.xlsx", "A 28381-2025")</f>
        <v/>
      </c>
      <c r="X84">
        <f>HYPERLINK("https://klasma.github.io/Logging_2184/kartor/A 28381-2025 karta.png", "A 28381-2025")</f>
        <v/>
      </c>
      <c r="Y84">
        <f>HYPERLINK("https://klasma.github.io/Logging_2184/kartor_geotiff/A 28381-2025 georefererad karta.tif", "A 28381-2025")</f>
        <v/>
      </c>
      <c r="AA84">
        <f>HYPERLINK("https://klasma.github.io/Logging_2184/klagomål/A 28381-2025 FSC-klagomål.docx", "A 28381-2025")</f>
        <v/>
      </c>
      <c r="AB84">
        <f>HYPERLINK("https://klasma.github.io/Logging_2184/klagomålsmail/A 28381-2025 FSC-klagomål mail.docx", "A 28381-2025")</f>
        <v/>
      </c>
      <c r="AC84">
        <f>HYPERLINK("https://klasma.github.io/Logging_2184/tillsyn/A 28381-2025 tillsynsbegäran.docx", "A 28381-2025")</f>
        <v/>
      </c>
      <c r="AD84">
        <f>HYPERLINK("https://klasma.github.io/Logging_2184/tillsynsmail/A 28381-2025 tillsynsbegäran mail.docx", "A 28381-2025")</f>
        <v/>
      </c>
    </row>
    <row r="85" ht="15" customHeight="1">
      <c r="A85" t="inlineStr">
        <is>
          <t>A 36391-2025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45868</v>
      </c>
      <c r="E85" s="1" t="n">
        <v>46272</v>
      </c>
      <c r="F85" t="inlineStr">
        <is>
          <t>GÄVLEBORGS LÄN</t>
        </is>
      </c>
      <c r="G85" t="inlineStr">
        <is>
          <t>HUDIKSVALL</t>
        </is>
      </c>
      <c r="I85" t="n">
        <v>0.7</v>
      </c>
      <c r="J85" t="n">
        <v>0</v>
      </c>
      <c r="K85" t="n">
        <v>0</v>
      </c>
      <c r="L85" t="n">
        <v>1</v>
      </c>
      <c r="M85" t="n">
        <v>0</v>
      </c>
      <c r="N85" t="n">
        <v>0</v>
      </c>
      <c r="O85" t="n">
        <v>0</v>
      </c>
      <c r="P85" t="n">
        <v>0</v>
      </c>
      <c r="Q85" t="n">
        <v>1</v>
      </c>
      <c r="R85" t="n">
        <v>0</v>
      </c>
      <c r="S85" t="n">
        <v>1</v>
      </c>
      <c r="T85" t="n">
        <v>1</v>
      </c>
      <c r="U85" t="n">
        <v>0</v>
      </c>
      <c r="V85" s="2" t="inlineStr">
        <is>
          <t>Motaggsvamp</t>
        </is>
      </c>
      <c r="W85">
        <f>HYPERLINK("https://klasma.github.io/Logging_2184/artfynd/A 36391-2025 artfynd.xlsx", "A 36391-2025")</f>
        <v/>
      </c>
      <c r="X85">
        <f>HYPERLINK("https://klasma.github.io/Logging_2184/kartor/A 36391-2025 karta.png", "A 36391-2025")</f>
        <v/>
      </c>
      <c r="Y85">
        <f>HYPERLINK("https://klasma.github.io/Logging_2184/kartor_geotiff/A 36391-2025 georefererad karta.tif", "A 36391-2025")</f>
        <v/>
      </c>
      <c r="AA85">
        <f>HYPERLINK("https://klasma.github.io/Logging_2184/klagomål/A 36391-2025 FSC-klagomål.docx", "A 36391-2025")</f>
        <v/>
      </c>
      <c r="AB85">
        <f>HYPERLINK("https://klasma.github.io/Logging_2184/klagomålsmail/A 36391-2025 FSC-klagomål mail.docx", "A 36391-2025")</f>
        <v/>
      </c>
      <c r="AC85">
        <f>HYPERLINK("https://klasma.github.io/Logging_2184/tillsyn/A 36391-2025 tillsynsbegäran.docx", "A 36391-2025")</f>
        <v/>
      </c>
      <c r="AD85">
        <f>HYPERLINK("https://klasma.github.io/Logging_2184/tillsynsmail/A 36391-2025 tillsynsbegäran mail.docx", "A 36391-2025")</f>
        <v/>
      </c>
    </row>
    <row r="86" ht="15" customHeight="1">
      <c r="A86" t="inlineStr">
        <is>
          <t>A 5711-2024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45334</v>
      </c>
      <c r="E86" s="1" t="n">
        <v>46272</v>
      </c>
      <c r="F86" t="inlineStr">
        <is>
          <t>GÄVLEBORGS LÄN</t>
        </is>
      </c>
      <c r="G86" t="inlineStr">
        <is>
          <t>HUDIKSVALL</t>
        </is>
      </c>
      <c r="H86" t="inlineStr">
        <is>
          <t>Holmen skog AB</t>
        </is>
      </c>
      <c r="I86" t="n">
        <v>14.5</v>
      </c>
      <c r="J86" t="n">
        <v>1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1</v>
      </c>
      <c r="T86" t="n">
        <v>1</v>
      </c>
      <c r="U86" t="n">
        <v>0</v>
      </c>
      <c r="V86" s="2" t="inlineStr">
        <is>
          <t>Revlummer</t>
        </is>
      </c>
      <c r="W86">
        <f>HYPERLINK("https://klasma.github.io/Logging_2184/artfynd/A 5711-2024 artfynd.xlsx", "A 5711-2024")</f>
        <v/>
      </c>
      <c r="X86">
        <f>HYPERLINK("https://klasma.github.io/Logging_2184/kartor/A 5711-2024 karta.png", "A 5711-2024")</f>
        <v/>
      </c>
      <c r="Y86">
        <f>HYPERLINK("https://klasma.github.io/Logging_2184/kartor_geotiff/A 5711-2024 georefererad karta.tif", "A 5711-2024")</f>
        <v/>
      </c>
      <c r="AA86">
        <f>HYPERLINK("https://klasma.github.io/Logging_2184/klagomål/A 5711-2024 FSC-klagomål.docx", "A 5711-2024")</f>
        <v/>
      </c>
      <c r="AB86">
        <f>HYPERLINK("https://klasma.github.io/Logging_2184/klagomålsmail/A 5711-2024 FSC-klagomål mail.docx", "A 5711-2024")</f>
        <v/>
      </c>
      <c r="AC86">
        <f>HYPERLINK("https://klasma.github.io/Logging_2184/tillsyn/A 5711-2024 tillsynsbegäran.docx", "A 5711-2024")</f>
        <v/>
      </c>
      <c r="AD86">
        <f>HYPERLINK("https://klasma.github.io/Logging_2184/tillsynsmail/A 5711-2024 tillsynsbegäran mail.docx", "A 5711-2024")</f>
        <v/>
      </c>
    </row>
    <row r="87" ht="15" customHeight="1">
      <c r="A87" t="inlineStr">
        <is>
          <t>A 8157-2025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45708</v>
      </c>
      <c r="E87" s="1" t="n">
        <v>46272</v>
      </c>
      <c r="F87" t="inlineStr">
        <is>
          <t>GÄVLEBORGS LÄN</t>
        </is>
      </c>
      <c r="G87" t="inlineStr">
        <is>
          <t>HUDIKSVALL</t>
        </is>
      </c>
      <c r="I87" t="n">
        <v>7.7</v>
      </c>
      <c r="J87" t="n">
        <v>1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1</v>
      </c>
      <c r="T87" t="n">
        <v>1</v>
      </c>
      <c r="U87" t="n">
        <v>1</v>
      </c>
      <c r="V87" s="2" t="inlineStr">
        <is>
          <t>Fläcknycklar</t>
        </is>
      </c>
      <c r="W87">
        <f>HYPERLINK("https://klasma.github.io/Logging_2184/artfynd/A 8157-2025 artfynd.xlsx", "A 8157-2025")</f>
        <v/>
      </c>
      <c r="X87">
        <f>HYPERLINK("https://klasma.github.io/Logging_2184/kartor/A 8157-2025 karta.png", "A 8157-2025")</f>
        <v/>
      </c>
      <c r="Y87">
        <f>HYPERLINK("https://klasma.github.io/Logging_2184/kartor_geotiff/A 8157-2025 georefererad karta.tif", "A 8157-2025")</f>
        <v/>
      </c>
      <c r="AA87">
        <f>HYPERLINK("https://klasma.github.io/Logging_2184/klagomål/A 8157-2025 FSC-klagomål.docx", "A 8157-2025")</f>
        <v/>
      </c>
      <c r="AB87">
        <f>HYPERLINK("https://klasma.github.io/Logging_2184/klagomålsmail/A 8157-2025 FSC-klagomål mail.docx", "A 8157-2025")</f>
        <v/>
      </c>
      <c r="AC87">
        <f>HYPERLINK("https://klasma.github.io/Logging_2184/tillsyn/A 8157-2025 tillsynsbegäran.docx", "A 8157-2025")</f>
        <v/>
      </c>
      <c r="AD87">
        <f>HYPERLINK("https://klasma.github.io/Logging_2184/tillsynsmail/A 8157-2025 tillsynsbegäran mail.docx", "A 8157-2025")</f>
        <v/>
      </c>
    </row>
    <row r="88" ht="15" customHeight="1">
      <c r="A88" t="inlineStr">
        <is>
          <t>A 2482-2026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46037</v>
      </c>
      <c r="E88" s="1" t="n">
        <v>46272</v>
      </c>
      <c r="F88" t="inlineStr">
        <is>
          <t>GÄVLEBORGS LÄN</t>
        </is>
      </c>
      <c r="G88" t="inlineStr">
        <is>
          <t>HUDIKSVALL</t>
        </is>
      </c>
      <c r="I88" t="n">
        <v>6</v>
      </c>
      <c r="J88" t="n">
        <v>0</v>
      </c>
      <c r="K88" t="n">
        <v>0</v>
      </c>
      <c r="L88" t="n">
        <v>1</v>
      </c>
      <c r="M88" t="n">
        <v>0</v>
      </c>
      <c r="N88" t="n">
        <v>0</v>
      </c>
      <c r="O88" t="n">
        <v>0</v>
      </c>
      <c r="P88" t="n">
        <v>0</v>
      </c>
      <c r="Q88" t="n">
        <v>1</v>
      </c>
      <c r="R88" t="n">
        <v>0</v>
      </c>
      <c r="S88" t="n">
        <v>1</v>
      </c>
      <c r="T88" t="n">
        <v>2</v>
      </c>
      <c r="U88" t="n">
        <v>0</v>
      </c>
      <c r="V88" s="2" t="inlineStr">
        <is>
          <t>Violettgrå tagellav</t>
        </is>
      </c>
      <c r="W88">
        <f>HYPERLINK("https://klasma.github.io/Logging_2184/artfynd/A 2482-2026 artfynd.xlsx", "A 2482-2026")</f>
        <v/>
      </c>
      <c r="X88">
        <f>HYPERLINK("https://klasma.github.io/Logging_2184/kartor/A 2482-2026 karta.png", "A 2482-2026")</f>
        <v/>
      </c>
      <c r="Y88">
        <f>HYPERLINK("https://klasma.github.io/Logging_2184/kartor_geotiff/A 2482-2026 georefererad karta.tif", "A 2482-2026")</f>
        <v/>
      </c>
      <c r="AA88">
        <f>HYPERLINK("https://klasma.github.io/Logging_2184/klagomål/A 2482-2026 FSC-klagomål.docx", "A 2482-2026")</f>
        <v/>
      </c>
      <c r="AB88">
        <f>HYPERLINK("https://klasma.github.io/Logging_2184/klagomålsmail/A 2482-2026 FSC-klagomål mail.docx", "A 2482-2026")</f>
        <v/>
      </c>
      <c r="AC88">
        <f>HYPERLINK("https://klasma.github.io/Logging_2184/tillsyn/A 2482-2026 tillsynsbegäran.docx", "A 2482-2026")</f>
        <v/>
      </c>
      <c r="AD88">
        <f>HYPERLINK("https://klasma.github.io/Logging_2184/tillsynsmail/A 2482-2026 tillsynsbegäran mail.docx", "A 2482-2026")</f>
        <v/>
      </c>
    </row>
    <row r="89" ht="15" customHeight="1">
      <c r="A89" t="inlineStr">
        <is>
          <t>A 58239-2024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45632</v>
      </c>
      <c r="E89" s="1" t="n">
        <v>46272</v>
      </c>
      <c r="F89" t="inlineStr">
        <is>
          <t>GÄVLEBORGS LÄN</t>
        </is>
      </c>
      <c r="G89" t="inlineStr">
        <is>
          <t>HUDIKSVALL</t>
        </is>
      </c>
      <c r="H89" t="inlineStr">
        <is>
          <t>Holmen skog AB</t>
        </is>
      </c>
      <c r="I89" t="n">
        <v>4.3</v>
      </c>
      <c r="J89" t="n">
        <v>1</v>
      </c>
      <c r="K89" t="n">
        <v>0</v>
      </c>
      <c r="L89" t="n">
        <v>1</v>
      </c>
      <c r="M89" t="n">
        <v>0</v>
      </c>
      <c r="N89" t="n">
        <v>0</v>
      </c>
      <c r="O89" t="n">
        <v>0</v>
      </c>
      <c r="P89" t="n">
        <v>0</v>
      </c>
      <c r="Q89" t="n">
        <v>1</v>
      </c>
      <c r="R89" t="n">
        <v>0</v>
      </c>
      <c r="S89" t="n">
        <v>1</v>
      </c>
      <c r="T89" t="n">
        <v>1</v>
      </c>
      <c r="U89" t="n">
        <v>0</v>
      </c>
      <c r="V89" s="2" t="inlineStr">
        <is>
          <t>Kungsörn</t>
        </is>
      </c>
      <c r="W89">
        <f>HYPERLINK("https://klasma.github.io/Logging_2184/artfynd/A 58239-2024 artfynd.xlsx", "A 58239-2024")</f>
        <v/>
      </c>
      <c r="X89">
        <f>HYPERLINK("https://klasma.github.io/Logging_2184/kartor/A 58239-2024 karta.png", "A 58239-2024")</f>
        <v/>
      </c>
      <c r="Y89">
        <f>HYPERLINK("https://klasma.github.io/Logging_2184/kartor_geotiff/A 58239-2024 georefererad karta.tif", "A 58239-2024")</f>
        <v/>
      </c>
      <c r="AA89">
        <f>HYPERLINK("https://klasma.github.io/Logging_2184/klagomål/A 58239-2024 FSC-klagomål.docx", "A 58239-2024")</f>
        <v/>
      </c>
      <c r="AB89">
        <f>HYPERLINK("https://klasma.github.io/Logging_2184/klagomålsmail/A 58239-2024 FSC-klagomål mail.docx", "A 58239-2024")</f>
        <v/>
      </c>
      <c r="AC89">
        <f>HYPERLINK("https://klasma.github.io/Logging_2184/tillsyn/A 58239-2024 tillsynsbegäran.docx", "A 58239-2024")</f>
        <v/>
      </c>
      <c r="AD89">
        <f>HYPERLINK("https://klasma.github.io/Logging_2184/tillsynsmail/A 58239-2024 tillsynsbegäran mail.docx", "A 58239-2024")</f>
        <v/>
      </c>
      <c r="AE89">
        <f>HYPERLINK("https://klasma.github.io/Logging_2184/fåglar/A 58239-2024 prioriterade fågelarter.docx", "A 58239-2024")</f>
        <v/>
      </c>
    </row>
    <row r="90" ht="15" customHeight="1">
      <c r="A90" t="inlineStr">
        <is>
          <t>A 4473-2026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46045</v>
      </c>
      <c r="E90" s="1" t="n">
        <v>46272</v>
      </c>
      <c r="F90" t="inlineStr">
        <is>
          <t>GÄVLEBORGS LÄN</t>
        </is>
      </c>
      <c r="G90" t="inlineStr">
        <is>
          <t>HUDIKSVALL</t>
        </is>
      </c>
      <c r="I90" t="n">
        <v>6.6</v>
      </c>
      <c r="J90" t="n">
        <v>0</v>
      </c>
      <c r="K90" t="n">
        <v>1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1</v>
      </c>
      <c r="T90" t="n">
        <v>1</v>
      </c>
      <c r="U90" t="n">
        <v>0</v>
      </c>
      <c r="V90" s="2" t="inlineStr">
        <is>
          <t>Tibast</t>
        </is>
      </c>
      <c r="W90">
        <f>HYPERLINK("https://klasma.github.io/Logging_2184/artfynd/A 4473-2026 artfynd.xlsx", "A 4473-2026")</f>
        <v/>
      </c>
      <c r="X90">
        <f>HYPERLINK("https://klasma.github.io/Logging_2184/kartor/A 4473-2026 karta.png", "A 4473-2026")</f>
        <v/>
      </c>
      <c r="Y90">
        <f>HYPERLINK("https://klasma.github.io/Logging_2184/kartor_geotiff/A 4473-2026 georefererad karta.tif", "A 4473-2026")</f>
        <v/>
      </c>
      <c r="AA90">
        <f>HYPERLINK("https://klasma.github.io/Logging_2184/klagomål/A 4473-2026 FSC-klagomål.docx", "A 4473-2026")</f>
        <v/>
      </c>
      <c r="AB90">
        <f>HYPERLINK("https://klasma.github.io/Logging_2184/klagomålsmail/A 4473-2026 FSC-klagomål mail.docx", "A 4473-2026")</f>
        <v/>
      </c>
      <c r="AC90">
        <f>HYPERLINK("https://klasma.github.io/Logging_2184/tillsyn/A 4473-2026 tillsynsbegäran.docx", "A 4473-2026")</f>
        <v/>
      </c>
      <c r="AD90">
        <f>HYPERLINK("https://klasma.github.io/Logging_2184/tillsynsmail/A 4473-2026 tillsynsbegäran mail.docx", "A 4473-2026")</f>
        <v/>
      </c>
    </row>
    <row r="91" ht="15" customHeight="1">
      <c r="A91" t="inlineStr">
        <is>
          <t>A 4844-2026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46048</v>
      </c>
      <c r="E91" s="1" t="n">
        <v>46272</v>
      </c>
      <c r="F91" t="inlineStr">
        <is>
          <t>GÄVLEBORGS LÄN</t>
        </is>
      </c>
      <c r="G91" t="inlineStr">
        <is>
          <t>HUDIKSVALL</t>
        </is>
      </c>
      <c r="I91" t="n">
        <v>9.1</v>
      </c>
      <c r="J91" t="n">
        <v>0</v>
      </c>
      <c r="K91" t="n">
        <v>1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1</v>
      </c>
      <c r="T91" t="n">
        <v>1</v>
      </c>
      <c r="U91" t="n">
        <v>0</v>
      </c>
      <c r="V91" s="2" t="inlineStr">
        <is>
          <t>Skinnlav</t>
        </is>
      </c>
      <c r="W91">
        <f>HYPERLINK("https://klasma.github.io/Logging_2184/artfynd/A 4844-2026 artfynd.xlsx", "A 4844-2026")</f>
        <v/>
      </c>
      <c r="X91">
        <f>HYPERLINK("https://klasma.github.io/Logging_2184/kartor/A 4844-2026 karta.png", "A 4844-2026")</f>
        <v/>
      </c>
      <c r="Y91">
        <f>HYPERLINK("https://klasma.github.io/Logging_2184/kartor_geotiff/A 4844-2026 georefererad karta.tif", "A 4844-2026")</f>
        <v/>
      </c>
      <c r="AA91">
        <f>HYPERLINK("https://klasma.github.io/Logging_2184/klagomål/A 4844-2026 FSC-klagomål.docx", "A 4844-2026")</f>
        <v/>
      </c>
      <c r="AB91">
        <f>HYPERLINK("https://klasma.github.io/Logging_2184/klagomålsmail/A 4844-2026 FSC-klagomål mail.docx", "A 4844-2026")</f>
        <v/>
      </c>
      <c r="AC91">
        <f>HYPERLINK("https://klasma.github.io/Logging_2184/tillsyn/A 4844-2026 tillsynsbegäran.docx", "A 4844-2026")</f>
        <v/>
      </c>
      <c r="AD91">
        <f>HYPERLINK("https://klasma.github.io/Logging_2184/tillsynsmail/A 4844-2026 tillsynsbegäran mail.docx", "A 4844-2026")</f>
        <v/>
      </c>
    </row>
    <row r="92" ht="15" customHeight="1">
      <c r="A92" t="inlineStr">
        <is>
          <t>A 41494-2024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45560</v>
      </c>
      <c r="E92" s="1" t="n">
        <v>46272</v>
      </c>
      <c r="F92" t="inlineStr">
        <is>
          <t>GÄVLEBORGS LÄN</t>
        </is>
      </c>
      <c r="G92" t="inlineStr">
        <is>
          <t>HUDIKSVALL</t>
        </is>
      </c>
      <c r="H92" t="inlineStr">
        <is>
          <t>Holmen skog AB</t>
        </is>
      </c>
      <c r="I92" t="n">
        <v>20.9</v>
      </c>
      <c r="J92" t="n">
        <v>0</v>
      </c>
      <c r="K92" t="n">
        <v>0</v>
      </c>
      <c r="L92" t="n">
        <v>1</v>
      </c>
      <c r="M92" t="n">
        <v>0</v>
      </c>
      <c r="N92" t="n">
        <v>0</v>
      </c>
      <c r="O92" t="n">
        <v>0</v>
      </c>
      <c r="P92" t="n">
        <v>0</v>
      </c>
      <c r="Q92" t="n">
        <v>1</v>
      </c>
      <c r="R92" t="n">
        <v>0</v>
      </c>
      <c r="S92" t="n">
        <v>1</v>
      </c>
      <c r="T92" t="n">
        <v>1</v>
      </c>
      <c r="U92" t="n">
        <v>0</v>
      </c>
      <c r="V92" s="2" t="inlineStr">
        <is>
          <t>Lunglav</t>
        </is>
      </c>
      <c r="W92">
        <f>HYPERLINK("https://klasma.github.io/Logging_2184/artfynd/A 41494-2024 artfynd.xlsx", "A 41494-2024")</f>
        <v/>
      </c>
      <c r="X92">
        <f>HYPERLINK("https://klasma.github.io/Logging_2184/kartor/A 41494-2024 karta.png", "A 41494-2024")</f>
        <v/>
      </c>
      <c r="Y92">
        <f>HYPERLINK("https://klasma.github.io/Logging_2184/kartor_geotiff/A 41494-2024 georefererad karta.tif", "A 41494-2024")</f>
        <v/>
      </c>
      <c r="AA92">
        <f>HYPERLINK("https://klasma.github.io/Logging_2184/klagomål/A 41494-2024 FSC-klagomål.docx", "A 41494-2024")</f>
        <v/>
      </c>
      <c r="AB92">
        <f>HYPERLINK("https://klasma.github.io/Logging_2184/klagomålsmail/A 41494-2024 FSC-klagomål mail.docx", "A 41494-2024")</f>
        <v/>
      </c>
      <c r="AC92">
        <f>HYPERLINK("https://klasma.github.io/Logging_2184/tillsyn/A 41494-2024 tillsynsbegäran.docx", "A 41494-2024")</f>
        <v/>
      </c>
      <c r="AD92">
        <f>HYPERLINK("https://klasma.github.io/Logging_2184/tillsynsmail/A 41494-2024 tillsynsbegäran mail.docx", "A 41494-2024")</f>
        <v/>
      </c>
    </row>
    <row r="93" ht="15" customHeight="1">
      <c r="A93" t="inlineStr">
        <is>
          <t>A 2739-2025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45677</v>
      </c>
      <c r="E93" s="1" t="n">
        <v>46272</v>
      </c>
      <c r="F93" t="inlineStr">
        <is>
          <t>GÄVLEBORGS LÄN</t>
        </is>
      </c>
      <c r="G93" t="inlineStr">
        <is>
          <t>HUDIKSVALL</t>
        </is>
      </c>
      <c r="I93" t="n">
        <v>0.7</v>
      </c>
      <c r="J93" t="n">
        <v>1</v>
      </c>
      <c r="K93" t="n">
        <v>0</v>
      </c>
      <c r="L93" t="n">
        <v>1</v>
      </c>
      <c r="M93" t="n">
        <v>0</v>
      </c>
      <c r="N93" t="n">
        <v>0</v>
      </c>
      <c r="O93" t="n">
        <v>0</v>
      </c>
      <c r="P93" t="n">
        <v>0</v>
      </c>
      <c r="Q93" t="n">
        <v>1</v>
      </c>
      <c r="R93" t="n">
        <v>0</v>
      </c>
      <c r="S93" t="n">
        <v>1</v>
      </c>
      <c r="T93" t="n">
        <v>1</v>
      </c>
      <c r="U93" t="n">
        <v>1</v>
      </c>
      <c r="V93" s="2" t="inlineStr">
        <is>
          <t>Talltita</t>
        </is>
      </c>
      <c r="W93">
        <f>HYPERLINK("https://klasma.github.io/Logging_2184/artfynd/A 2739-2025 artfynd.xlsx", "A 2739-2025")</f>
        <v/>
      </c>
      <c r="X93">
        <f>HYPERLINK("https://klasma.github.io/Logging_2184/kartor/A 2739-2025 karta.png", "A 2739-2025")</f>
        <v/>
      </c>
      <c r="Y93">
        <f>HYPERLINK("https://klasma.github.io/Logging_2184/kartor_geotiff/A 2739-2025 georefererad karta.tif", "A 2739-2025")</f>
        <v/>
      </c>
      <c r="AA93">
        <f>HYPERLINK("https://klasma.github.io/Logging_2184/klagomål/A 2739-2025 FSC-klagomål.docx", "A 2739-2025")</f>
        <v/>
      </c>
      <c r="AB93">
        <f>HYPERLINK("https://klasma.github.io/Logging_2184/klagomålsmail/A 2739-2025 FSC-klagomål mail.docx", "A 2739-2025")</f>
        <v/>
      </c>
      <c r="AC93">
        <f>HYPERLINK("https://klasma.github.io/Logging_2184/tillsyn/A 2739-2025 tillsynsbegäran.docx", "A 2739-2025")</f>
        <v/>
      </c>
      <c r="AD93">
        <f>HYPERLINK("https://klasma.github.io/Logging_2184/tillsynsmail/A 2739-2025 tillsynsbegäran mail.docx", "A 2739-2025")</f>
        <v/>
      </c>
      <c r="AE93">
        <f>HYPERLINK("https://klasma.github.io/Logging_2184/fåglar/A 2739-2025 prioriterade fågelarter.docx", "A 2739-2025")</f>
        <v/>
      </c>
    </row>
    <row r="94" ht="15" customHeight="1">
      <c r="A94" t="inlineStr">
        <is>
          <t>A 7053-2026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46057</v>
      </c>
      <c r="E94" s="1" t="n">
        <v>46272</v>
      </c>
      <c r="F94" t="inlineStr">
        <is>
          <t>GÄVLEBORGS LÄN</t>
        </is>
      </c>
      <c r="G94" t="inlineStr">
        <is>
          <t>HUDIKSVALL</t>
        </is>
      </c>
      <c r="H94" t="inlineStr">
        <is>
          <t>Holmen skog AB</t>
        </is>
      </c>
      <c r="I94" t="n">
        <v>2.5</v>
      </c>
      <c r="J94" t="n">
        <v>0</v>
      </c>
      <c r="K94" t="n">
        <v>1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1</v>
      </c>
      <c r="T94" t="n">
        <v>1</v>
      </c>
      <c r="U94" t="n">
        <v>0</v>
      </c>
      <c r="V94" s="2" t="inlineStr">
        <is>
          <t>Stuplav</t>
        </is>
      </c>
      <c r="W94">
        <f>HYPERLINK("https://klasma.github.io/Logging_2184/artfynd/A 7053-2026 artfynd.xlsx", "A 7053-2026")</f>
        <v/>
      </c>
      <c r="X94">
        <f>HYPERLINK("https://klasma.github.io/Logging_2184/kartor/A 7053-2026 karta.png", "A 7053-2026")</f>
        <v/>
      </c>
      <c r="Y94">
        <f>HYPERLINK("https://klasma.github.io/Logging_2184/kartor_geotiff/A 7053-2026 georefererad karta.tif", "A 7053-2026")</f>
        <v/>
      </c>
      <c r="AA94">
        <f>HYPERLINK("https://klasma.github.io/Logging_2184/klagomål/A 7053-2026 FSC-klagomål.docx", "A 7053-2026")</f>
        <v/>
      </c>
      <c r="AB94">
        <f>HYPERLINK("https://klasma.github.io/Logging_2184/klagomålsmail/A 7053-2026 FSC-klagomål mail.docx", "A 7053-2026")</f>
        <v/>
      </c>
      <c r="AC94">
        <f>HYPERLINK("https://klasma.github.io/Logging_2184/tillsyn/A 7053-2026 tillsynsbegäran.docx", "A 7053-2026")</f>
        <v/>
      </c>
      <c r="AD94">
        <f>HYPERLINK("https://klasma.github.io/Logging_2184/tillsynsmail/A 7053-2026 tillsynsbegäran mail.docx", "A 7053-2026")</f>
        <v/>
      </c>
    </row>
    <row r="95" ht="15" customHeight="1">
      <c r="A95" t="inlineStr">
        <is>
          <t>A 5983-2025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45695</v>
      </c>
      <c r="E95" s="1" t="n">
        <v>46272</v>
      </c>
      <c r="F95" t="inlineStr">
        <is>
          <t>GÄVLEBORGS LÄN</t>
        </is>
      </c>
      <c r="G95" t="inlineStr">
        <is>
          <t>HUDIKSVALL</t>
        </is>
      </c>
      <c r="I95" t="n">
        <v>3.9</v>
      </c>
      <c r="J95" t="n">
        <v>1</v>
      </c>
      <c r="K95" t="n">
        <v>0</v>
      </c>
      <c r="L95" t="n">
        <v>1</v>
      </c>
      <c r="M95" t="n">
        <v>0</v>
      </c>
      <c r="N95" t="n">
        <v>0</v>
      </c>
      <c r="O95" t="n">
        <v>0</v>
      </c>
      <c r="P95" t="n">
        <v>0</v>
      </c>
      <c r="Q95" t="n">
        <v>1</v>
      </c>
      <c r="R95" t="n">
        <v>0</v>
      </c>
      <c r="S95" t="n">
        <v>1</v>
      </c>
      <c r="T95" t="n">
        <v>1</v>
      </c>
      <c r="U95" t="n">
        <v>0</v>
      </c>
      <c r="V95" s="2" t="inlineStr">
        <is>
          <t>Jorduggla</t>
        </is>
      </c>
      <c r="W95">
        <f>HYPERLINK("https://klasma.github.io/Logging_2184/artfynd/A 5983-2025 artfynd.xlsx", "A 5983-2025")</f>
        <v/>
      </c>
      <c r="X95">
        <f>HYPERLINK("https://klasma.github.io/Logging_2184/kartor/A 5983-2025 karta.png", "A 5983-2025")</f>
        <v/>
      </c>
      <c r="Y95">
        <f>HYPERLINK("https://klasma.github.io/Logging_2184/kartor_geotiff/A 5983-2025 georefererad karta.tif", "A 5983-2025")</f>
        <v/>
      </c>
      <c r="AA95">
        <f>HYPERLINK("https://klasma.github.io/Logging_2184/klagomål/A 5983-2025 FSC-klagomål.docx", "A 5983-2025")</f>
        <v/>
      </c>
      <c r="AB95">
        <f>HYPERLINK("https://klasma.github.io/Logging_2184/klagomålsmail/A 5983-2025 FSC-klagomål mail.docx", "A 5983-2025")</f>
        <v/>
      </c>
      <c r="AC95">
        <f>HYPERLINK("https://klasma.github.io/Logging_2184/tillsyn/A 5983-2025 tillsynsbegäran.docx", "A 5983-2025")</f>
        <v/>
      </c>
      <c r="AD95">
        <f>HYPERLINK("https://klasma.github.io/Logging_2184/tillsynsmail/A 5983-2025 tillsynsbegäran mail.docx", "A 5983-2025")</f>
        <v/>
      </c>
      <c r="AE95">
        <f>HYPERLINK("https://klasma.github.io/Logging_2184/fåglar/A 5983-2025 prioriterade fågelarter.docx", "A 5983-2025")</f>
        <v/>
      </c>
    </row>
    <row r="96" ht="15" customHeight="1">
      <c r="A96" t="inlineStr">
        <is>
          <t>A 19427-2025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45769</v>
      </c>
      <c r="E96" s="1" t="n">
        <v>46272</v>
      </c>
      <c r="F96" t="inlineStr">
        <is>
          <t>GÄVLEBORGS LÄN</t>
        </is>
      </c>
      <c r="G96" t="inlineStr">
        <is>
          <t>HUDIKSVALL</t>
        </is>
      </c>
      <c r="H96" t="inlineStr">
        <is>
          <t>Holmen skog AB</t>
        </is>
      </c>
      <c r="I96" t="n">
        <v>3.1</v>
      </c>
      <c r="J96" t="n">
        <v>0</v>
      </c>
      <c r="K96" t="n">
        <v>0</v>
      </c>
      <c r="L96" t="n">
        <v>0</v>
      </c>
      <c r="M96" t="n">
        <v>1</v>
      </c>
      <c r="N96" t="n">
        <v>0</v>
      </c>
      <c r="O96" t="n">
        <v>0</v>
      </c>
      <c r="P96" t="n">
        <v>0</v>
      </c>
      <c r="Q96" t="n">
        <v>1</v>
      </c>
      <c r="R96" t="n">
        <v>1</v>
      </c>
      <c r="S96" t="n">
        <v>1</v>
      </c>
      <c r="T96" t="n">
        <v>2</v>
      </c>
      <c r="U96" t="n">
        <v>2</v>
      </c>
      <c r="V96" s="2" t="inlineStr">
        <is>
          <t>Garnlav</t>
        </is>
      </c>
      <c r="W96">
        <f>HYPERLINK("https://klasma.github.io/Logging_2184/artfynd/A 19427-2025 artfynd.xlsx", "A 19427-2025")</f>
        <v/>
      </c>
      <c r="X96">
        <f>HYPERLINK("https://klasma.github.io/Logging_2184/kartor/A 19427-2025 karta.png", "A 19427-2025")</f>
        <v/>
      </c>
      <c r="Y96">
        <f>HYPERLINK("https://klasma.github.io/Logging_2184/kartor_geotiff/A 19427-2025 georefererad karta.tif", "A 19427-2025")</f>
        <v/>
      </c>
      <c r="AA96">
        <f>HYPERLINK("https://klasma.github.io/Logging_2184/klagomål/A 19427-2025 FSC-klagomål.docx", "A 19427-2025")</f>
        <v/>
      </c>
      <c r="AB96">
        <f>HYPERLINK("https://klasma.github.io/Logging_2184/klagomålsmail/A 19427-2025 FSC-klagomål mail.docx", "A 19427-2025")</f>
        <v/>
      </c>
      <c r="AC96">
        <f>HYPERLINK("https://klasma.github.io/Logging_2184/tillsyn/A 19427-2025 tillsynsbegäran.docx", "A 19427-2025")</f>
        <v/>
      </c>
      <c r="AD96">
        <f>HYPERLINK("https://klasma.github.io/Logging_2184/tillsynsmail/A 19427-2025 tillsynsbegäran mail.docx", "A 19427-2025")</f>
        <v/>
      </c>
    </row>
    <row r="97" ht="15" customHeight="1">
      <c r="A97" t="inlineStr">
        <is>
          <t>A 51760-2025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45951</v>
      </c>
      <c r="E97" s="1" t="n">
        <v>46272</v>
      </c>
      <c r="F97" t="inlineStr">
        <is>
          <t>GÄVLEBORGS LÄN</t>
        </is>
      </c>
      <c r="G97" t="inlineStr">
        <is>
          <t>HUDIKSVALL</t>
        </is>
      </c>
      <c r="I97" t="n">
        <v>2.7</v>
      </c>
      <c r="J97" t="n">
        <v>1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1</v>
      </c>
      <c r="T97" t="n">
        <v>1</v>
      </c>
      <c r="U97" t="n">
        <v>0</v>
      </c>
      <c r="V97" s="2" t="inlineStr">
        <is>
          <t>Vanlig groda</t>
        </is>
      </c>
      <c r="W97">
        <f>HYPERLINK("https://klasma.github.io/Logging_2184/artfynd/A 51760-2025 artfynd.xlsx", "A 51760-2025")</f>
        <v/>
      </c>
      <c r="X97">
        <f>HYPERLINK("https://klasma.github.io/Logging_2184/kartor/A 51760-2025 karta.png", "A 51760-2025")</f>
        <v/>
      </c>
      <c r="Y97">
        <f>HYPERLINK("https://klasma.github.io/Logging_2184/kartor_geotiff/A 51760-2025 georefererad karta.tif", "A 51760-2025")</f>
        <v/>
      </c>
      <c r="AA97">
        <f>HYPERLINK("https://klasma.github.io/Logging_2184/klagomål/A 51760-2025 FSC-klagomål.docx", "A 51760-2025")</f>
        <v/>
      </c>
      <c r="AB97">
        <f>HYPERLINK("https://klasma.github.io/Logging_2184/klagomålsmail/A 51760-2025 FSC-klagomål mail.docx", "A 51760-2025")</f>
        <v/>
      </c>
      <c r="AC97">
        <f>HYPERLINK("https://klasma.github.io/Logging_2184/tillsyn/A 51760-2025 tillsynsbegäran.docx", "A 51760-2025")</f>
        <v/>
      </c>
      <c r="AD97">
        <f>HYPERLINK("https://klasma.github.io/Logging_2184/tillsynsmail/A 51760-2025 tillsynsbegäran mail.docx", "A 51760-2025")</f>
        <v/>
      </c>
    </row>
    <row r="98" ht="15" customHeight="1">
      <c r="A98" t="inlineStr">
        <is>
          <t>A 47116-2024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45586</v>
      </c>
      <c r="E98" s="1" t="n">
        <v>46272</v>
      </c>
      <c r="F98" t="inlineStr">
        <is>
          <t>GÄVLEBORGS LÄN</t>
        </is>
      </c>
      <c r="G98" t="inlineStr">
        <is>
          <t>HUDIKSVALL</t>
        </is>
      </c>
      <c r="H98" t="inlineStr">
        <is>
          <t>Holmen skog AB</t>
        </is>
      </c>
      <c r="I98" t="n">
        <v>0.6</v>
      </c>
      <c r="J98" t="n">
        <v>0</v>
      </c>
      <c r="K98" t="n">
        <v>1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1</v>
      </c>
      <c r="T98" t="n">
        <v>1</v>
      </c>
      <c r="U98" t="n">
        <v>0</v>
      </c>
      <c r="V98" s="2" t="inlineStr">
        <is>
          <t>Mörk husmossa</t>
        </is>
      </c>
      <c r="W98">
        <f>HYPERLINK("https://klasma.github.io/Logging_2184/artfynd/A 47116-2024 artfynd.xlsx", "A 47116-2024")</f>
        <v/>
      </c>
      <c r="X98">
        <f>HYPERLINK("https://klasma.github.io/Logging_2184/kartor/A 47116-2024 karta.png", "A 47116-2024")</f>
        <v/>
      </c>
      <c r="Y98">
        <f>HYPERLINK("https://klasma.github.io/Logging_2184/kartor_geotiff/A 47116-2024 georefererad karta.tif", "A 47116-2024")</f>
        <v/>
      </c>
      <c r="AA98">
        <f>HYPERLINK("https://klasma.github.io/Logging_2184/klagomål/A 47116-2024 FSC-klagomål.docx", "A 47116-2024")</f>
        <v/>
      </c>
      <c r="AB98">
        <f>HYPERLINK("https://klasma.github.io/Logging_2184/klagomålsmail/A 47116-2024 FSC-klagomål mail.docx", "A 47116-2024")</f>
        <v/>
      </c>
      <c r="AC98">
        <f>HYPERLINK("https://klasma.github.io/Logging_2184/tillsyn/A 47116-2024 tillsynsbegäran.docx", "A 47116-2024")</f>
        <v/>
      </c>
      <c r="AD98">
        <f>HYPERLINK("https://klasma.github.io/Logging_2184/tillsynsmail/A 47116-2024 tillsynsbegäran mail.docx", "A 47116-2024")</f>
        <v/>
      </c>
    </row>
    <row r="99" ht="15" customHeight="1">
      <c r="A99" t="inlineStr">
        <is>
          <t>A 4107-2026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46044</v>
      </c>
      <c r="E99" s="1" t="n">
        <v>46272</v>
      </c>
      <c r="F99" t="inlineStr">
        <is>
          <t>GÄVLEBORGS LÄN</t>
        </is>
      </c>
      <c r="G99" t="inlineStr">
        <is>
          <t>HUDIKSVALL</t>
        </is>
      </c>
      <c r="I99" t="n">
        <v>0.9</v>
      </c>
      <c r="J99" t="n">
        <v>1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1</v>
      </c>
      <c r="T99" t="n">
        <v>1</v>
      </c>
      <c r="U99" t="n">
        <v>0</v>
      </c>
      <c r="V99" s="2" t="inlineStr">
        <is>
          <t>Järpe</t>
        </is>
      </c>
      <c r="W99">
        <f>HYPERLINK("https://klasma.github.io/Logging_2184/artfynd/A 4107-2026 artfynd.xlsx", "A 4107-2026")</f>
        <v/>
      </c>
      <c r="X99">
        <f>HYPERLINK("https://klasma.github.io/Logging_2184/kartor/A 4107-2026 karta.png", "A 4107-2026")</f>
        <v/>
      </c>
      <c r="Y99">
        <f>HYPERLINK("https://klasma.github.io/Logging_2184/kartor_geotiff/A 4107-2026 georefererad karta.tif", "A 4107-2026")</f>
        <v/>
      </c>
      <c r="AA99">
        <f>HYPERLINK("https://klasma.github.io/Logging_2184/klagomål/A 4107-2026 FSC-klagomål.docx", "A 4107-2026")</f>
        <v/>
      </c>
      <c r="AB99">
        <f>HYPERLINK("https://klasma.github.io/Logging_2184/klagomålsmail/A 4107-2026 FSC-klagomål mail.docx", "A 4107-2026")</f>
        <v/>
      </c>
      <c r="AC99">
        <f>HYPERLINK("https://klasma.github.io/Logging_2184/tillsyn/A 4107-2026 tillsynsbegäran.docx", "A 4107-2026")</f>
        <v/>
      </c>
      <c r="AD99">
        <f>HYPERLINK("https://klasma.github.io/Logging_2184/tillsynsmail/A 4107-2026 tillsynsbegäran mail.docx", "A 4107-2026")</f>
        <v/>
      </c>
      <c r="AE99">
        <f>HYPERLINK("https://klasma.github.io/Logging_2184/fåglar/A 4107-2026 prioriterade fågelarter.docx", "A 4107-2026")</f>
        <v/>
      </c>
    </row>
    <row r="100" ht="15" customHeight="1">
      <c r="A100" t="inlineStr">
        <is>
          <t>A 20640-2026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46141</v>
      </c>
      <c r="E100" s="1" t="n">
        <v>46272</v>
      </c>
      <c r="F100" t="inlineStr">
        <is>
          <t>GÄVLEBORGS LÄN</t>
        </is>
      </c>
      <c r="G100" t="inlineStr">
        <is>
          <t>HUDIKSVALL</t>
        </is>
      </c>
      <c r="H100" t="inlineStr">
        <is>
          <t>Holmen skog AB</t>
        </is>
      </c>
      <c r="I100" t="n">
        <v>6.8</v>
      </c>
      <c r="J100" t="n">
        <v>1</v>
      </c>
      <c r="K100" t="n">
        <v>0</v>
      </c>
      <c r="L100" t="n">
        <v>0</v>
      </c>
      <c r="M100" t="n">
        <v>1</v>
      </c>
      <c r="N100" t="n">
        <v>0</v>
      </c>
      <c r="O100" t="n">
        <v>0</v>
      </c>
      <c r="P100" t="n">
        <v>0</v>
      </c>
      <c r="Q100" t="n">
        <v>1</v>
      </c>
      <c r="R100" t="n">
        <v>1</v>
      </c>
      <c r="S100" t="n">
        <v>1</v>
      </c>
      <c r="T100" t="n">
        <v>1</v>
      </c>
      <c r="U100" t="n">
        <v>0</v>
      </c>
      <c r="V100" s="2" t="inlineStr">
        <is>
          <t>Knärot</t>
        </is>
      </c>
      <c r="W100">
        <f>HYPERLINK("https://klasma.github.io/Logging_2184/artfynd/A 20640-2026 artfynd.xlsx", "A 20640-2026")</f>
        <v/>
      </c>
      <c r="X100">
        <f>HYPERLINK("https://klasma.github.io/Logging_2184/kartor/A 20640-2026 karta.png", "A 20640-2026")</f>
        <v/>
      </c>
      <c r="Y100">
        <f>HYPERLINK("https://klasma.github.io/Logging_2184/kartor_geotiff/A 20640-2026 georefererad karta.tif", "A 20640-2026")</f>
        <v/>
      </c>
      <c r="Z100">
        <f>HYPERLINK("https://klasma.github.io/Logging_2184/knärot/A 20640-2026 karta knärot.png", "A 20640-2026")</f>
        <v/>
      </c>
      <c r="AA100">
        <f>HYPERLINK("https://klasma.github.io/Logging_2184/klagomål/A 20640-2026 FSC-klagomål.docx", "A 20640-2026")</f>
        <v/>
      </c>
      <c r="AB100">
        <f>HYPERLINK("https://klasma.github.io/Logging_2184/klagomålsmail/A 20640-2026 FSC-klagomål mail.docx", "A 20640-2026")</f>
        <v/>
      </c>
      <c r="AC100">
        <f>HYPERLINK("https://klasma.github.io/Logging_2184/tillsyn/A 20640-2026 tillsynsbegäran.docx", "A 20640-2026")</f>
        <v/>
      </c>
      <c r="AD100">
        <f>HYPERLINK("https://klasma.github.io/Logging_2184/tillsynsmail/A 20640-2026 tillsynsbegäran mail.docx", "A 20640-2026")</f>
        <v/>
      </c>
    </row>
    <row r="101" ht="15" customHeight="1">
      <c r="A101" t="inlineStr">
        <is>
          <t>A 31802-2025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45834</v>
      </c>
      <c r="E101" s="1" t="n">
        <v>46272</v>
      </c>
      <c r="F101" t="inlineStr">
        <is>
          <t>GÄVLEBORGS LÄN</t>
        </is>
      </c>
      <c r="G101" t="inlineStr">
        <is>
          <t>HUDIKSVALL</t>
        </is>
      </c>
      <c r="I101" t="n">
        <v>2.2</v>
      </c>
      <c r="J101" t="n">
        <v>0</v>
      </c>
      <c r="K101" t="n">
        <v>1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1</v>
      </c>
      <c r="T101" t="n">
        <v>1</v>
      </c>
      <c r="U101" t="n">
        <v>0</v>
      </c>
      <c r="V101" s="2" t="inlineStr">
        <is>
          <t>Stor aspticka</t>
        </is>
      </c>
      <c r="W101">
        <f>HYPERLINK("https://klasma.github.io/Logging_2184/artfynd/A 31802-2025 artfynd.xlsx", "A 31802-2025")</f>
        <v/>
      </c>
      <c r="X101">
        <f>HYPERLINK("https://klasma.github.io/Logging_2184/kartor/A 31802-2025 karta.png", "A 31802-2025")</f>
        <v/>
      </c>
      <c r="Y101">
        <f>HYPERLINK("https://klasma.github.io/Logging_2184/kartor_geotiff/A 31802-2025 georefererad karta.tif", "A 31802-2025")</f>
        <v/>
      </c>
      <c r="AA101">
        <f>HYPERLINK("https://klasma.github.io/Logging_2184/klagomål/A 31802-2025 FSC-klagomål.docx", "A 31802-2025")</f>
        <v/>
      </c>
      <c r="AB101">
        <f>HYPERLINK("https://klasma.github.io/Logging_2184/klagomålsmail/A 31802-2025 FSC-klagomål mail.docx", "A 31802-2025")</f>
        <v/>
      </c>
      <c r="AC101">
        <f>HYPERLINK("https://klasma.github.io/Logging_2184/tillsyn/A 31802-2025 tillsynsbegäran.docx", "A 31802-2025")</f>
        <v/>
      </c>
      <c r="AD101">
        <f>HYPERLINK("https://klasma.github.io/Logging_2184/tillsynsmail/A 31802-2025 tillsynsbegäran mail.docx", "A 31802-2025")</f>
        <v/>
      </c>
    </row>
    <row r="102" ht="15" customHeight="1">
      <c r="A102" t="inlineStr">
        <is>
          <t>A 25145-2024</t>
        </is>
      </c>
      <c r="B102" t="inlineStr">
        <is>
          <t>avverkningsanmälan</t>
        </is>
      </c>
      <c r="C102" t="inlineStr">
        <is>
          <t>Avverkning för att bevara och utveckla /försöksver</t>
        </is>
      </c>
      <c r="D102" s="1" t="n">
        <v>45462</v>
      </c>
      <c r="E102" s="1" t="n">
        <v>46272</v>
      </c>
      <c r="F102" t="inlineStr">
        <is>
          <t>GÄVLEBORGS LÄN</t>
        </is>
      </c>
      <c r="G102" t="inlineStr">
        <is>
          <t>HUDIKSVALL</t>
        </is>
      </c>
      <c r="H102" t="inlineStr">
        <is>
          <t>Sveaskog</t>
        </is>
      </c>
      <c r="I102" t="n">
        <v>2.3</v>
      </c>
      <c r="J102" t="n">
        <v>1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1</v>
      </c>
      <c r="T102" t="n">
        <v>1</v>
      </c>
      <c r="U102" t="n">
        <v>0</v>
      </c>
      <c r="V102" s="2" t="inlineStr">
        <is>
          <t>Skogsödla</t>
        </is>
      </c>
      <c r="W102">
        <f>HYPERLINK("https://klasma.github.io/Logging_2184/artfynd/A 25145-2024 artfynd.xlsx", "A 25145-2024")</f>
        <v/>
      </c>
      <c r="X102">
        <f>HYPERLINK("https://klasma.github.io/Logging_2184/kartor/A 25145-2024 karta.png", "A 25145-2024")</f>
        <v/>
      </c>
      <c r="Y102">
        <f>HYPERLINK("https://klasma.github.io/Logging_2184/kartor_geotiff/A 25145-2024 georefererad karta.tif", "A 25145-2024")</f>
        <v/>
      </c>
      <c r="AA102">
        <f>HYPERLINK("https://klasma.github.io/Logging_2184/klagomål/A 25145-2024 FSC-klagomål.docx", "A 25145-2024")</f>
        <v/>
      </c>
      <c r="AB102">
        <f>HYPERLINK("https://klasma.github.io/Logging_2184/klagomålsmail/A 25145-2024 FSC-klagomål mail.docx", "A 25145-2024")</f>
        <v/>
      </c>
      <c r="AC102">
        <f>HYPERLINK("https://klasma.github.io/Logging_2184/tillsyn/A 25145-2024 tillsynsbegäran.docx", "A 25145-2024")</f>
        <v/>
      </c>
      <c r="AD102">
        <f>HYPERLINK("https://klasma.github.io/Logging_2184/tillsynsmail/A 25145-2024 tillsynsbegäran mail.docx", "A 25145-2024")</f>
        <v/>
      </c>
    </row>
    <row r="103" ht="15" customHeight="1">
      <c r="A103" t="inlineStr">
        <is>
          <t>A 5977-2025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45695</v>
      </c>
      <c r="E103" s="1" t="n">
        <v>46272</v>
      </c>
      <c r="F103" t="inlineStr">
        <is>
          <t>GÄVLEBORGS LÄN</t>
        </is>
      </c>
      <c r="G103" t="inlineStr">
        <is>
          <t>HUDIKSVALL</t>
        </is>
      </c>
      <c r="I103" t="n">
        <v>4.9</v>
      </c>
      <c r="J103" t="n">
        <v>1</v>
      </c>
      <c r="K103" t="n">
        <v>0</v>
      </c>
      <c r="L103" t="n">
        <v>1</v>
      </c>
      <c r="M103" t="n">
        <v>0</v>
      </c>
      <c r="N103" t="n">
        <v>0</v>
      </c>
      <c r="O103" t="n">
        <v>0</v>
      </c>
      <c r="P103" t="n">
        <v>0</v>
      </c>
      <c r="Q103" t="n">
        <v>1</v>
      </c>
      <c r="R103" t="n">
        <v>0</v>
      </c>
      <c r="S103" t="n">
        <v>1</v>
      </c>
      <c r="T103" t="n">
        <v>1</v>
      </c>
      <c r="U103" t="n">
        <v>0</v>
      </c>
      <c r="V103" s="2" t="inlineStr">
        <is>
          <t>Jorduggla</t>
        </is>
      </c>
      <c r="W103">
        <f>HYPERLINK("https://klasma.github.io/Logging_2184/artfynd/A 5977-2025 artfynd.xlsx", "A 5977-2025")</f>
        <v/>
      </c>
      <c r="X103">
        <f>HYPERLINK("https://klasma.github.io/Logging_2184/kartor/A 5977-2025 karta.png", "A 5977-2025")</f>
        <v/>
      </c>
      <c r="Y103">
        <f>HYPERLINK("https://klasma.github.io/Logging_2184/kartor_geotiff/A 5977-2025 georefererad karta.tif", "A 5977-2025")</f>
        <v/>
      </c>
      <c r="AA103">
        <f>HYPERLINK("https://klasma.github.io/Logging_2184/klagomål/A 5977-2025 FSC-klagomål.docx", "A 5977-2025")</f>
        <v/>
      </c>
      <c r="AB103">
        <f>HYPERLINK("https://klasma.github.io/Logging_2184/klagomålsmail/A 5977-2025 FSC-klagomål mail.docx", "A 5977-2025")</f>
        <v/>
      </c>
      <c r="AC103">
        <f>HYPERLINK("https://klasma.github.io/Logging_2184/tillsyn/A 5977-2025 tillsynsbegäran.docx", "A 5977-2025")</f>
        <v/>
      </c>
      <c r="AD103">
        <f>HYPERLINK("https://klasma.github.io/Logging_2184/tillsynsmail/A 5977-2025 tillsynsbegäran mail.docx", "A 5977-2025")</f>
        <v/>
      </c>
      <c r="AE103">
        <f>HYPERLINK("https://klasma.github.io/Logging_2184/fåglar/A 5977-2025 prioriterade fågelarter.docx", "A 5977-2025")</f>
        <v/>
      </c>
    </row>
    <row r="104" ht="15" customHeight="1">
      <c r="A104" t="inlineStr">
        <is>
          <t>A 8051-2024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45351</v>
      </c>
      <c r="E104" s="1" t="n">
        <v>46272</v>
      </c>
      <c r="F104" t="inlineStr">
        <is>
          <t>GÄVLEBORGS LÄN</t>
        </is>
      </c>
      <c r="G104" t="inlineStr">
        <is>
          <t>HUDIKSVALL</t>
        </is>
      </c>
      <c r="H104" t="inlineStr">
        <is>
          <t>Holmen skog AB</t>
        </is>
      </c>
      <c r="I104" t="n">
        <v>12.9</v>
      </c>
      <c r="J104" t="n">
        <v>0</v>
      </c>
      <c r="K104" t="n">
        <v>1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1</v>
      </c>
      <c r="T104" t="n">
        <v>1</v>
      </c>
      <c r="U104" t="n">
        <v>1</v>
      </c>
      <c r="V104" s="2" t="inlineStr">
        <is>
          <t>Bronshjon</t>
        </is>
      </c>
      <c r="W104">
        <f>HYPERLINK("https://klasma.github.io/Logging_2184/artfynd/A 8051-2024 artfynd.xlsx", "A 8051-2024")</f>
        <v/>
      </c>
      <c r="X104">
        <f>HYPERLINK("https://klasma.github.io/Logging_2184/kartor/A 8051-2024 karta.png", "A 8051-2024")</f>
        <v/>
      </c>
      <c r="Y104">
        <f>HYPERLINK("https://klasma.github.io/Logging_2184/kartor_geotiff/A 8051-2024 georefererad karta.tif", "A 8051-2024")</f>
        <v/>
      </c>
      <c r="AA104">
        <f>HYPERLINK("https://klasma.github.io/Logging_2184/klagomål/A 8051-2024 FSC-klagomål.docx", "A 8051-2024")</f>
        <v/>
      </c>
      <c r="AB104">
        <f>HYPERLINK("https://klasma.github.io/Logging_2184/klagomålsmail/A 8051-2024 FSC-klagomål mail.docx", "A 8051-2024")</f>
        <v/>
      </c>
      <c r="AC104">
        <f>HYPERLINK("https://klasma.github.io/Logging_2184/tillsyn/A 8051-2024 tillsynsbegäran.docx", "A 8051-2024")</f>
        <v/>
      </c>
      <c r="AD104">
        <f>HYPERLINK("https://klasma.github.io/Logging_2184/tillsynsmail/A 8051-2024 tillsynsbegäran mail.docx", "A 8051-2024")</f>
        <v/>
      </c>
    </row>
    <row r="105" ht="15" customHeight="1">
      <c r="A105" t="inlineStr">
        <is>
          <t>A 25040-2026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46174</v>
      </c>
      <c r="E105" s="1" t="n">
        <v>46272</v>
      </c>
      <c r="F105" t="inlineStr">
        <is>
          <t>GÄVLEBORGS LÄN</t>
        </is>
      </c>
      <c r="G105" t="inlineStr">
        <is>
          <t>HUDIKSVALL</t>
        </is>
      </c>
      <c r="H105" t="inlineStr">
        <is>
          <t>Holmen skog AB</t>
        </is>
      </c>
      <c r="I105" t="n">
        <v>3.1</v>
      </c>
      <c r="J105" t="n">
        <v>0</v>
      </c>
      <c r="K105" t="n">
        <v>0</v>
      </c>
      <c r="L105" t="n">
        <v>1</v>
      </c>
      <c r="M105" t="n">
        <v>0</v>
      </c>
      <c r="N105" t="n">
        <v>0</v>
      </c>
      <c r="O105" t="n">
        <v>0</v>
      </c>
      <c r="P105" t="n">
        <v>0</v>
      </c>
      <c r="Q105" t="n">
        <v>1</v>
      </c>
      <c r="R105" t="n">
        <v>0</v>
      </c>
      <c r="S105" t="n">
        <v>1</v>
      </c>
      <c r="T105" t="n">
        <v>1</v>
      </c>
      <c r="U105" t="n">
        <v>0</v>
      </c>
      <c r="V105" s="2" t="inlineStr">
        <is>
          <t>Skogssvingel</t>
        </is>
      </c>
      <c r="W105">
        <f>HYPERLINK("https://klasma.github.io/Logging_2184/artfynd/A 25040-2026 artfynd.xlsx", "A 25040-2026")</f>
        <v/>
      </c>
      <c r="X105">
        <f>HYPERLINK("https://klasma.github.io/Logging_2184/kartor/A 25040-2026 karta.png", "A 25040-2026")</f>
        <v/>
      </c>
      <c r="Y105">
        <f>HYPERLINK("https://klasma.github.io/Logging_2184/kartor_geotiff/A 25040-2026 georefererad karta.tif", "A 25040-2026")</f>
        <v/>
      </c>
      <c r="AA105">
        <f>HYPERLINK("https://klasma.github.io/Logging_2184/klagomål/A 25040-2026 FSC-klagomål.docx", "A 25040-2026")</f>
        <v/>
      </c>
      <c r="AB105">
        <f>HYPERLINK("https://klasma.github.io/Logging_2184/klagomålsmail/A 25040-2026 FSC-klagomål mail.docx", "A 25040-2026")</f>
        <v/>
      </c>
      <c r="AC105">
        <f>HYPERLINK("https://klasma.github.io/Logging_2184/tillsyn/A 25040-2026 tillsynsbegäran.docx", "A 25040-2026")</f>
        <v/>
      </c>
      <c r="AD105">
        <f>HYPERLINK("https://klasma.github.io/Logging_2184/tillsynsmail/A 25040-2026 tillsynsbegäran mail.docx", "A 25040-2026")</f>
        <v/>
      </c>
    </row>
    <row r="106" ht="15" customHeight="1">
      <c r="A106" t="inlineStr">
        <is>
          <t>A 29134-2026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46202</v>
      </c>
      <c r="E106" s="1" t="n">
        <v>46272</v>
      </c>
      <c r="F106" t="inlineStr">
        <is>
          <t>GÄVLEBORGS LÄN</t>
        </is>
      </c>
      <c r="G106" t="inlineStr">
        <is>
          <t>HUDIKSVALL</t>
        </is>
      </c>
      <c r="H106" t="inlineStr">
        <is>
          <t>Holmen skog AB</t>
        </is>
      </c>
      <c r="I106" t="n">
        <v>19.2</v>
      </c>
      <c r="J106" t="n">
        <v>0</v>
      </c>
      <c r="K106" t="n">
        <v>0</v>
      </c>
      <c r="L106" t="n">
        <v>0</v>
      </c>
      <c r="M106" t="n">
        <v>1</v>
      </c>
      <c r="N106" t="n">
        <v>0</v>
      </c>
      <c r="O106" t="n">
        <v>0</v>
      </c>
      <c r="P106" t="n">
        <v>0</v>
      </c>
      <c r="Q106" t="n">
        <v>1</v>
      </c>
      <c r="R106" t="n">
        <v>1</v>
      </c>
      <c r="S106" t="n">
        <v>1</v>
      </c>
      <c r="T106" t="n">
        <v>1</v>
      </c>
      <c r="U106" t="n">
        <v>0</v>
      </c>
      <c r="V106" s="2" t="inlineStr">
        <is>
          <t>Garnlav</t>
        </is>
      </c>
      <c r="W106">
        <f>HYPERLINK("https://klasma.github.io/Logging_2184/artfynd/A 29134-2026 artfynd.xlsx", "A 29134-2026")</f>
        <v/>
      </c>
      <c r="X106">
        <f>HYPERLINK("https://klasma.github.io/Logging_2184/kartor/A 29134-2026 karta.png", "A 29134-2026")</f>
        <v/>
      </c>
      <c r="Y106">
        <f>HYPERLINK("https://klasma.github.io/Logging_2184/kartor_geotiff/A 29134-2026 georefererad karta.tif", "A 29134-2026")</f>
        <v/>
      </c>
      <c r="AA106">
        <f>HYPERLINK("https://klasma.github.io/Logging_2184/klagomål/A 29134-2026 FSC-klagomål.docx", "A 29134-2026")</f>
        <v/>
      </c>
      <c r="AB106">
        <f>HYPERLINK("https://klasma.github.io/Logging_2184/klagomålsmail/A 29134-2026 FSC-klagomål mail.docx", "A 29134-2026")</f>
        <v/>
      </c>
      <c r="AC106">
        <f>HYPERLINK("https://klasma.github.io/Logging_2184/tillsyn/A 29134-2026 tillsynsbegäran.docx", "A 29134-2026")</f>
        <v/>
      </c>
      <c r="AD106">
        <f>HYPERLINK("https://klasma.github.io/Logging_2184/tillsynsmail/A 29134-2026 tillsynsbegäran mail.docx", "A 29134-2026")</f>
        <v/>
      </c>
    </row>
    <row r="107" ht="15" customHeight="1">
      <c r="A107" t="inlineStr">
        <is>
          <t>A 53015-2024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45611</v>
      </c>
      <c r="E107" s="1" t="n">
        <v>46272</v>
      </c>
      <c r="F107" t="inlineStr">
        <is>
          <t>GÄVLEBORGS LÄN</t>
        </is>
      </c>
      <c r="G107" t="inlineStr">
        <is>
          <t>HUDIKSVALL</t>
        </is>
      </c>
      <c r="I107" t="n">
        <v>21</v>
      </c>
      <c r="J107" t="n">
        <v>0</v>
      </c>
      <c r="K107" t="n">
        <v>1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1</v>
      </c>
      <c r="T107" t="n">
        <v>1</v>
      </c>
      <c r="U107" t="n">
        <v>1</v>
      </c>
      <c r="V107" s="2" t="inlineStr">
        <is>
          <t>Stuplav</t>
        </is>
      </c>
      <c r="W107">
        <f>HYPERLINK("https://klasma.github.io/Logging_2184/artfynd/A 53015-2024 artfynd.xlsx", "A 53015-2024")</f>
        <v/>
      </c>
      <c r="X107">
        <f>HYPERLINK("https://klasma.github.io/Logging_2184/kartor/A 53015-2024 karta.png", "A 53015-2024")</f>
        <v/>
      </c>
      <c r="Y107">
        <f>HYPERLINK("https://klasma.github.io/Logging_2184/kartor_geotiff/A 53015-2024 georefererad karta.tif", "A 53015-2024")</f>
        <v/>
      </c>
      <c r="AA107">
        <f>HYPERLINK("https://klasma.github.io/Logging_2184/klagomål/A 53015-2024 FSC-klagomål.docx", "A 53015-2024")</f>
        <v/>
      </c>
      <c r="AB107">
        <f>HYPERLINK("https://klasma.github.io/Logging_2184/klagomålsmail/A 53015-2024 FSC-klagomål mail.docx", "A 53015-2024")</f>
        <v/>
      </c>
      <c r="AC107">
        <f>HYPERLINK("https://klasma.github.io/Logging_2184/tillsyn/A 53015-2024 tillsynsbegäran.docx", "A 53015-2024")</f>
        <v/>
      </c>
      <c r="AD107">
        <f>HYPERLINK("https://klasma.github.io/Logging_2184/tillsynsmail/A 53015-2024 tillsynsbegäran mail.docx", "A 53015-2024")</f>
        <v/>
      </c>
    </row>
    <row r="108" ht="15" customHeight="1">
      <c r="A108" t="inlineStr">
        <is>
          <t>A 22131-2025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45785</v>
      </c>
      <c r="E108" s="1" t="n">
        <v>46272</v>
      </c>
      <c r="F108" t="inlineStr">
        <is>
          <t>GÄVLEBORGS LÄN</t>
        </is>
      </c>
      <c r="G108" t="inlineStr">
        <is>
          <t>HUDIKSVALL</t>
        </is>
      </c>
      <c r="I108" t="n">
        <v>6.6</v>
      </c>
      <c r="J108" t="n">
        <v>1</v>
      </c>
      <c r="K108" t="n">
        <v>0</v>
      </c>
      <c r="L108" t="n">
        <v>0</v>
      </c>
      <c r="M108" t="n">
        <v>1</v>
      </c>
      <c r="N108" t="n">
        <v>0</v>
      </c>
      <c r="O108" t="n">
        <v>0</v>
      </c>
      <c r="P108" t="n">
        <v>0</v>
      </c>
      <c r="Q108" t="n">
        <v>1</v>
      </c>
      <c r="R108" t="n">
        <v>1</v>
      </c>
      <c r="S108" t="n">
        <v>1</v>
      </c>
      <c r="T108" t="n">
        <v>1</v>
      </c>
      <c r="U108" t="n">
        <v>0</v>
      </c>
      <c r="V108" s="2" t="inlineStr">
        <is>
          <t>Knärot</t>
        </is>
      </c>
      <c r="W108">
        <f>HYPERLINK("https://klasma.github.io/Logging_2184/artfynd/A 22131-2025 artfynd.xlsx", "A 22131-2025")</f>
        <v/>
      </c>
      <c r="X108">
        <f>HYPERLINK("https://klasma.github.io/Logging_2184/kartor/A 22131-2025 karta.png", "A 22131-2025")</f>
        <v/>
      </c>
      <c r="Y108">
        <f>HYPERLINK("https://klasma.github.io/Logging_2184/kartor_geotiff/A 22131-2025 georefererad karta.tif", "A 22131-2025")</f>
        <v/>
      </c>
      <c r="Z108">
        <f>HYPERLINK("https://klasma.github.io/Logging_2184/knärot/A 22131-2025 karta knärot.png", "A 22131-2025")</f>
        <v/>
      </c>
      <c r="AA108">
        <f>HYPERLINK("https://klasma.github.io/Logging_2184/klagomål/A 22131-2025 FSC-klagomål.docx", "A 22131-2025")</f>
        <v/>
      </c>
      <c r="AB108">
        <f>HYPERLINK("https://klasma.github.io/Logging_2184/klagomålsmail/A 22131-2025 FSC-klagomål mail.docx", "A 22131-2025")</f>
        <v/>
      </c>
      <c r="AC108">
        <f>HYPERLINK("https://klasma.github.io/Logging_2184/tillsyn/A 22131-2025 tillsynsbegäran.docx", "A 22131-2025")</f>
        <v/>
      </c>
      <c r="AD108">
        <f>HYPERLINK("https://klasma.github.io/Logging_2184/tillsynsmail/A 22131-2025 tillsynsbegäran mail.docx", "A 22131-2025")</f>
        <v/>
      </c>
    </row>
    <row r="109" ht="15" customHeight="1">
      <c r="A109" t="inlineStr">
        <is>
          <t>A 22859-2025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45790</v>
      </c>
      <c r="E109" s="1" t="n">
        <v>46272</v>
      </c>
      <c r="F109" t="inlineStr">
        <is>
          <t>GÄVLEBORGS LÄN</t>
        </is>
      </c>
      <c r="G109" t="inlineStr">
        <is>
          <t>HUDIKSVALL</t>
        </is>
      </c>
      <c r="H109" t="inlineStr">
        <is>
          <t>Holmen skog AB</t>
        </is>
      </c>
      <c r="I109" t="n">
        <v>14.7</v>
      </c>
      <c r="J109" t="n">
        <v>1</v>
      </c>
      <c r="K109" t="n">
        <v>0</v>
      </c>
      <c r="L109" t="n">
        <v>0</v>
      </c>
      <c r="M109" t="n">
        <v>1</v>
      </c>
      <c r="N109" t="n">
        <v>0</v>
      </c>
      <c r="O109" t="n">
        <v>0</v>
      </c>
      <c r="P109" t="n">
        <v>0</v>
      </c>
      <c r="Q109" t="n">
        <v>1</v>
      </c>
      <c r="R109" t="n">
        <v>1</v>
      </c>
      <c r="S109" t="n">
        <v>1</v>
      </c>
      <c r="T109" t="n">
        <v>1</v>
      </c>
      <c r="U109" t="n">
        <v>0</v>
      </c>
      <c r="V109" s="2" t="inlineStr">
        <is>
          <t>Knärot</t>
        </is>
      </c>
      <c r="W109">
        <f>HYPERLINK("https://klasma.github.io/Logging_2184/artfynd/A 22859-2025 artfynd.xlsx", "A 22859-2025")</f>
        <v/>
      </c>
      <c r="X109">
        <f>HYPERLINK("https://klasma.github.io/Logging_2184/kartor/A 22859-2025 karta.png", "A 22859-2025")</f>
        <v/>
      </c>
      <c r="Y109">
        <f>HYPERLINK("https://klasma.github.io/Logging_2184/kartor_geotiff/A 22859-2025 georefererad karta.tif", "A 22859-2025")</f>
        <v/>
      </c>
      <c r="Z109">
        <f>HYPERLINK("https://klasma.github.io/Logging_2184/knärot/A 22859-2025 karta knärot.png", "A 22859-2025")</f>
        <v/>
      </c>
      <c r="AA109">
        <f>HYPERLINK("https://klasma.github.io/Logging_2184/klagomål/A 22859-2025 FSC-klagomål.docx", "A 22859-2025")</f>
        <v/>
      </c>
      <c r="AB109">
        <f>HYPERLINK("https://klasma.github.io/Logging_2184/klagomålsmail/A 22859-2025 FSC-klagomål mail.docx", "A 22859-2025")</f>
        <v/>
      </c>
      <c r="AC109">
        <f>HYPERLINK("https://klasma.github.io/Logging_2184/tillsyn/A 22859-2025 tillsynsbegäran.docx", "A 22859-2025")</f>
        <v/>
      </c>
      <c r="AD109">
        <f>HYPERLINK("https://klasma.github.io/Logging_2184/tillsynsmail/A 22859-2025 tillsynsbegäran mail.docx", "A 22859-2025")</f>
        <v/>
      </c>
    </row>
    <row r="110" ht="15" customHeight="1">
      <c r="A110" t="inlineStr">
        <is>
          <t>A 23732-2025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45793</v>
      </c>
      <c r="E110" s="1" t="n">
        <v>46272</v>
      </c>
      <c r="F110" t="inlineStr">
        <is>
          <t>GÄVLEBORGS LÄN</t>
        </is>
      </c>
      <c r="G110" t="inlineStr">
        <is>
          <t>HUDIKSVALL</t>
        </is>
      </c>
      <c r="H110" t="inlineStr">
        <is>
          <t>Sveaskog</t>
        </is>
      </c>
      <c r="I110" t="n">
        <v>11.9</v>
      </c>
      <c r="J110" t="n">
        <v>0</v>
      </c>
      <c r="K110" t="n">
        <v>1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1</v>
      </c>
      <c r="T110" t="n">
        <v>1</v>
      </c>
      <c r="U110" t="n">
        <v>1</v>
      </c>
      <c r="V110" s="2" t="inlineStr">
        <is>
          <t>Tibast</t>
        </is>
      </c>
      <c r="W110">
        <f>HYPERLINK("https://klasma.github.io/Logging_2184/artfynd/A 23732-2025 artfynd.xlsx", "A 23732-2025")</f>
        <v/>
      </c>
      <c r="X110">
        <f>HYPERLINK("https://klasma.github.io/Logging_2184/kartor/A 23732-2025 karta.png", "A 23732-2025")</f>
        <v/>
      </c>
      <c r="Y110">
        <f>HYPERLINK("https://klasma.github.io/Logging_2184/kartor_geotiff/A 23732-2025 georefererad karta.tif", "A 23732-2025")</f>
        <v/>
      </c>
      <c r="AA110">
        <f>HYPERLINK("https://klasma.github.io/Logging_2184/klagomål/A 23732-2025 FSC-klagomål.docx", "A 23732-2025")</f>
        <v/>
      </c>
      <c r="AB110">
        <f>HYPERLINK("https://klasma.github.io/Logging_2184/klagomålsmail/A 23732-2025 FSC-klagomål mail.docx", "A 23732-2025")</f>
        <v/>
      </c>
      <c r="AC110">
        <f>HYPERLINK("https://klasma.github.io/Logging_2184/tillsyn/A 23732-2025 tillsynsbegäran.docx", "A 23732-2025")</f>
        <v/>
      </c>
      <c r="AD110">
        <f>HYPERLINK("https://klasma.github.io/Logging_2184/tillsynsmail/A 23732-2025 tillsynsbegäran mail.docx", "A 23732-2025")</f>
        <v/>
      </c>
    </row>
    <row r="111" ht="15" customHeight="1">
      <c r="A111" t="inlineStr">
        <is>
          <t>S 4020-2023</t>
        </is>
      </c>
      <c r="B111" t="inlineStr">
        <is>
          <t>samrådsanmälan</t>
        </is>
      </c>
      <c r="C111" t="inlineStr">
        <is>
          <t>Skogsgödsling</t>
        </is>
      </c>
      <c r="D111" s="1" t="n">
        <v>45237</v>
      </c>
      <c r="E111" s="1" t="n">
        <v>46272</v>
      </c>
      <c r="F111" t="inlineStr">
        <is>
          <t>GÄVLEBORGS LÄN</t>
        </is>
      </c>
      <c r="G111" t="inlineStr">
        <is>
          <t>HUDIKSVALL</t>
        </is>
      </c>
      <c r="H111" t="inlineStr">
        <is>
          <t>Holmen skog AB</t>
        </is>
      </c>
      <c r="I111" t="n">
        <v>96.3</v>
      </c>
      <c r="J111" t="n">
        <v>0</v>
      </c>
      <c r="K111" t="n">
        <v>0</v>
      </c>
      <c r="L111" t="n">
        <v>1</v>
      </c>
      <c r="M111" t="n">
        <v>0</v>
      </c>
      <c r="N111" t="n">
        <v>0</v>
      </c>
      <c r="O111" t="n">
        <v>0</v>
      </c>
      <c r="P111" t="n">
        <v>0</v>
      </c>
      <c r="Q111" t="n">
        <v>1</v>
      </c>
      <c r="R111" t="n">
        <v>0</v>
      </c>
      <c r="S111" t="n">
        <v>1</v>
      </c>
      <c r="T111" t="n">
        <v>1</v>
      </c>
      <c r="U111" t="n">
        <v>0</v>
      </c>
      <c r="V111" s="2" t="inlineStr">
        <is>
          <t>Kolflarnlav</t>
        </is>
      </c>
      <c r="W111">
        <f>HYPERLINK("https://klasma.github.io/Logging_2184/artfynd/S 4020-2023 artfynd.xlsx", "S 4020-2023")</f>
        <v/>
      </c>
      <c r="X111">
        <f>HYPERLINK("https://klasma.github.io/Logging_2184/kartor/S 4020-2023 karta.png", "S 4020-2023")</f>
        <v/>
      </c>
      <c r="Y111">
        <f>HYPERLINK("https://klasma.github.io/Logging_2184/kartor_geotiff/S 4020-2023 georefererad karta.tif", "S 4020-2023")</f>
        <v/>
      </c>
      <c r="AA111">
        <f>HYPERLINK("https://klasma.github.io/Logging_2184/klagomål/S 4020-2023 FSC-klagomål.docx", "S 4020-2023")</f>
        <v/>
      </c>
      <c r="AB111">
        <f>HYPERLINK("https://klasma.github.io/Logging_2184/klagomålsmail/S 4020-2023 FSC-klagomål mail.docx", "S 4020-2023")</f>
        <v/>
      </c>
      <c r="AC111">
        <f>HYPERLINK("https://klasma.github.io/Logging_2184/tillsyn/S 4020-2023 tillsynsbegäran.docx", "S 4020-2023")</f>
        <v/>
      </c>
      <c r="AD111">
        <f>HYPERLINK("https://klasma.github.io/Logging_2184/tillsynsmail/S 4020-2023 tillsynsbegäran mail.docx", "S 4020-2023")</f>
        <v/>
      </c>
    </row>
    <row r="112" ht="15" customHeight="1">
      <c r="A112" t="inlineStr">
        <is>
          <t>S 79-2026</t>
        </is>
      </c>
      <c r="B112" t="inlineStr">
        <is>
          <t>samrådsanmälan</t>
        </is>
      </c>
      <c r="C112" t="inlineStr">
        <is>
          <t>Annan skogsbruksåtgärd</t>
        </is>
      </c>
      <c r="D112" s="1" t="n">
        <v>46035</v>
      </c>
      <c r="E112" s="1" t="n">
        <v>46272</v>
      </c>
      <c r="F112" t="inlineStr">
        <is>
          <t>GÄVLEBORGS LÄN</t>
        </is>
      </c>
      <c r="G112" t="inlineStr">
        <is>
          <t>HUDIKSVALL</t>
        </is>
      </c>
      <c r="I112" t="n">
        <v>1.6</v>
      </c>
      <c r="J112" t="n">
        <v>0</v>
      </c>
      <c r="K112" t="n">
        <v>0</v>
      </c>
      <c r="L112" t="n">
        <v>1</v>
      </c>
      <c r="M112" t="n">
        <v>0</v>
      </c>
      <c r="N112" t="n">
        <v>0</v>
      </c>
      <c r="O112" t="n">
        <v>0</v>
      </c>
      <c r="P112" t="n">
        <v>0</v>
      </c>
      <c r="Q112" t="n">
        <v>1</v>
      </c>
      <c r="R112" t="n">
        <v>0</v>
      </c>
      <c r="S112" t="n">
        <v>1</v>
      </c>
      <c r="T112" t="n">
        <v>1</v>
      </c>
      <c r="U112" t="n">
        <v>0</v>
      </c>
      <c r="V112" s="2" t="inlineStr">
        <is>
          <t>Rosenticka</t>
        </is>
      </c>
      <c r="W112">
        <f>HYPERLINK("https://klasma.github.io/Logging_2184/artfynd/S 79-2026 artfynd.xlsx", "S 79-2026")</f>
        <v/>
      </c>
      <c r="X112">
        <f>HYPERLINK("https://klasma.github.io/Logging_2184/kartor/S 79-2026 karta.png", "S 79-2026")</f>
        <v/>
      </c>
      <c r="Y112">
        <f>HYPERLINK("https://klasma.github.io/Logging_2184/kartor_geotiff/S 79-2026 georefererad karta.tif", "S 79-2026")</f>
        <v/>
      </c>
      <c r="AA112">
        <f>HYPERLINK("https://klasma.github.io/Logging_2184/klagomål/S 79-2026 FSC-klagomål.docx", "S 79-2026")</f>
        <v/>
      </c>
      <c r="AB112">
        <f>HYPERLINK("https://klasma.github.io/Logging_2184/klagomålsmail/S 79-2026 FSC-klagomål mail.docx", "S 79-2026")</f>
        <v/>
      </c>
      <c r="AC112">
        <f>HYPERLINK("https://klasma.github.io/Logging_2184/tillsyn/S 79-2026 tillsynsbegäran.docx", "S 79-2026")</f>
        <v/>
      </c>
      <c r="AD112">
        <f>HYPERLINK("https://klasma.github.io/Logging_2184/tillsynsmail/S 79-2026 tillsynsbegäran mail.docx", "S 79-2026")</f>
        <v/>
      </c>
    </row>
    <row r="113" ht="15" customHeight="1">
      <c r="A113" t="inlineStr">
        <is>
          <t>A 24470-2022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44726</v>
      </c>
      <c r="E113" s="1" t="n">
        <v>46272</v>
      </c>
      <c r="F113" t="inlineStr">
        <is>
          <t>GÄVLEBORGS LÄN</t>
        </is>
      </c>
      <c r="G113" t="inlineStr">
        <is>
          <t>HUDIKSVALL</t>
        </is>
      </c>
      <c r="I113" t="n">
        <v>1.3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7548-2022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44607</v>
      </c>
      <c r="E114" s="1" t="n">
        <v>46272</v>
      </c>
      <c r="F114" t="inlineStr">
        <is>
          <t>GÄVLEBORGS LÄN</t>
        </is>
      </c>
      <c r="G114" t="inlineStr">
        <is>
          <t>HUDIKSVALL</t>
        </is>
      </c>
      <c r="I114" t="n">
        <v>1.2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34116-2022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44791</v>
      </c>
      <c r="E115" s="1" t="n">
        <v>46272</v>
      </c>
      <c r="F115" t="inlineStr">
        <is>
          <t>GÄVLEBORGS LÄN</t>
        </is>
      </c>
      <c r="G115" t="inlineStr">
        <is>
          <t>HUDIKSVALL</t>
        </is>
      </c>
      <c r="H115" t="inlineStr">
        <is>
          <t>Holmen skog AB</t>
        </is>
      </c>
      <c r="I115" t="n">
        <v>1.7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17962-2022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44683</v>
      </c>
      <c r="E116" s="1" t="n">
        <v>46272</v>
      </c>
      <c r="F116" t="inlineStr">
        <is>
          <t>GÄVLEBORGS LÄN</t>
        </is>
      </c>
      <c r="G116" t="inlineStr">
        <is>
          <t>HUDIKSVALL</t>
        </is>
      </c>
      <c r="H116" t="inlineStr">
        <is>
          <t>Holmen skog AB</t>
        </is>
      </c>
      <c r="I116" t="n">
        <v>9.1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28023-2022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44746</v>
      </c>
      <c r="E117" s="1" t="n">
        <v>46272</v>
      </c>
      <c r="F117" t="inlineStr">
        <is>
          <t>GÄVLEBORGS LÄN</t>
        </is>
      </c>
      <c r="G117" t="inlineStr">
        <is>
          <t>HUDIKSVALL</t>
        </is>
      </c>
      <c r="I117" t="n">
        <v>2.9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38480-2022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44813</v>
      </c>
      <c r="E118" s="1" t="n">
        <v>46272</v>
      </c>
      <c r="F118" t="inlineStr">
        <is>
          <t>GÄVLEBORGS LÄN</t>
        </is>
      </c>
      <c r="G118" t="inlineStr">
        <is>
          <t>HUDIKSVALL</t>
        </is>
      </c>
      <c r="I118" t="n">
        <v>0.8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21382-2022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44705</v>
      </c>
      <c r="E119" s="1" t="n">
        <v>46272</v>
      </c>
      <c r="F119" t="inlineStr">
        <is>
          <t>GÄVLEBORGS LÄN</t>
        </is>
      </c>
      <c r="G119" t="inlineStr">
        <is>
          <t>HUDIKSVALL</t>
        </is>
      </c>
      <c r="I119" t="n">
        <v>1.6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54014-2022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44881</v>
      </c>
      <c r="E120" s="1" t="n">
        <v>46272</v>
      </c>
      <c r="F120" t="inlineStr">
        <is>
          <t>GÄVLEBORGS LÄN</t>
        </is>
      </c>
      <c r="G120" t="inlineStr">
        <is>
          <t>HUDIKSVALL</t>
        </is>
      </c>
      <c r="I120" t="n">
        <v>0.3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66758-2021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44521</v>
      </c>
      <c r="E121" s="1" t="n">
        <v>46272</v>
      </c>
      <c r="F121" t="inlineStr">
        <is>
          <t>GÄVLEBORGS LÄN</t>
        </is>
      </c>
      <c r="G121" t="inlineStr">
        <is>
          <t>HUDIKSVALL</t>
        </is>
      </c>
      <c r="I121" t="n">
        <v>0.5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52117-2021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44462</v>
      </c>
      <c r="E122" s="1" t="n">
        <v>46272</v>
      </c>
      <c r="F122" t="inlineStr">
        <is>
          <t>GÄVLEBORGS LÄN</t>
        </is>
      </c>
      <c r="G122" t="inlineStr">
        <is>
          <t>HUDIKSVALL</t>
        </is>
      </c>
      <c r="I122" t="n">
        <v>2.4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51762-2021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44462</v>
      </c>
      <c r="E123" s="1" t="n">
        <v>46272</v>
      </c>
      <c r="F123" t="inlineStr">
        <is>
          <t>GÄVLEBORGS LÄN</t>
        </is>
      </c>
      <c r="G123" t="inlineStr">
        <is>
          <t>HUDIKSVALL</t>
        </is>
      </c>
      <c r="H123" t="inlineStr">
        <is>
          <t>Holmen skog AB</t>
        </is>
      </c>
      <c r="I123" t="n">
        <v>0.6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51590-2022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44871</v>
      </c>
      <c r="E124" s="1" t="n">
        <v>46272</v>
      </c>
      <c r="F124" t="inlineStr">
        <is>
          <t>GÄVLEBORGS LÄN</t>
        </is>
      </c>
      <c r="G124" t="inlineStr">
        <is>
          <t>HUDIKSVALL</t>
        </is>
      </c>
      <c r="I124" t="n">
        <v>1.6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50818-2022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44867</v>
      </c>
      <c r="E125" s="1" t="n">
        <v>46272</v>
      </c>
      <c r="F125" t="inlineStr">
        <is>
          <t>GÄVLEBORGS LÄN</t>
        </is>
      </c>
      <c r="G125" t="inlineStr">
        <is>
          <t>HUDIKSVALL</t>
        </is>
      </c>
      <c r="I125" t="n">
        <v>0.9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48753-2021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44452</v>
      </c>
      <c r="E126" s="1" t="n">
        <v>46272</v>
      </c>
      <c r="F126" t="inlineStr">
        <is>
          <t>GÄVLEBORGS LÄN</t>
        </is>
      </c>
      <c r="G126" t="inlineStr">
        <is>
          <t>HUDIKSVALL</t>
        </is>
      </c>
      <c r="I126" t="n">
        <v>1.3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55336-2021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44475</v>
      </c>
      <c r="E127" s="1" t="n">
        <v>46272</v>
      </c>
      <c r="F127" t="inlineStr">
        <is>
          <t>GÄVLEBORGS LÄN</t>
        </is>
      </c>
      <c r="G127" t="inlineStr">
        <is>
          <t>HUDIKSVALL</t>
        </is>
      </c>
      <c r="I127" t="n">
        <v>2.5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70219-2021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44535</v>
      </c>
      <c r="E128" s="1" t="n">
        <v>46272</v>
      </c>
      <c r="F128" t="inlineStr">
        <is>
          <t>GÄVLEBORGS LÄN</t>
        </is>
      </c>
      <c r="G128" t="inlineStr">
        <is>
          <t>HUDIKSVALL</t>
        </is>
      </c>
      <c r="I128" t="n">
        <v>1.5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60040-2021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44495</v>
      </c>
      <c r="E129" s="1" t="n">
        <v>46272</v>
      </c>
      <c r="F129" t="inlineStr">
        <is>
          <t>GÄVLEBORGS LÄN</t>
        </is>
      </c>
      <c r="G129" t="inlineStr">
        <is>
          <t>HUDIKSVALL</t>
        </is>
      </c>
      <c r="H129" t="inlineStr">
        <is>
          <t>Holmen skog AB</t>
        </is>
      </c>
      <c r="I129" t="n">
        <v>10.4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54706-2022</t>
        </is>
      </c>
      <c r="B130" t="inlineStr">
        <is>
          <t>avverkningsanmälan</t>
        </is>
      </c>
      <c r="C130" t="inlineStr">
        <is>
          <t>Avverkning för annat ändamål</t>
        </is>
      </c>
      <c r="D130" s="1" t="n">
        <v>44883</v>
      </c>
      <c r="E130" s="1" t="n">
        <v>46272</v>
      </c>
      <c r="F130" t="inlineStr">
        <is>
          <t>GÄVLEBORGS LÄN</t>
        </is>
      </c>
      <c r="G130" t="inlineStr">
        <is>
          <t>HUDIKSVALL</t>
        </is>
      </c>
      <c r="I130" t="n">
        <v>1.8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50235-2022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44865</v>
      </c>
      <c r="E131" s="1" t="n">
        <v>46272</v>
      </c>
      <c r="F131" t="inlineStr">
        <is>
          <t>GÄVLEBORGS LÄN</t>
        </is>
      </c>
      <c r="G131" t="inlineStr">
        <is>
          <t>HUDIKSVALL</t>
        </is>
      </c>
      <c r="I131" t="n">
        <v>0.5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63783-2021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44509</v>
      </c>
      <c r="E132" s="1" t="n">
        <v>46272</v>
      </c>
      <c r="F132" t="inlineStr">
        <is>
          <t>GÄVLEBORGS LÄN</t>
        </is>
      </c>
      <c r="G132" t="inlineStr">
        <is>
          <t>HUDIKSVALL</t>
        </is>
      </c>
      <c r="I132" t="n">
        <v>1.2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15876-2022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44664</v>
      </c>
      <c r="E133" s="1" t="n">
        <v>46272</v>
      </c>
      <c r="F133" t="inlineStr">
        <is>
          <t>GÄVLEBORGS LÄN</t>
        </is>
      </c>
      <c r="G133" t="inlineStr">
        <is>
          <t>HUDIKSVALL</t>
        </is>
      </c>
      <c r="H133" t="inlineStr">
        <is>
          <t>Holmen skog AB</t>
        </is>
      </c>
      <c r="I133" t="n">
        <v>1.8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486-2022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44566</v>
      </c>
      <c r="E134" s="1" t="n">
        <v>46272</v>
      </c>
      <c r="F134" t="inlineStr">
        <is>
          <t>GÄVLEBORGS LÄN</t>
        </is>
      </c>
      <c r="G134" t="inlineStr">
        <is>
          <t>HUDIKSVALL</t>
        </is>
      </c>
      <c r="I134" t="n">
        <v>3.5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21436-2022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44706</v>
      </c>
      <c r="E135" s="1" t="n">
        <v>46272</v>
      </c>
      <c r="F135" t="inlineStr">
        <is>
          <t>GÄVLEBORGS LÄN</t>
        </is>
      </c>
      <c r="G135" t="inlineStr">
        <is>
          <t>HUDIKSVALL</t>
        </is>
      </c>
      <c r="I135" t="n">
        <v>0.9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55489-2021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44475</v>
      </c>
      <c r="E136" s="1" t="n">
        <v>46272</v>
      </c>
      <c r="F136" t="inlineStr">
        <is>
          <t>GÄVLEBORGS LÄN</t>
        </is>
      </c>
      <c r="G136" t="inlineStr">
        <is>
          <t>HUDIKSVALL</t>
        </is>
      </c>
      <c r="I136" t="n">
        <v>2.5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16344-2022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44670</v>
      </c>
      <c r="E137" s="1" t="n">
        <v>46272</v>
      </c>
      <c r="F137" t="inlineStr">
        <is>
          <t>GÄVLEBORGS LÄN</t>
        </is>
      </c>
      <c r="G137" t="inlineStr">
        <is>
          <t>HUDIKSVALL</t>
        </is>
      </c>
      <c r="I137" t="n">
        <v>0.8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480-2022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44566</v>
      </c>
      <c r="E138" s="1" t="n">
        <v>46272</v>
      </c>
      <c r="F138" t="inlineStr">
        <is>
          <t>GÄVLEBORGS LÄN</t>
        </is>
      </c>
      <c r="G138" t="inlineStr">
        <is>
          <t>HUDIKSVALL</t>
        </is>
      </c>
      <c r="I138" t="n">
        <v>4.9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62321-2021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44503</v>
      </c>
      <c r="E139" s="1" t="n">
        <v>46272</v>
      </c>
      <c r="F139" t="inlineStr">
        <is>
          <t>GÄVLEBORGS LÄN</t>
        </is>
      </c>
      <c r="G139" t="inlineStr">
        <is>
          <t>HUDIKSVALL</t>
        </is>
      </c>
      <c r="I139" t="n">
        <v>3.2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49928-2021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44455</v>
      </c>
      <c r="E140" s="1" t="n">
        <v>46272</v>
      </c>
      <c r="F140" t="inlineStr">
        <is>
          <t>GÄVLEBORGS LÄN</t>
        </is>
      </c>
      <c r="G140" t="inlineStr">
        <is>
          <t>HUDIKSVALL</t>
        </is>
      </c>
      <c r="I140" t="n">
        <v>3.2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56136-2021</t>
        </is>
      </c>
      <c r="B141" t="inlineStr">
        <is>
          <t>avverkningsanmälan</t>
        </is>
      </c>
      <c r="C141" t="inlineStr">
        <is>
          <t>Avverkning för annat ändamål</t>
        </is>
      </c>
      <c r="D141" s="1" t="n">
        <v>44477</v>
      </c>
      <c r="E141" s="1" t="n">
        <v>46272</v>
      </c>
      <c r="F141" t="inlineStr">
        <is>
          <t>GÄVLEBORGS LÄN</t>
        </is>
      </c>
      <c r="G141" t="inlineStr">
        <is>
          <t>HUDIKSVALL</t>
        </is>
      </c>
      <c r="H141" t="inlineStr">
        <is>
          <t>Kommuner</t>
        </is>
      </c>
      <c r="I141" t="n">
        <v>0.7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14394-2022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44652</v>
      </c>
      <c r="E142" s="1" t="n">
        <v>46272</v>
      </c>
      <c r="F142" t="inlineStr">
        <is>
          <t>GÄVLEBORGS LÄN</t>
        </is>
      </c>
      <c r="G142" t="inlineStr">
        <is>
          <t>HUDIKSVALL</t>
        </is>
      </c>
      <c r="I142" t="n">
        <v>1.7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14409-2022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44652</v>
      </c>
      <c r="E143" s="1" t="n">
        <v>46272</v>
      </c>
      <c r="F143" t="inlineStr">
        <is>
          <t>GÄVLEBORGS LÄN</t>
        </is>
      </c>
      <c r="G143" t="inlineStr">
        <is>
          <t>HUDIKSVALL</t>
        </is>
      </c>
      <c r="I143" t="n">
        <v>23.2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11172-2022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44629</v>
      </c>
      <c r="E144" s="1" t="n">
        <v>46272</v>
      </c>
      <c r="F144" t="inlineStr">
        <is>
          <t>GÄVLEBORGS LÄN</t>
        </is>
      </c>
      <c r="G144" t="inlineStr">
        <is>
          <t>HUDIKSVALL</t>
        </is>
      </c>
      <c r="H144" t="inlineStr">
        <is>
          <t>Holmen skog AB</t>
        </is>
      </c>
      <c r="I144" t="n">
        <v>3.2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20022-2022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44697</v>
      </c>
      <c r="E145" s="1" t="n">
        <v>46272</v>
      </c>
      <c r="F145" t="inlineStr">
        <is>
          <t>GÄVLEBORGS LÄN</t>
        </is>
      </c>
      <c r="G145" t="inlineStr">
        <is>
          <t>HUDIKSVALL</t>
        </is>
      </c>
      <c r="I145" t="n">
        <v>1.1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8281-2022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44610</v>
      </c>
      <c r="E146" s="1" t="n">
        <v>46272</v>
      </c>
      <c r="F146" t="inlineStr">
        <is>
          <t>GÄVLEBORGS LÄN</t>
        </is>
      </c>
      <c r="G146" t="inlineStr">
        <is>
          <t>HUDIKSVALL</t>
        </is>
      </c>
      <c r="I146" t="n">
        <v>13.9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13819-2022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44649</v>
      </c>
      <c r="E147" s="1" t="n">
        <v>46272</v>
      </c>
      <c r="F147" t="inlineStr">
        <is>
          <t>GÄVLEBORGS LÄN</t>
        </is>
      </c>
      <c r="G147" t="inlineStr">
        <is>
          <t>HUDIKSVALL</t>
        </is>
      </c>
      <c r="H147" t="inlineStr">
        <is>
          <t>Holmen skog AB</t>
        </is>
      </c>
      <c r="I147" t="n">
        <v>0.9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19343-2022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44692</v>
      </c>
      <c r="E148" s="1" t="n">
        <v>46272</v>
      </c>
      <c r="F148" t="inlineStr">
        <is>
          <t>GÄVLEBORGS LÄN</t>
        </is>
      </c>
      <c r="G148" t="inlineStr">
        <is>
          <t>HUDIKSVALL</t>
        </is>
      </c>
      <c r="H148" t="inlineStr">
        <is>
          <t>Holmen skog AB</t>
        </is>
      </c>
      <c r="I148" t="n">
        <v>1.4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19346-2022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44692</v>
      </c>
      <c r="E149" s="1" t="n">
        <v>46272</v>
      </c>
      <c r="F149" t="inlineStr">
        <is>
          <t>GÄVLEBORGS LÄN</t>
        </is>
      </c>
      <c r="G149" t="inlineStr">
        <is>
          <t>HUDIKSVALL</t>
        </is>
      </c>
      <c r="H149" t="inlineStr">
        <is>
          <t>Holmen skog AB</t>
        </is>
      </c>
      <c r="I149" t="n">
        <v>1.4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65907-2021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44517</v>
      </c>
      <c r="E150" s="1" t="n">
        <v>46272</v>
      </c>
      <c r="F150" t="inlineStr">
        <is>
          <t>GÄVLEBORGS LÄN</t>
        </is>
      </c>
      <c r="G150" t="inlineStr">
        <is>
          <t>HUDIKSVALL</t>
        </is>
      </c>
      <c r="H150" t="inlineStr">
        <is>
          <t>Holmen skog AB</t>
        </is>
      </c>
      <c r="I150" t="n">
        <v>1.9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8081-2022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44609</v>
      </c>
      <c r="E151" s="1" t="n">
        <v>46272</v>
      </c>
      <c r="F151" t="inlineStr">
        <is>
          <t>GÄVLEBORGS LÄN</t>
        </is>
      </c>
      <c r="G151" t="inlineStr">
        <is>
          <t>HUDIKSVALL</t>
        </is>
      </c>
      <c r="I151" t="n">
        <v>0.9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8133-2022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44609</v>
      </c>
      <c r="E152" s="1" t="n">
        <v>46272</v>
      </c>
      <c r="F152" t="inlineStr">
        <is>
          <t>GÄVLEBORGS LÄN</t>
        </is>
      </c>
      <c r="G152" t="inlineStr">
        <is>
          <t>HUDIKSVALL</t>
        </is>
      </c>
      <c r="I152" t="n">
        <v>4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22198-2022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44712</v>
      </c>
      <c r="E153" s="1" t="n">
        <v>46272</v>
      </c>
      <c r="F153" t="inlineStr">
        <is>
          <t>GÄVLEBORGS LÄN</t>
        </is>
      </c>
      <c r="G153" t="inlineStr">
        <is>
          <t>HUDIKSVALL</t>
        </is>
      </c>
      <c r="H153" t="inlineStr">
        <is>
          <t>Holmen skog AB</t>
        </is>
      </c>
      <c r="I153" t="n">
        <v>4.5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39114-2022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44817</v>
      </c>
      <c r="E154" s="1" t="n">
        <v>46272</v>
      </c>
      <c r="F154" t="inlineStr">
        <is>
          <t>GÄVLEBORGS LÄN</t>
        </is>
      </c>
      <c r="G154" t="inlineStr">
        <is>
          <t>HUDIKSVALL</t>
        </is>
      </c>
      <c r="H154" t="inlineStr">
        <is>
          <t>Holmen skog AB</t>
        </is>
      </c>
      <c r="I154" t="n">
        <v>1.7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44181-2022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44839</v>
      </c>
      <c r="E155" s="1" t="n">
        <v>46272</v>
      </c>
      <c r="F155" t="inlineStr">
        <is>
          <t>GÄVLEBORGS LÄN</t>
        </is>
      </c>
      <c r="G155" t="inlineStr">
        <is>
          <t>HUDIKSVALL</t>
        </is>
      </c>
      <c r="I155" t="n">
        <v>0.7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20602-2022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44700</v>
      </c>
      <c r="E156" s="1" t="n">
        <v>46272</v>
      </c>
      <c r="F156" t="inlineStr">
        <is>
          <t>GÄVLEBORGS LÄN</t>
        </is>
      </c>
      <c r="G156" t="inlineStr">
        <is>
          <t>HUDIKSVALL</t>
        </is>
      </c>
      <c r="H156" t="inlineStr">
        <is>
          <t>Holmen skog AB</t>
        </is>
      </c>
      <c r="I156" t="n">
        <v>1.2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44425-2022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44839</v>
      </c>
      <c r="E157" s="1" t="n">
        <v>46272</v>
      </c>
      <c r="F157" t="inlineStr">
        <is>
          <t>GÄVLEBORGS LÄN</t>
        </is>
      </c>
      <c r="G157" t="inlineStr">
        <is>
          <t>HUDIKSVALL</t>
        </is>
      </c>
      <c r="I157" t="n">
        <v>0.6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18235-2022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44685</v>
      </c>
      <c r="E158" s="1" t="n">
        <v>46272</v>
      </c>
      <c r="F158" t="inlineStr">
        <is>
          <t>GÄVLEBORGS LÄN</t>
        </is>
      </c>
      <c r="G158" t="inlineStr">
        <is>
          <t>HUDIKSVALL</t>
        </is>
      </c>
      <c r="I158" t="n">
        <v>0.6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54380-2021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44473</v>
      </c>
      <c r="E159" s="1" t="n">
        <v>46272</v>
      </c>
      <c r="F159" t="inlineStr">
        <is>
          <t>GÄVLEBORGS LÄN</t>
        </is>
      </c>
      <c r="G159" t="inlineStr">
        <is>
          <t>HUDIKSVALL</t>
        </is>
      </c>
      <c r="I159" t="n">
        <v>2.9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52947-2022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44875</v>
      </c>
      <c r="E160" s="1" t="n">
        <v>46272</v>
      </c>
      <c r="F160" t="inlineStr">
        <is>
          <t>GÄVLEBORGS LÄN</t>
        </is>
      </c>
      <c r="G160" t="inlineStr">
        <is>
          <t>HUDIKSVALL</t>
        </is>
      </c>
      <c r="H160" t="inlineStr">
        <is>
          <t>Holmen skog AB</t>
        </is>
      </c>
      <c r="I160" t="n">
        <v>1.1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57369-2021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44483</v>
      </c>
      <c r="E161" s="1" t="n">
        <v>46272</v>
      </c>
      <c r="F161" t="inlineStr">
        <is>
          <t>GÄVLEBORGS LÄN</t>
        </is>
      </c>
      <c r="G161" t="inlineStr">
        <is>
          <t>HUDIKSVALL</t>
        </is>
      </c>
      <c r="H161" t="inlineStr">
        <is>
          <t>Holmen skog AB</t>
        </is>
      </c>
      <c r="I161" t="n">
        <v>3.1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1707-2022</t>
        </is>
      </c>
      <c r="B162" t="inlineStr">
        <is>
          <t>avverkningsanmälan</t>
        </is>
      </c>
      <c r="C162" t="inlineStr">
        <is>
          <t>Avverkning för annat ändamål</t>
        </is>
      </c>
      <c r="D162" s="1" t="n">
        <v>44574</v>
      </c>
      <c r="E162" s="1" t="n">
        <v>46272</v>
      </c>
      <c r="F162" t="inlineStr">
        <is>
          <t>GÄVLEBORGS LÄN</t>
        </is>
      </c>
      <c r="G162" t="inlineStr">
        <is>
          <t>HUDIKSVALL</t>
        </is>
      </c>
      <c r="I162" t="n">
        <v>3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8328-2022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44610</v>
      </c>
      <c r="E163" s="1" t="n">
        <v>46272</v>
      </c>
      <c r="F163" t="inlineStr">
        <is>
          <t>GÄVLEBORGS LÄN</t>
        </is>
      </c>
      <c r="G163" t="inlineStr">
        <is>
          <t>HUDIKSVALL</t>
        </is>
      </c>
      <c r="I163" t="n">
        <v>11.9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10858-2022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44627</v>
      </c>
      <c r="E164" s="1" t="n">
        <v>46272</v>
      </c>
      <c r="F164" t="inlineStr">
        <is>
          <t>GÄVLEBORGS LÄN</t>
        </is>
      </c>
      <c r="G164" t="inlineStr">
        <is>
          <t>HUDIKSVALL</t>
        </is>
      </c>
      <c r="I164" t="n">
        <v>1.8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46064-2022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44847</v>
      </c>
      <c r="E165" s="1" t="n">
        <v>46272</v>
      </c>
      <c r="F165" t="inlineStr">
        <is>
          <t>GÄVLEBORGS LÄN</t>
        </is>
      </c>
      <c r="G165" t="inlineStr">
        <is>
          <t>HUDIKSVALL</t>
        </is>
      </c>
      <c r="H165" t="inlineStr">
        <is>
          <t>Naturvårdsverket</t>
        </is>
      </c>
      <c r="I165" t="n">
        <v>0.8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60626-2021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44496</v>
      </c>
      <c r="E166" s="1" t="n">
        <v>46272</v>
      </c>
      <c r="F166" t="inlineStr">
        <is>
          <t>GÄVLEBORGS LÄN</t>
        </is>
      </c>
      <c r="G166" t="inlineStr">
        <is>
          <t>HUDIKSVALL</t>
        </is>
      </c>
      <c r="I166" t="n">
        <v>1.5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39258-2022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44817</v>
      </c>
      <c r="E167" s="1" t="n">
        <v>46272</v>
      </c>
      <c r="F167" t="inlineStr">
        <is>
          <t>GÄVLEBORGS LÄN</t>
        </is>
      </c>
      <c r="G167" t="inlineStr">
        <is>
          <t>HUDIKSVALL</t>
        </is>
      </c>
      <c r="H167" t="inlineStr">
        <is>
          <t>Holmen skog AB</t>
        </is>
      </c>
      <c r="I167" t="n">
        <v>3.4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40593-2022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44823</v>
      </c>
      <c r="E168" s="1" t="n">
        <v>46272</v>
      </c>
      <c r="F168" t="inlineStr">
        <is>
          <t>GÄVLEBORGS LÄN</t>
        </is>
      </c>
      <c r="G168" t="inlineStr">
        <is>
          <t>HUDIKSVALL</t>
        </is>
      </c>
      <c r="H168" t="inlineStr">
        <is>
          <t>Holmen skog AB</t>
        </is>
      </c>
      <c r="I168" t="n">
        <v>15.3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17342-2022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44678</v>
      </c>
      <c r="E169" s="1" t="n">
        <v>46272</v>
      </c>
      <c r="F169" t="inlineStr">
        <is>
          <t>GÄVLEBORGS LÄN</t>
        </is>
      </c>
      <c r="G169" t="inlineStr">
        <is>
          <t>HUDIKSVALL</t>
        </is>
      </c>
      <c r="H169" t="inlineStr">
        <is>
          <t>Holmen skog AB</t>
        </is>
      </c>
      <c r="I169" t="n">
        <v>2.7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51567-2022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44869</v>
      </c>
      <c r="E170" s="1" t="n">
        <v>46272</v>
      </c>
      <c r="F170" t="inlineStr">
        <is>
          <t>GÄVLEBORGS LÄN</t>
        </is>
      </c>
      <c r="G170" t="inlineStr">
        <is>
          <t>HUDIKSVALL</t>
        </is>
      </c>
      <c r="I170" t="n">
        <v>0.5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23924-2023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45078</v>
      </c>
      <c r="E171" s="1" t="n">
        <v>46272</v>
      </c>
      <c r="F171" t="inlineStr">
        <is>
          <t>GÄVLEBORGS LÄN</t>
        </is>
      </c>
      <c r="G171" t="inlineStr">
        <is>
          <t>HUDIKSVALL</t>
        </is>
      </c>
      <c r="H171" t="inlineStr">
        <is>
          <t>Holmen skog AB</t>
        </is>
      </c>
      <c r="I171" t="n">
        <v>4.6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24119-2024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45456</v>
      </c>
      <c r="E172" s="1" t="n">
        <v>46272</v>
      </c>
      <c r="F172" t="inlineStr">
        <is>
          <t>GÄVLEBORGS LÄN</t>
        </is>
      </c>
      <c r="G172" t="inlineStr">
        <is>
          <t>HUDIKSVALL</t>
        </is>
      </c>
      <c r="I172" t="n">
        <v>0.5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30590-2022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44762</v>
      </c>
      <c r="E173" s="1" t="n">
        <v>46272</v>
      </c>
      <c r="F173" t="inlineStr">
        <is>
          <t>GÄVLEBORGS LÄN</t>
        </is>
      </c>
      <c r="G173" t="inlineStr">
        <is>
          <t>HUDIKSVALL</t>
        </is>
      </c>
      <c r="H173" t="inlineStr">
        <is>
          <t>Sveaskog</t>
        </is>
      </c>
      <c r="I173" t="n">
        <v>0.7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58339-2024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45632</v>
      </c>
      <c r="E174" s="1" t="n">
        <v>46272</v>
      </c>
      <c r="F174" t="inlineStr">
        <is>
          <t>GÄVLEBORGS LÄN</t>
        </is>
      </c>
      <c r="G174" t="inlineStr">
        <is>
          <t>HUDIKSVALL</t>
        </is>
      </c>
      <c r="I174" t="n">
        <v>1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386-2023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44929</v>
      </c>
      <c r="E175" s="1" t="n">
        <v>46272</v>
      </c>
      <c r="F175" t="inlineStr">
        <is>
          <t>GÄVLEBORGS LÄN</t>
        </is>
      </c>
      <c r="G175" t="inlineStr">
        <is>
          <t>HUDIKSVALL</t>
        </is>
      </c>
      <c r="H175" t="inlineStr">
        <is>
          <t>Holmen skog AB</t>
        </is>
      </c>
      <c r="I175" t="n">
        <v>1.1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8096-2024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45351</v>
      </c>
      <c r="E176" s="1" t="n">
        <v>46272</v>
      </c>
      <c r="F176" t="inlineStr">
        <is>
          <t>GÄVLEBORGS LÄN</t>
        </is>
      </c>
      <c r="G176" t="inlineStr">
        <is>
          <t>HUDIKSVALL</t>
        </is>
      </c>
      <c r="H176" t="inlineStr">
        <is>
          <t>Holmen skog AB</t>
        </is>
      </c>
      <c r="I176" t="n">
        <v>1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18538-2024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45425</v>
      </c>
      <c r="E177" s="1" t="n">
        <v>46272</v>
      </c>
      <c r="F177" t="inlineStr">
        <is>
          <t>GÄVLEBORGS LÄN</t>
        </is>
      </c>
      <c r="G177" t="inlineStr">
        <is>
          <t>HUDIKSVALL</t>
        </is>
      </c>
      <c r="H177" t="inlineStr">
        <is>
          <t>Holmen skog AB</t>
        </is>
      </c>
      <c r="I177" t="n">
        <v>2.3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8732-2023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44978</v>
      </c>
      <c r="E178" s="1" t="n">
        <v>46272</v>
      </c>
      <c r="F178" t="inlineStr">
        <is>
          <t>GÄVLEBORGS LÄN</t>
        </is>
      </c>
      <c r="G178" t="inlineStr">
        <is>
          <t>HUDIKSVALL</t>
        </is>
      </c>
      <c r="I178" t="n">
        <v>2.7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34427-2022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44792</v>
      </c>
      <c r="E179" s="1" t="n">
        <v>46272</v>
      </c>
      <c r="F179" t="inlineStr">
        <is>
          <t>GÄVLEBORGS LÄN</t>
        </is>
      </c>
      <c r="G179" t="inlineStr">
        <is>
          <t>HUDIKSVALL</t>
        </is>
      </c>
      <c r="H179" t="inlineStr">
        <is>
          <t>Holmen skog AB</t>
        </is>
      </c>
      <c r="I179" t="n">
        <v>0.9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23928-2023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45078</v>
      </c>
      <c r="E180" s="1" t="n">
        <v>46272</v>
      </c>
      <c r="F180" t="inlineStr">
        <is>
          <t>GÄVLEBORGS LÄN</t>
        </is>
      </c>
      <c r="G180" t="inlineStr">
        <is>
          <t>HUDIKSVALL</t>
        </is>
      </c>
      <c r="H180" t="inlineStr">
        <is>
          <t>Holmen skog AB</t>
        </is>
      </c>
      <c r="I180" t="n">
        <v>5.7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31876-2023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45118</v>
      </c>
      <c r="E181" s="1" t="n">
        <v>46272</v>
      </c>
      <c r="F181" t="inlineStr">
        <is>
          <t>GÄVLEBORGS LÄN</t>
        </is>
      </c>
      <c r="G181" t="inlineStr">
        <is>
          <t>HUDIKSVALL</t>
        </is>
      </c>
      <c r="I181" t="n">
        <v>2.4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27051-2022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44741</v>
      </c>
      <c r="E182" s="1" t="n">
        <v>46272</v>
      </c>
      <c r="F182" t="inlineStr">
        <is>
          <t>GÄVLEBORGS LÄN</t>
        </is>
      </c>
      <c r="G182" t="inlineStr">
        <is>
          <t>HUDIKSVALL</t>
        </is>
      </c>
      <c r="I182" t="n">
        <v>2.2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56215-2024</t>
        </is>
      </c>
      <c r="B183" t="inlineStr">
        <is>
          <t>avverkningsanmälan</t>
        </is>
      </c>
      <c r="C183" t="inlineStr">
        <is>
          <t>Avverkning för annat ändamål</t>
        </is>
      </c>
      <c r="D183" s="1" t="n">
        <v>45624</v>
      </c>
      <c r="E183" s="1" t="n">
        <v>46272</v>
      </c>
      <c r="F183" t="inlineStr">
        <is>
          <t>GÄVLEBORGS LÄN</t>
        </is>
      </c>
      <c r="G183" t="inlineStr">
        <is>
          <t>HUDIKSVALL</t>
        </is>
      </c>
      <c r="H183" t="inlineStr">
        <is>
          <t>Holmen skog AB</t>
        </is>
      </c>
      <c r="I183" t="n">
        <v>1.6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42128-2023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45177</v>
      </c>
      <c r="E184" s="1" t="n">
        <v>46272</v>
      </c>
      <c r="F184" t="inlineStr">
        <is>
          <t>GÄVLEBORGS LÄN</t>
        </is>
      </c>
      <c r="G184" t="inlineStr">
        <is>
          <t>HUDIKSVALL</t>
        </is>
      </c>
      <c r="H184" t="inlineStr">
        <is>
          <t>Holmen skog AB</t>
        </is>
      </c>
      <c r="I184" t="n">
        <v>9.1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13085-2023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45002</v>
      </c>
      <c r="E185" s="1" t="n">
        <v>46272</v>
      </c>
      <c r="F185" t="inlineStr">
        <is>
          <t>GÄVLEBORGS LÄN</t>
        </is>
      </c>
      <c r="G185" t="inlineStr">
        <is>
          <t>HUDIKSVALL</t>
        </is>
      </c>
      <c r="H185" t="inlineStr">
        <is>
          <t>Holmen skog AB</t>
        </is>
      </c>
      <c r="I185" t="n">
        <v>2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27620-2024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45474</v>
      </c>
      <c r="E186" s="1" t="n">
        <v>46272</v>
      </c>
      <c r="F186" t="inlineStr">
        <is>
          <t>GÄVLEBORGS LÄN</t>
        </is>
      </c>
      <c r="G186" t="inlineStr">
        <is>
          <t>HUDIKSVALL</t>
        </is>
      </c>
      <c r="H186" t="inlineStr">
        <is>
          <t>Holmen skog AB</t>
        </is>
      </c>
      <c r="I186" t="n">
        <v>11.7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56754-2022</t>
        </is>
      </c>
      <c r="B187" t="inlineStr">
        <is>
          <t>avverkningsanmälan</t>
        </is>
      </c>
      <c r="C187" t="inlineStr">
        <is>
          <t>Avverkning för annat ändamål</t>
        </is>
      </c>
      <c r="D187" s="1" t="n">
        <v>44894</v>
      </c>
      <c r="E187" s="1" t="n">
        <v>46272</v>
      </c>
      <c r="F187" t="inlineStr">
        <is>
          <t>GÄVLEBORGS LÄN</t>
        </is>
      </c>
      <c r="G187" t="inlineStr">
        <is>
          <t>HUDIKSVALL</t>
        </is>
      </c>
      <c r="H187" t="inlineStr">
        <is>
          <t>Holmen skog AB</t>
        </is>
      </c>
      <c r="I187" t="n">
        <v>1.5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68342-2021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44528</v>
      </c>
      <c r="E188" s="1" t="n">
        <v>46272</v>
      </c>
      <c r="F188" t="inlineStr">
        <is>
          <t>GÄVLEBORGS LÄN</t>
        </is>
      </c>
      <c r="G188" t="inlineStr">
        <is>
          <t>HUDIKSVALL</t>
        </is>
      </c>
      <c r="I188" t="n">
        <v>1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16768-2024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45411</v>
      </c>
      <c r="E189" s="1" t="n">
        <v>46272</v>
      </c>
      <c r="F189" t="inlineStr">
        <is>
          <t>GÄVLEBORGS LÄN</t>
        </is>
      </c>
      <c r="G189" t="inlineStr">
        <is>
          <t>HUDIKSVALL</t>
        </is>
      </c>
      <c r="H189" t="inlineStr">
        <is>
          <t>Holmen skog AB</t>
        </is>
      </c>
      <c r="I189" t="n">
        <v>0.6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16827-2024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45411</v>
      </c>
      <c r="E190" s="1" t="n">
        <v>46272</v>
      </c>
      <c r="F190" t="inlineStr">
        <is>
          <t>GÄVLEBORGS LÄN</t>
        </is>
      </c>
      <c r="G190" t="inlineStr">
        <is>
          <t>HUDIKSVALL</t>
        </is>
      </c>
      <c r="H190" t="inlineStr">
        <is>
          <t>Holmen skog AB</t>
        </is>
      </c>
      <c r="I190" t="n">
        <v>5.9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5892-2025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45695</v>
      </c>
      <c r="E191" s="1" t="n">
        <v>46272</v>
      </c>
      <c r="F191" t="inlineStr">
        <is>
          <t>GÄVLEBORGS LÄN</t>
        </is>
      </c>
      <c r="G191" t="inlineStr">
        <is>
          <t>HUDIKSVALL</t>
        </is>
      </c>
      <c r="H191" t="inlineStr">
        <is>
          <t>Holmen skog AB</t>
        </is>
      </c>
      <c r="I191" t="n">
        <v>2.1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54690-2024</t>
        </is>
      </c>
      <c r="B192" t="inlineStr">
        <is>
          <t>avverkningsanmälan</t>
        </is>
      </c>
      <c r="C192" t="inlineStr">
        <is>
          <t>Avverkning för att bevara och utveckla /försöksver</t>
        </is>
      </c>
      <c r="D192" s="1" t="n">
        <v>45618</v>
      </c>
      <c r="E192" s="1" t="n">
        <v>46272</v>
      </c>
      <c r="F192" t="inlineStr">
        <is>
          <t>GÄVLEBORGS LÄN</t>
        </is>
      </c>
      <c r="G192" t="inlineStr">
        <is>
          <t>HUDIKSVALL</t>
        </is>
      </c>
      <c r="H192" t="inlineStr">
        <is>
          <t>Holmen skog AB</t>
        </is>
      </c>
      <c r="I192" t="n">
        <v>1.4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6274-2025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45698</v>
      </c>
      <c r="E193" s="1" t="n">
        <v>46272</v>
      </c>
      <c r="F193" t="inlineStr">
        <is>
          <t>GÄVLEBORGS LÄN</t>
        </is>
      </c>
      <c r="G193" t="inlineStr">
        <is>
          <t>HUDIKSVALL</t>
        </is>
      </c>
      <c r="I193" t="n">
        <v>1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12880-2023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45001</v>
      </c>
      <c r="E194" s="1" t="n">
        <v>46272</v>
      </c>
      <c r="F194" t="inlineStr">
        <is>
          <t>GÄVLEBORGS LÄN</t>
        </is>
      </c>
      <c r="G194" t="inlineStr">
        <is>
          <t>HUDIKSVALL</t>
        </is>
      </c>
      <c r="I194" t="n">
        <v>11.4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56709-2024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45627</v>
      </c>
      <c r="E195" s="1" t="n">
        <v>46272</v>
      </c>
      <c r="F195" t="inlineStr">
        <is>
          <t>GÄVLEBORGS LÄN</t>
        </is>
      </c>
      <c r="G195" t="inlineStr">
        <is>
          <t>HUDIKSVALL</t>
        </is>
      </c>
      <c r="I195" t="n">
        <v>0.3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19641-2023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45051</v>
      </c>
      <c r="E196" s="1" t="n">
        <v>46272</v>
      </c>
      <c r="F196" t="inlineStr">
        <is>
          <t>GÄVLEBORGS LÄN</t>
        </is>
      </c>
      <c r="G196" t="inlineStr">
        <is>
          <t>HUDIKSVALL</t>
        </is>
      </c>
      <c r="H196" t="inlineStr">
        <is>
          <t>Holmen skog AB</t>
        </is>
      </c>
      <c r="I196" t="n">
        <v>6.2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64015-2023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45278</v>
      </c>
      <c r="E197" s="1" t="n">
        <v>46272</v>
      </c>
      <c r="F197" t="inlineStr">
        <is>
          <t>GÄVLEBORGS LÄN</t>
        </is>
      </c>
      <c r="G197" t="inlineStr">
        <is>
          <t>HUDIKSVALL</t>
        </is>
      </c>
      <c r="I197" t="n">
        <v>1.4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38701-2024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45547</v>
      </c>
      <c r="E198" s="1" t="n">
        <v>46272</v>
      </c>
      <c r="F198" t="inlineStr">
        <is>
          <t>GÄVLEBORGS LÄN</t>
        </is>
      </c>
      <c r="G198" t="inlineStr">
        <is>
          <t>HUDIKSVALL</t>
        </is>
      </c>
      <c r="I198" t="n">
        <v>6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38667-2023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45162</v>
      </c>
      <c r="E199" s="1" t="n">
        <v>46272</v>
      </c>
      <c r="F199" t="inlineStr">
        <is>
          <t>GÄVLEBORGS LÄN</t>
        </is>
      </c>
      <c r="G199" t="inlineStr">
        <is>
          <t>HUDIKSVALL</t>
        </is>
      </c>
      <c r="I199" t="n">
        <v>2.5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45318-2023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45191</v>
      </c>
      <c r="E200" s="1" t="n">
        <v>46272</v>
      </c>
      <c r="F200" t="inlineStr">
        <is>
          <t>GÄVLEBORGS LÄN</t>
        </is>
      </c>
      <c r="G200" t="inlineStr">
        <is>
          <t>HUDIKSVALL</t>
        </is>
      </c>
      <c r="I200" t="n">
        <v>1.8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19484-2023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45050</v>
      </c>
      <c r="E201" s="1" t="n">
        <v>46272</v>
      </c>
      <c r="F201" t="inlineStr">
        <is>
          <t>GÄVLEBORGS LÄN</t>
        </is>
      </c>
      <c r="G201" t="inlineStr">
        <is>
          <t>HUDIKSVALL</t>
        </is>
      </c>
      <c r="H201" t="inlineStr">
        <is>
          <t>Holmen skog AB</t>
        </is>
      </c>
      <c r="I201" t="n">
        <v>3.9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54565-2021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44473</v>
      </c>
      <c r="E202" s="1" t="n">
        <v>46272</v>
      </c>
      <c r="F202" t="inlineStr">
        <is>
          <t>GÄVLEBORGS LÄN</t>
        </is>
      </c>
      <c r="G202" t="inlineStr">
        <is>
          <t>HUDIKSVALL</t>
        </is>
      </c>
      <c r="H202" t="inlineStr">
        <is>
          <t>Holmen skog AB</t>
        </is>
      </c>
      <c r="I202" t="n">
        <v>1.4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62926-2023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45272</v>
      </c>
      <c r="E203" s="1" t="n">
        <v>46272</v>
      </c>
      <c r="F203" t="inlineStr">
        <is>
          <t>GÄVLEBORGS LÄN</t>
        </is>
      </c>
      <c r="G203" t="inlineStr">
        <is>
          <t>HUDIKSVALL</t>
        </is>
      </c>
      <c r="I203" t="n">
        <v>1.1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19724-2024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45432</v>
      </c>
      <c r="E204" s="1" t="n">
        <v>46272</v>
      </c>
      <c r="F204" t="inlineStr">
        <is>
          <t>GÄVLEBORGS LÄN</t>
        </is>
      </c>
      <c r="G204" t="inlineStr">
        <is>
          <t>HUDIKSVALL</t>
        </is>
      </c>
      <c r="I204" t="n">
        <v>0.6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43469-2023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45184</v>
      </c>
      <c r="E205" s="1" t="n">
        <v>46272</v>
      </c>
      <c r="F205" t="inlineStr">
        <is>
          <t>GÄVLEBORGS LÄN</t>
        </is>
      </c>
      <c r="G205" t="inlineStr">
        <is>
          <t>HUDIKSVALL</t>
        </is>
      </c>
      <c r="I205" t="n">
        <v>1.7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22588-2023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45071</v>
      </c>
      <c r="E206" s="1" t="n">
        <v>46272</v>
      </c>
      <c r="F206" t="inlineStr">
        <is>
          <t>GÄVLEBORGS LÄN</t>
        </is>
      </c>
      <c r="G206" t="inlineStr">
        <is>
          <t>HUDIKSVALL</t>
        </is>
      </c>
      <c r="I206" t="n">
        <v>8.4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65363-2021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44515</v>
      </c>
      <c r="E207" s="1" t="n">
        <v>46272</v>
      </c>
      <c r="F207" t="inlineStr">
        <is>
          <t>GÄVLEBORGS LÄN</t>
        </is>
      </c>
      <c r="G207" t="inlineStr">
        <is>
          <t>HUDIKSVALL</t>
        </is>
      </c>
      <c r="I207" t="n">
        <v>1.8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9309-2022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44616</v>
      </c>
      <c r="E208" s="1" t="n">
        <v>46272</v>
      </c>
      <c r="F208" t="inlineStr">
        <is>
          <t>GÄVLEBORGS LÄN</t>
        </is>
      </c>
      <c r="G208" t="inlineStr">
        <is>
          <t>HUDIKSVALL</t>
        </is>
      </c>
      <c r="I208" t="n">
        <v>1.7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42942-2024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45567</v>
      </c>
      <c r="E209" s="1" t="n">
        <v>46272</v>
      </c>
      <c r="F209" t="inlineStr">
        <is>
          <t>GÄVLEBORGS LÄN</t>
        </is>
      </c>
      <c r="G209" t="inlineStr">
        <is>
          <t>HUDIKSVALL</t>
        </is>
      </c>
      <c r="H209" t="inlineStr">
        <is>
          <t>Holmen skog AB</t>
        </is>
      </c>
      <c r="I209" t="n">
        <v>5.4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38220-2024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45545</v>
      </c>
      <c r="E210" s="1" t="n">
        <v>46272</v>
      </c>
      <c r="F210" t="inlineStr">
        <is>
          <t>GÄVLEBORGS LÄN</t>
        </is>
      </c>
      <c r="G210" t="inlineStr">
        <is>
          <t>HUDIKSVALL</t>
        </is>
      </c>
      <c r="H210" t="inlineStr">
        <is>
          <t>Holmen skog AB</t>
        </is>
      </c>
      <c r="I210" t="n">
        <v>1.9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35002-2023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45142</v>
      </c>
      <c r="E211" s="1" t="n">
        <v>46272</v>
      </c>
      <c r="F211" t="inlineStr">
        <is>
          <t>GÄVLEBORGS LÄN</t>
        </is>
      </c>
      <c r="G211" t="inlineStr">
        <is>
          <t>HUDIKSVALL</t>
        </is>
      </c>
      <c r="I211" t="n">
        <v>2.5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7485-2025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45705</v>
      </c>
      <c r="E212" s="1" t="n">
        <v>46272</v>
      </c>
      <c r="F212" t="inlineStr">
        <is>
          <t>GÄVLEBORGS LÄN</t>
        </is>
      </c>
      <c r="G212" t="inlineStr">
        <is>
          <t>HUDIKSVALL</t>
        </is>
      </c>
      <c r="H212" t="inlineStr">
        <is>
          <t>Holmen skog AB</t>
        </is>
      </c>
      <c r="I212" t="n">
        <v>9.199999999999999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64593-2023</t>
        </is>
      </c>
      <c r="B213" t="inlineStr">
        <is>
          <t>avverkningsanmälan</t>
        </is>
      </c>
      <c r="C213" t="inlineStr">
        <is>
          <t>Avverkning för annat ändamål</t>
        </is>
      </c>
      <c r="D213" s="1" t="n">
        <v>45281</v>
      </c>
      <c r="E213" s="1" t="n">
        <v>46272</v>
      </c>
      <c r="F213" t="inlineStr">
        <is>
          <t>GÄVLEBORGS LÄN</t>
        </is>
      </c>
      <c r="G213" t="inlineStr">
        <is>
          <t>HUDIKSVALL</t>
        </is>
      </c>
      <c r="H213" t="inlineStr">
        <is>
          <t>Holmen skog AB</t>
        </is>
      </c>
      <c r="I213" t="n">
        <v>0.9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16093-2024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45406</v>
      </c>
      <c r="E214" s="1" t="n">
        <v>46272</v>
      </c>
      <c r="F214" t="inlineStr">
        <is>
          <t>GÄVLEBORGS LÄN</t>
        </is>
      </c>
      <c r="G214" t="inlineStr">
        <is>
          <t>HUDIKSVALL</t>
        </is>
      </c>
      <c r="I214" t="n">
        <v>1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2658-2024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45314</v>
      </c>
      <c r="E215" s="1" t="n">
        <v>46272</v>
      </c>
      <c r="F215" t="inlineStr">
        <is>
          <t>GÄVLEBORGS LÄN</t>
        </is>
      </c>
      <c r="G215" t="inlineStr">
        <is>
          <t>HUDIKSVALL</t>
        </is>
      </c>
      <c r="H215" t="inlineStr">
        <is>
          <t>Holmen skog AB</t>
        </is>
      </c>
      <c r="I215" t="n">
        <v>0.4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58723-2022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44902</v>
      </c>
      <c r="E216" s="1" t="n">
        <v>46272</v>
      </c>
      <c r="F216" t="inlineStr">
        <is>
          <t>GÄVLEBORGS LÄN</t>
        </is>
      </c>
      <c r="G216" t="inlineStr">
        <is>
          <t>HUDIKSVALL</t>
        </is>
      </c>
      <c r="I216" t="n">
        <v>0.7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18991-2025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45764</v>
      </c>
      <c r="E217" s="1" t="n">
        <v>46272</v>
      </c>
      <c r="F217" t="inlineStr">
        <is>
          <t>GÄVLEBORGS LÄN</t>
        </is>
      </c>
      <c r="G217" t="inlineStr">
        <is>
          <t>HUDIKSVALL</t>
        </is>
      </c>
      <c r="H217" t="inlineStr">
        <is>
          <t>Holmen skog AB</t>
        </is>
      </c>
      <c r="I217" t="n">
        <v>6.8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59593-2021</t>
        </is>
      </c>
      <c r="B218" t="inlineStr">
        <is>
          <t>avverkningsanmälan</t>
        </is>
      </c>
      <c r="C218" t="inlineStr">
        <is>
          <t>Avverkning för annat ändamål</t>
        </is>
      </c>
      <c r="D218" s="1" t="n">
        <v>44491</v>
      </c>
      <c r="E218" s="1" t="n">
        <v>46272</v>
      </c>
      <c r="F218" t="inlineStr">
        <is>
          <t>GÄVLEBORGS LÄN</t>
        </is>
      </c>
      <c r="G218" t="inlineStr">
        <is>
          <t>HUDIKSVALL</t>
        </is>
      </c>
      <c r="I218" t="n">
        <v>2.8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58423-2022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44901</v>
      </c>
      <c r="E219" s="1" t="n">
        <v>46272</v>
      </c>
      <c r="F219" t="inlineStr">
        <is>
          <t>GÄVLEBORGS LÄN</t>
        </is>
      </c>
      <c r="G219" t="inlineStr">
        <is>
          <t>HUDIKSVALL</t>
        </is>
      </c>
      <c r="I219" t="n">
        <v>1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43007-2023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45182</v>
      </c>
      <c r="E220" s="1" t="n">
        <v>46272</v>
      </c>
      <c r="F220" t="inlineStr">
        <is>
          <t>GÄVLEBORGS LÄN</t>
        </is>
      </c>
      <c r="G220" t="inlineStr">
        <is>
          <t>HUDIKSVALL</t>
        </is>
      </c>
      <c r="H220" t="inlineStr">
        <is>
          <t>Holmen skog AB</t>
        </is>
      </c>
      <c r="I220" t="n">
        <v>5.8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23187-2023</t>
        </is>
      </c>
      <c r="B221" t="inlineStr">
        <is>
          <t>avverkningsanmälan</t>
        </is>
      </c>
      <c r="C221" t="inlineStr">
        <is>
          <t>Avverkning för annat ändamål</t>
        </is>
      </c>
      <c r="D221" s="1" t="n">
        <v>45075</v>
      </c>
      <c r="E221" s="1" t="n">
        <v>46272</v>
      </c>
      <c r="F221" t="inlineStr">
        <is>
          <t>GÄVLEBORGS LÄN</t>
        </is>
      </c>
      <c r="G221" t="inlineStr">
        <is>
          <t>HUDIKSVALL</t>
        </is>
      </c>
      <c r="H221" t="inlineStr">
        <is>
          <t>Kommuner</t>
        </is>
      </c>
      <c r="I221" t="n">
        <v>0.3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624-2025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45664</v>
      </c>
      <c r="E222" s="1" t="n">
        <v>46272</v>
      </c>
      <c r="F222" t="inlineStr">
        <is>
          <t>GÄVLEBORGS LÄN</t>
        </is>
      </c>
      <c r="G222" t="inlineStr">
        <is>
          <t>HUDIKSVALL</t>
        </is>
      </c>
      <c r="H222" t="inlineStr">
        <is>
          <t>Holmen skog AB</t>
        </is>
      </c>
      <c r="I222" t="n">
        <v>3.2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52438-2023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45225</v>
      </c>
      <c r="E223" s="1" t="n">
        <v>46272</v>
      </c>
      <c r="F223" t="inlineStr">
        <is>
          <t>GÄVLEBORGS LÄN</t>
        </is>
      </c>
      <c r="G223" t="inlineStr">
        <is>
          <t>HUDIKSVALL</t>
        </is>
      </c>
      <c r="I223" t="n">
        <v>1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4301-2023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44953</v>
      </c>
      <c r="E224" s="1" t="n">
        <v>46272</v>
      </c>
      <c r="F224" t="inlineStr">
        <is>
          <t>GÄVLEBORGS LÄN</t>
        </is>
      </c>
      <c r="G224" t="inlineStr">
        <is>
          <t>HUDIKSVALL</t>
        </is>
      </c>
      <c r="I224" t="n">
        <v>1.5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9392-2025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45715</v>
      </c>
      <c r="E225" s="1" t="n">
        <v>46272</v>
      </c>
      <c r="F225" t="inlineStr">
        <is>
          <t>GÄVLEBORGS LÄN</t>
        </is>
      </c>
      <c r="G225" t="inlineStr">
        <is>
          <t>HUDIKSVALL</t>
        </is>
      </c>
      <c r="I225" t="n">
        <v>0.8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36405-2024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45535</v>
      </c>
      <c r="E226" s="1" t="n">
        <v>46272</v>
      </c>
      <c r="F226" t="inlineStr">
        <is>
          <t>GÄVLEBORGS LÄN</t>
        </is>
      </c>
      <c r="G226" t="inlineStr">
        <is>
          <t>HUDIKSVALL</t>
        </is>
      </c>
      <c r="H226" t="inlineStr">
        <is>
          <t>Holmen skog AB</t>
        </is>
      </c>
      <c r="I226" t="n">
        <v>16.8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72535-2021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44546</v>
      </c>
      <c r="E227" s="1" t="n">
        <v>46272</v>
      </c>
      <c r="F227" t="inlineStr">
        <is>
          <t>GÄVLEBORGS LÄN</t>
        </is>
      </c>
      <c r="G227" t="inlineStr">
        <is>
          <t>HUDIKSVALL</t>
        </is>
      </c>
      <c r="H227" t="inlineStr">
        <is>
          <t>Sveaskog</t>
        </is>
      </c>
      <c r="I227" t="n">
        <v>23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27475-2023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45097</v>
      </c>
      <c r="E228" s="1" t="n">
        <v>46272</v>
      </c>
      <c r="F228" t="inlineStr">
        <is>
          <t>GÄVLEBORGS LÄN</t>
        </is>
      </c>
      <c r="G228" t="inlineStr">
        <is>
          <t>HUDIKSVALL</t>
        </is>
      </c>
      <c r="H228" t="inlineStr">
        <is>
          <t>Holmen skog AB</t>
        </is>
      </c>
      <c r="I228" t="n">
        <v>14.6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17345-2024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45414</v>
      </c>
      <c r="E229" s="1" t="n">
        <v>46272</v>
      </c>
      <c r="F229" t="inlineStr">
        <is>
          <t>GÄVLEBORGS LÄN</t>
        </is>
      </c>
      <c r="G229" t="inlineStr">
        <is>
          <t>HUDIKSVALL</t>
        </is>
      </c>
      <c r="I229" t="n">
        <v>3.2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61785-2024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45649</v>
      </c>
      <c r="E230" s="1" t="n">
        <v>46272</v>
      </c>
      <c r="F230" t="inlineStr">
        <is>
          <t>GÄVLEBORGS LÄN</t>
        </is>
      </c>
      <c r="G230" t="inlineStr">
        <is>
          <t>HUDIKSVALL</t>
        </is>
      </c>
      <c r="I230" t="n">
        <v>3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61792-2024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45649</v>
      </c>
      <c r="E231" s="1" t="n">
        <v>46272</v>
      </c>
      <c r="F231" t="inlineStr">
        <is>
          <t>GÄVLEBORGS LÄN</t>
        </is>
      </c>
      <c r="G231" t="inlineStr">
        <is>
          <t>HUDIKSVALL</t>
        </is>
      </c>
      <c r="I231" t="n">
        <v>1.2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54173-2023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45232</v>
      </c>
      <c r="E232" s="1" t="n">
        <v>46272</v>
      </c>
      <c r="F232" t="inlineStr">
        <is>
          <t>GÄVLEBORGS LÄN</t>
        </is>
      </c>
      <c r="G232" t="inlineStr">
        <is>
          <t>HUDIKSVALL</t>
        </is>
      </c>
      <c r="I232" t="n">
        <v>3.2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2120-2024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45309</v>
      </c>
      <c r="E233" s="1" t="n">
        <v>46272</v>
      </c>
      <c r="F233" t="inlineStr">
        <is>
          <t>GÄVLEBORGS LÄN</t>
        </is>
      </c>
      <c r="G233" t="inlineStr">
        <is>
          <t>HUDIKSVALL</t>
        </is>
      </c>
      <c r="H233" t="inlineStr">
        <is>
          <t>Holmen skog AB</t>
        </is>
      </c>
      <c r="I233" t="n">
        <v>10.9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19227-2025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45769</v>
      </c>
      <c r="E234" s="1" t="n">
        <v>46272</v>
      </c>
      <c r="F234" t="inlineStr">
        <is>
          <t>GÄVLEBORGS LÄN</t>
        </is>
      </c>
      <c r="G234" t="inlineStr">
        <is>
          <t>HUDIKSVALL</t>
        </is>
      </c>
      <c r="H234" t="inlineStr">
        <is>
          <t>Holmen skog AB</t>
        </is>
      </c>
      <c r="I234" t="n">
        <v>5.3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6730-2025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45700</v>
      </c>
      <c r="E235" s="1" t="n">
        <v>46272</v>
      </c>
      <c r="F235" t="inlineStr">
        <is>
          <t>GÄVLEBORGS LÄN</t>
        </is>
      </c>
      <c r="G235" t="inlineStr">
        <is>
          <t>HUDIKSVALL</t>
        </is>
      </c>
      <c r="I235" t="n">
        <v>25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816-2022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44571</v>
      </c>
      <c r="E236" s="1" t="n">
        <v>46272</v>
      </c>
      <c r="F236" t="inlineStr">
        <is>
          <t>GÄVLEBORGS LÄN</t>
        </is>
      </c>
      <c r="G236" t="inlineStr">
        <is>
          <t>HUDIKSVALL</t>
        </is>
      </c>
      <c r="I236" t="n">
        <v>1.2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15859-2023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45022</v>
      </c>
      <c r="E237" s="1" t="n">
        <v>46272</v>
      </c>
      <c r="F237" t="inlineStr">
        <is>
          <t>GÄVLEBORGS LÄN</t>
        </is>
      </c>
      <c r="G237" t="inlineStr">
        <is>
          <t>HUDIKSVALL</t>
        </is>
      </c>
      <c r="I237" t="n">
        <v>1.1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9477-2025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45715</v>
      </c>
      <c r="E238" s="1" t="n">
        <v>46272</v>
      </c>
      <c r="F238" t="inlineStr">
        <is>
          <t>GÄVLEBORGS LÄN</t>
        </is>
      </c>
      <c r="G238" t="inlineStr">
        <is>
          <t>HUDIKSVALL</t>
        </is>
      </c>
      <c r="I238" t="n">
        <v>2.5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4605-2023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44956</v>
      </c>
      <c r="E239" s="1" t="n">
        <v>46272</v>
      </c>
      <c r="F239" t="inlineStr">
        <is>
          <t>GÄVLEBORGS LÄN</t>
        </is>
      </c>
      <c r="G239" t="inlineStr">
        <is>
          <t>HUDIKSVALL</t>
        </is>
      </c>
      <c r="I239" t="n">
        <v>1.3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2688-2025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45677</v>
      </c>
      <c r="E240" s="1" t="n">
        <v>46272</v>
      </c>
      <c r="F240" t="inlineStr">
        <is>
          <t>GÄVLEBORGS LÄN</t>
        </is>
      </c>
      <c r="G240" t="inlineStr">
        <is>
          <t>HUDIKSVALL</t>
        </is>
      </c>
      <c r="H240" t="inlineStr">
        <is>
          <t>Holmen skog AB</t>
        </is>
      </c>
      <c r="I240" t="n">
        <v>7.4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405-2025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45663</v>
      </c>
      <c r="E241" s="1" t="n">
        <v>46272</v>
      </c>
      <c r="F241" t="inlineStr">
        <is>
          <t>GÄVLEBORGS LÄN</t>
        </is>
      </c>
      <c r="G241" t="inlineStr">
        <is>
          <t>HUDIKSVALL</t>
        </is>
      </c>
      <c r="I241" t="n">
        <v>0.3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2720-2025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45677</v>
      </c>
      <c r="E242" s="1" t="n">
        <v>46272</v>
      </c>
      <c r="F242" t="inlineStr">
        <is>
          <t>GÄVLEBORGS LÄN</t>
        </is>
      </c>
      <c r="G242" t="inlineStr">
        <is>
          <t>HUDIKSVALL</t>
        </is>
      </c>
      <c r="H242" t="inlineStr">
        <is>
          <t>Holmen skog AB</t>
        </is>
      </c>
      <c r="I242" t="n">
        <v>1.7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19601-2024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45431</v>
      </c>
      <c r="E243" s="1" t="n">
        <v>46272</v>
      </c>
      <c r="F243" t="inlineStr">
        <is>
          <t>GÄVLEBORGS LÄN</t>
        </is>
      </c>
      <c r="G243" t="inlineStr">
        <is>
          <t>HUDIKSVALL</t>
        </is>
      </c>
      <c r="H243" t="inlineStr">
        <is>
          <t>Holmen skog AB</t>
        </is>
      </c>
      <c r="I243" t="n">
        <v>2.8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8434-2024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45353</v>
      </c>
      <c r="E244" s="1" t="n">
        <v>46272</v>
      </c>
      <c r="F244" t="inlineStr">
        <is>
          <t>GÄVLEBORGS LÄN</t>
        </is>
      </c>
      <c r="G244" t="inlineStr">
        <is>
          <t>HUDIKSVALL</t>
        </is>
      </c>
      <c r="H244" t="inlineStr">
        <is>
          <t>Holmen skog AB</t>
        </is>
      </c>
      <c r="I244" t="n">
        <v>10.1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56894-2023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45244</v>
      </c>
      <c r="E245" s="1" t="n">
        <v>46272</v>
      </c>
      <c r="F245" t="inlineStr">
        <is>
          <t>GÄVLEBORGS LÄN</t>
        </is>
      </c>
      <c r="G245" t="inlineStr">
        <is>
          <t>HUDIKSVALL</t>
        </is>
      </c>
      <c r="H245" t="inlineStr">
        <is>
          <t>Holmen skog AB</t>
        </is>
      </c>
      <c r="I245" t="n">
        <v>0.8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13267-2025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45735</v>
      </c>
      <c r="E246" s="1" t="n">
        <v>46272</v>
      </c>
      <c r="F246" t="inlineStr">
        <is>
          <t>GÄVLEBORGS LÄN</t>
        </is>
      </c>
      <c r="G246" t="inlineStr">
        <is>
          <t>HUDIKSVALL</t>
        </is>
      </c>
      <c r="I246" t="n">
        <v>1.3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23701-2025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45793</v>
      </c>
      <c r="E247" s="1" t="n">
        <v>46272</v>
      </c>
      <c r="F247" t="inlineStr">
        <is>
          <t>GÄVLEBORGS LÄN</t>
        </is>
      </c>
      <c r="G247" t="inlineStr">
        <is>
          <t>HUDIKSVALL</t>
        </is>
      </c>
      <c r="I247" t="n">
        <v>4.7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24241-2025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45797</v>
      </c>
      <c r="E248" s="1" t="n">
        <v>46272</v>
      </c>
      <c r="F248" t="inlineStr">
        <is>
          <t>GÄVLEBORGS LÄN</t>
        </is>
      </c>
      <c r="G248" t="inlineStr">
        <is>
          <t>HUDIKSVALL</t>
        </is>
      </c>
      <c r="I248" t="n">
        <v>1.9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24320-2025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45797</v>
      </c>
      <c r="E249" s="1" t="n">
        <v>46272</v>
      </c>
      <c r="F249" t="inlineStr">
        <is>
          <t>GÄVLEBORGS LÄN</t>
        </is>
      </c>
      <c r="G249" t="inlineStr">
        <is>
          <t>HUDIKSVALL</t>
        </is>
      </c>
      <c r="I249" t="n">
        <v>1.7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5345-2025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45688</v>
      </c>
      <c r="E250" s="1" t="n">
        <v>46272</v>
      </c>
      <c r="F250" t="inlineStr">
        <is>
          <t>GÄVLEBORGS LÄN</t>
        </is>
      </c>
      <c r="G250" t="inlineStr">
        <is>
          <t>HUDIKSVALL</t>
        </is>
      </c>
      <c r="I250" t="n">
        <v>3.6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10427-2025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45720</v>
      </c>
      <c r="E251" s="1" t="n">
        <v>46272</v>
      </c>
      <c r="F251" t="inlineStr">
        <is>
          <t>GÄVLEBORGS LÄN</t>
        </is>
      </c>
      <c r="G251" t="inlineStr">
        <is>
          <t>HUDIKSVALL</t>
        </is>
      </c>
      <c r="I251" t="n">
        <v>2.8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47284-2024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45587</v>
      </c>
      <c r="E252" s="1" t="n">
        <v>46272</v>
      </c>
      <c r="F252" t="inlineStr">
        <is>
          <t>GÄVLEBORGS LÄN</t>
        </is>
      </c>
      <c r="G252" t="inlineStr">
        <is>
          <t>HUDIKSVALL</t>
        </is>
      </c>
      <c r="I252" t="n">
        <v>0.7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1468-2025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45670</v>
      </c>
      <c r="E253" s="1" t="n">
        <v>46272</v>
      </c>
      <c r="F253" t="inlineStr">
        <is>
          <t>GÄVLEBORGS LÄN</t>
        </is>
      </c>
      <c r="G253" t="inlineStr">
        <is>
          <t>HUDIKSVALL</t>
        </is>
      </c>
      <c r="I253" t="n">
        <v>11.8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41258-2024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45559</v>
      </c>
      <c r="E254" s="1" t="n">
        <v>46272</v>
      </c>
      <c r="F254" t="inlineStr">
        <is>
          <t>GÄVLEBORGS LÄN</t>
        </is>
      </c>
      <c r="G254" t="inlineStr">
        <is>
          <t>HUDIKSVALL</t>
        </is>
      </c>
      <c r="H254" t="inlineStr">
        <is>
          <t>Holmen skog AB</t>
        </is>
      </c>
      <c r="I254" t="n">
        <v>8.4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11107-2024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45371</v>
      </c>
      <c r="E255" s="1" t="n">
        <v>46272</v>
      </c>
      <c r="F255" t="inlineStr">
        <is>
          <t>GÄVLEBORGS LÄN</t>
        </is>
      </c>
      <c r="G255" t="inlineStr">
        <is>
          <t>HUDIKSVALL</t>
        </is>
      </c>
      <c r="H255" t="inlineStr">
        <is>
          <t>Holmen skog AB</t>
        </is>
      </c>
      <c r="I255" t="n">
        <v>4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56820-2023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45244</v>
      </c>
      <c r="E256" s="1" t="n">
        <v>46272</v>
      </c>
      <c r="F256" t="inlineStr">
        <is>
          <t>GÄVLEBORGS LÄN</t>
        </is>
      </c>
      <c r="G256" t="inlineStr">
        <is>
          <t>HUDIKSVALL</t>
        </is>
      </c>
      <c r="I256" t="n">
        <v>1.1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55434-2022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44887</v>
      </c>
      <c r="E257" s="1" t="n">
        <v>46272</v>
      </c>
      <c r="F257" t="inlineStr">
        <is>
          <t>GÄVLEBORGS LÄN</t>
        </is>
      </c>
      <c r="G257" t="inlineStr">
        <is>
          <t>HUDIKSVALL</t>
        </is>
      </c>
      <c r="H257" t="inlineStr">
        <is>
          <t>Holmen skog AB</t>
        </is>
      </c>
      <c r="I257" t="n">
        <v>1.7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60359-2024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45643</v>
      </c>
      <c r="E258" s="1" t="n">
        <v>46272</v>
      </c>
      <c r="F258" t="inlineStr">
        <is>
          <t>GÄVLEBORGS LÄN</t>
        </is>
      </c>
      <c r="G258" t="inlineStr">
        <is>
          <t>HUDIKSVALL</t>
        </is>
      </c>
      <c r="I258" t="n">
        <v>1.1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4619-2024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45328</v>
      </c>
      <c r="E259" s="1" t="n">
        <v>46272</v>
      </c>
      <c r="F259" t="inlineStr">
        <is>
          <t>GÄVLEBORGS LÄN</t>
        </is>
      </c>
      <c r="G259" t="inlineStr">
        <is>
          <t>HUDIKSVALL</t>
        </is>
      </c>
      <c r="H259" t="inlineStr">
        <is>
          <t>Holmen skog AB</t>
        </is>
      </c>
      <c r="I259" t="n">
        <v>2.2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9172-2023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44980</v>
      </c>
      <c r="E260" s="1" t="n">
        <v>46272</v>
      </c>
      <c r="F260" t="inlineStr">
        <is>
          <t>GÄVLEBORGS LÄN</t>
        </is>
      </c>
      <c r="G260" t="inlineStr">
        <is>
          <t>HUDIKSVALL</t>
        </is>
      </c>
      <c r="H260" t="inlineStr">
        <is>
          <t>Holmen skog AB</t>
        </is>
      </c>
      <c r="I260" t="n">
        <v>1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24584-2025</t>
        </is>
      </c>
      <c r="B261" t="inlineStr">
        <is>
          <t>avverkningsanmälan</t>
        </is>
      </c>
      <c r="C261" t="inlineStr">
        <is>
          <t>Avverkning för annat ändamål</t>
        </is>
      </c>
      <c r="D261" s="1" t="n">
        <v>45798</v>
      </c>
      <c r="E261" s="1" t="n">
        <v>46272</v>
      </c>
      <c r="F261" t="inlineStr">
        <is>
          <t>GÄVLEBORGS LÄN</t>
        </is>
      </c>
      <c r="G261" t="inlineStr">
        <is>
          <t>HUDIKSVALL</t>
        </is>
      </c>
      <c r="I261" t="n">
        <v>0.9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21940-2024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45443</v>
      </c>
      <c r="E262" s="1" t="n">
        <v>46272</v>
      </c>
      <c r="F262" t="inlineStr">
        <is>
          <t>GÄVLEBORGS LÄN</t>
        </is>
      </c>
      <c r="G262" t="inlineStr">
        <is>
          <t>HUDIKSVALL</t>
        </is>
      </c>
      <c r="H262" t="inlineStr">
        <is>
          <t>Holmen skog AB</t>
        </is>
      </c>
      <c r="I262" t="n">
        <v>1.6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16995-2024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45412</v>
      </c>
      <c r="E263" s="1" t="n">
        <v>46272</v>
      </c>
      <c r="F263" t="inlineStr">
        <is>
          <t>GÄVLEBORGS LÄN</t>
        </is>
      </c>
      <c r="G263" t="inlineStr">
        <is>
          <t>HUDIKSVALL</t>
        </is>
      </c>
      <c r="H263" t="inlineStr">
        <is>
          <t>Holmen skog AB</t>
        </is>
      </c>
      <c r="I263" t="n">
        <v>28.6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24999-2025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45799</v>
      </c>
      <c r="E264" s="1" t="n">
        <v>46272</v>
      </c>
      <c r="F264" t="inlineStr">
        <is>
          <t>GÄVLEBORGS LÄN</t>
        </is>
      </c>
      <c r="G264" t="inlineStr">
        <is>
          <t>HUDIKSVALL</t>
        </is>
      </c>
      <c r="H264" t="inlineStr">
        <is>
          <t>Holmen skog AB</t>
        </is>
      </c>
      <c r="I264" t="n">
        <v>6.9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15233-2023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45019</v>
      </c>
      <c r="E265" s="1" t="n">
        <v>46272</v>
      </c>
      <c r="F265" t="inlineStr">
        <is>
          <t>GÄVLEBORGS LÄN</t>
        </is>
      </c>
      <c r="G265" t="inlineStr">
        <is>
          <t>HUDIKSVALL</t>
        </is>
      </c>
      <c r="H265" t="inlineStr">
        <is>
          <t>Holmen skog AB</t>
        </is>
      </c>
      <c r="I265" t="n">
        <v>4.8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13759-2022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44649</v>
      </c>
      <c r="E266" s="1" t="n">
        <v>46272</v>
      </c>
      <c r="F266" t="inlineStr">
        <is>
          <t>GÄVLEBORGS LÄN</t>
        </is>
      </c>
      <c r="G266" t="inlineStr">
        <is>
          <t>HUDIKSVALL</t>
        </is>
      </c>
      <c r="H266" t="inlineStr">
        <is>
          <t>Holmen skog AB</t>
        </is>
      </c>
      <c r="I266" t="n">
        <v>1.3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25551-2025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45803</v>
      </c>
      <c r="E267" s="1" t="n">
        <v>46272</v>
      </c>
      <c r="F267" t="inlineStr">
        <is>
          <t>GÄVLEBORGS LÄN</t>
        </is>
      </c>
      <c r="G267" t="inlineStr">
        <is>
          <t>HUDIKSVALL</t>
        </is>
      </c>
      <c r="H267" t="inlineStr">
        <is>
          <t>Holmen skog AB</t>
        </is>
      </c>
      <c r="I267" t="n">
        <v>5.2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2127-2024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45309</v>
      </c>
      <c r="E268" s="1" t="n">
        <v>46272</v>
      </c>
      <c r="F268" t="inlineStr">
        <is>
          <t>GÄVLEBORGS LÄN</t>
        </is>
      </c>
      <c r="G268" t="inlineStr">
        <is>
          <t>HUDIKSVALL</t>
        </is>
      </c>
      <c r="H268" t="inlineStr">
        <is>
          <t>Holmen skog AB</t>
        </is>
      </c>
      <c r="I268" t="n">
        <v>3.1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25673-2025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45803</v>
      </c>
      <c r="E269" s="1" t="n">
        <v>46272</v>
      </c>
      <c r="F269" t="inlineStr">
        <is>
          <t>GÄVLEBORGS LÄN</t>
        </is>
      </c>
      <c r="G269" t="inlineStr">
        <is>
          <t>HUDIKSVALL</t>
        </is>
      </c>
      <c r="H269" t="inlineStr">
        <is>
          <t>Holmen skog AB</t>
        </is>
      </c>
      <c r="I269" t="n">
        <v>6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25538-2025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45803</v>
      </c>
      <c r="E270" s="1" t="n">
        <v>46272</v>
      </c>
      <c r="F270" t="inlineStr">
        <is>
          <t>GÄVLEBORGS LÄN</t>
        </is>
      </c>
      <c r="G270" t="inlineStr">
        <is>
          <t>HUDIKSVALL</t>
        </is>
      </c>
      <c r="H270" t="inlineStr">
        <is>
          <t>Holmen skog AB</t>
        </is>
      </c>
      <c r="I270" t="n">
        <v>3.6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59118-2022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44904</v>
      </c>
      <c r="E271" s="1" t="n">
        <v>46272</v>
      </c>
      <c r="F271" t="inlineStr">
        <is>
          <t>GÄVLEBORGS LÄN</t>
        </is>
      </c>
      <c r="G271" t="inlineStr">
        <is>
          <t>HUDIKSVALL</t>
        </is>
      </c>
      <c r="I271" t="n">
        <v>1.9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44688-2024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45574</v>
      </c>
      <c r="E272" s="1" t="n">
        <v>46272</v>
      </c>
      <c r="F272" t="inlineStr">
        <is>
          <t>GÄVLEBORGS LÄN</t>
        </is>
      </c>
      <c r="G272" t="inlineStr">
        <is>
          <t>HUDIKSVALL</t>
        </is>
      </c>
      <c r="I272" t="n">
        <v>66.59999999999999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36125-2023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45149</v>
      </c>
      <c r="E273" s="1" t="n">
        <v>46272</v>
      </c>
      <c r="F273" t="inlineStr">
        <is>
          <t>GÄVLEBORGS LÄN</t>
        </is>
      </c>
      <c r="G273" t="inlineStr">
        <is>
          <t>HUDIKSVALL</t>
        </is>
      </c>
      <c r="I273" t="n">
        <v>0.8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61478-2023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45264</v>
      </c>
      <c r="E274" s="1" t="n">
        <v>46272</v>
      </c>
      <c r="F274" t="inlineStr">
        <is>
          <t>GÄVLEBORGS LÄN</t>
        </is>
      </c>
      <c r="G274" t="inlineStr">
        <is>
          <t>HUDIKSVALL</t>
        </is>
      </c>
      <c r="I274" t="n">
        <v>4.1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24372-2023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45082</v>
      </c>
      <c r="E275" s="1" t="n">
        <v>46272</v>
      </c>
      <c r="F275" t="inlineStr">
        <is>
          <t>GÄVLEBORGS LÄN</t>
        </is>
      </c>
      <c r="G275" t="inlineStr">
        <is>
          <t>HUDIKSVALL</t>
        </is>
      </c>
      <c r="I275" t="n">
        <v>5.9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11432-2023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44993</v>
      </c>
      <c r="E276" s="1" t="n">
        <v>46272</v>
      </c>
      <c r="F276" t="inlineStr">
        <is>
          <t>GÄVLEBORGS LÄN</t>
        </is>
      </c>
      <c r="G276" t="inlineStr">
        <is>
          <t>HUDIKSVALL</t>
        </is>
      </c>
      <c r="I276" t="n">
        <v>6.3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64082-2025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46021</v>
      </c>
      <c r="E277" s="1" t="n">
        <v>46272</v>
      </c>
      <c r="F277" t="inlineStr">
        <is>
          <t>GÄVLEBORGS LÄN</t>
        </is>
      </c>
      <c r="G277" t="inlineStr">
        <is>
          <t>HUDIKSVALL</t>
        </is>
      </c>
      <c r="I277" t="n">
        <v>4.4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63925-2025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46020</v>
      </c>
      <c r="E278" s="1" t="n">
        <v>46272</v>
      </c>
      <c r="F278" t="inlineStr">
        <is>
          <t>GÄVLEBORGS LÄN</t>
        </is>
      </c>
      <c r="G278" t="inlineStr">
        <is>
          <t>HUDIKSVALL</t>
        </is>
      </c>
      <c r="I278" t="n">
        <v>2.6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64091-2025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46021</v>
      </c>
      <c r="E279" s="1" t="n">
        <v>46272</v>
      </c>
      <c r="F279" t="inlineStr">
        <is>
          <t>GÄVLEBORGS LÄN</t>
        </is>
      </c>
      <c r="G279" t="inlineStr">
        <is>
          <t>HUDIKSVALL</t>
        </is>
      </c>
      <c r="I279" t="n">
        <v>3.6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63819-2025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46020</v>
      </c>
      <c r="E280" s="1" t="n">
        <v>46272</v>
      </c>
      <c r="F280" t="inlineStr">
        <is>
          <t>GÄVLEBORGS LÄN</t>
        </is>
      </c>
      <c r="G280" t="inlineStr">
        <is>
          <t>HUDIKSVALL</t>
        </is>
      </c>
      <c r="I280" t="n">
        <v>3.9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63798-2025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46019</v>
      </c>
      <c r="E281" s="1" t="n">
        <v>46272</v>
      </c>
      <c r="F281" t="inlineStr">
        <is>
          <t>GÄVLEBORGS LÄN</t>
        </is>
      </c>
      <c r="G281" t="inlineStr">
        <is>
          <t>HUDIKSVALL</t>
        </is>
      </c>
      <c r="I281" t="n">
        <v>6.8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25148-2025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45800</v>
      </c>
      <c r="E282" s="1" t="n">
        <v>46272</v>
      </c>
      <c r="F282" t="inlineStr">
        <is>
          <t>GÄVLEBORGS LÄN</t>
        </is>
      </c>
      <c r="G282" t="inlineStr">
        <is>
          <t>HUDIKSVALL</t>
        </is>
      </c>
      <c r="H282" t="inlineStr">
        <is>
          <t>Holmen skog AB</t>
        </is>
      </c>
      <c r="I282" t="n">
        <v>20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63911-2025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46020</v>
      </c>
      <c r="E283" s="1" t="n">
        <v>46272</v>
      </c>
      <c r="F283" t="inlineStr">
        <is>
          <t>GÄVLEBORGS LÄN</t>
        </is>
      </c>
      <c r="G283" t="inlineStr">
        <is>
          <t>HUDIKSVALL</t>
        </is>
      </c>
      <c r="I283" t="n">
        <v>1.7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  <c r="Z283">
        <f>HYPERLINK("https://klasma.github.io/Logging_2184/knärot/A 63911-2025 karta knärot.png", "A 63911-2025")</f>
        <v/>
      </c>
      <c r="AA283">
        <f>HYPERLINK("https://klasma.github.io/Logging_2184/klagomål/A 63911-2025 FSC-klagomål.docx", "A 63911-2025")</f>
        <v/>
      </c>
      <c r="AB283">
        <f>HYPERLINK("https://klasma.github.io/Logging_2184/klagomålsmail/A 63911-2025 FSC-klagomål mail.docx", "A 63911-2025")</f>
        <v/>
      </c>
      <c r="AC283">
        <f>HYPERLINK("https://klasma.github.io/Logging_2184/tillsyn/A 63911-2025 tillsynsbegäran.docx", "A 63911-2025")</f>
        <v/>
      </c>
      <c r="AD283">
        <f>HYPERLINK("https://klasma.github.io/Logging_2184/tillsynsmail/A 63911-2025 tillsynsbegäran mail.docx", "A 63911-2025")</f>
        <v/>
      </c>
    </row>
    <row r="284" ht="15" customHeight="1">
      <c r="A284" t="inlineStr">
        <is>
          <t>A 61977-2022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44918</v>
      </c>
      <c r="E284" s="1" t="n">
        <v>46272</v>
      </c>
      <c r="F284" t="inlineStr">
        <is>
          <t>GÄVLEBORGS LÄN</t>
        </is>
      </c>
      <c r="G284" t="inlineStr">
        <is>
          <t>HUDIKSVALL</t>
        </is>
      </c>
      <c r="I284" t="n">
        <v>1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63963-2025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46020</v>
      </c>
      <c r="E285" s="1" t="n">
        <v>46272</v>
      </c>
      <c r="F285" t="inlineStr">
        <is>
          <t>GÄVLEBORGS LÄN</t>
        </is>
      </c>
      <c r="G285" t="inlineStr">
        <is>
          <t>HUDIKSVALL</t>
        </is>
      </c>
      <c r="I285" t="n">
        <v>1.9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64086-2025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46021</v>
      </c>
      <c r="E286" s="1" t="n">
        <v>46272</v>
      </c>
      <c r="F286" t="inlineStr">
        <is>
          <t>GÄVLEBORGS LÄN</t>
        </is>
      </c>
      <c r="G286" t="inlineStr">
        <is>
          <t>HUDIKSVALL</t>
        </is>
      </c>
      <c r="I286" t="n">
        <v>1.8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25503-2025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45803</v>
      </c>
      <c r="E287" s="1" t="n">
        <v>46272</v>
      </c>
      <c r="F287" t="inlineStr">
        <is>
          <t>GÄVLEBORGS LÄN</t>
        </is>
      </c>
      <c r="G287" t="inlineStr">
        <is>
          <t>HUDIKSVALL</t>
        </is>
      </c>
      <c r="H287" t="inlineStr">
        <is>
          <t>Holmen skog AB</t>
        </is>
      </c>
      <c r="I287" t="n">
        <v>7.8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50790-2024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45602</v>
      </c>
      <c r="E288" s="1" t="n">
        <v>46272</v>
      </c>
      <c r="F288" t="inlineStr">
        <is>
          <t>GÄVLEBORGS LÄN</t>
        </is>
      </c>
      <c r="G288" t="inlineStr">
        <is>
          <t>HUDIKSVALL</t>
        </is>
      </c>
      <c r="H288" t="inlineStr">
        <is>
          <t>Holmen skog AB</t>
        </is>
      </c>
      <c r="I288" t="n">
        <v>13.9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34370-2022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44792</v>
      </c>
      <c r="E289" s="1" t="n">
        <v>46272</v>
      </c>
      <c r="F289" t="inlineStr">
        <is>
          <t>GÄVLEBORGS LÄN</t>
        </is>
      </c>
      <c r="G289" t="inlineStr">
        <is>
          <t>HUDIKSVALL</t>
        </is>
      </c>
      <c r="H289" t="inlineStr">
        <is>
          <t>Holmen skog AB</t>
        </is>
      </c>
      <c r="I289" t="n">
        <v>3.7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38295-2024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45545</v>
      </c>
      <c r="E290" s="1" t="n">
        <v>46272</v>
      </c>
      <c r="F290" t="inlineStr">
        <is>
          <t>GÄVLEBORGS LÄN</t>
        </is>
      </c>
      <c r="G290" t="inlineStr">
        <is>
          <t>HUDIKSVALL</t>
        </is>
      </c>
      <c r="H290" t="inlineStr">
        <is>
          <t>Holmen skog AB</t>
        </is>
      </c>
      <c r="I290" t="n">
        <v>1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212-2026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46026</v>
      </c>
      <c r="E291" s="1" t="n">
        <v>46272</v>
      </c>
      <c r="F291" t="inlineStr">
        <is>
          <t>GÄVLEBORGS LÄN</t>
        </is>
      </c>
      <c r="G291" t="inlineStr">
        <is>
          <t>HUDIKSVALL</t>
        </is>
      </c>
      <c r="I291" t="n">
        <v>4.2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218-2026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46026</v>
      </c>
      <c r="E292" s="1" t="n">
        <v>46272</v>
      </c>
      <c r="F292" t="inlineStr">
        <is>
          <t>GÄVLEBORGS LÄN</t>
        </is>
      </c>
      <c r="G292" t="inlineStr">
        <is>
          <t>HUDIKSVALL</t>
        </is>
      </c>
      <c r="I292" t="n">
        <v>4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213-2026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46026</v>
      </c>
      <c r="E293" s="1" t="n">
        <v>46272</v>
      </c>
      <c r="F293" t="inlineStr">
        <is>
          <t>GÄVLEBORGS LÄN</t>
        </is>
      </c>
      <c r="G293" t="inlineStr">
        <is>
          <t>HUDIKSVALL</t>
        </is>
      </c>
      <c r="I293" t="n">
        <v>3.6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215-2026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46026</v>
      </c>
      <c r="E294" s="1" t="n">
        <v>46272</v>
      </c>
      <c r="F294" t="inlineStr">
        <is>
          <t>GÄVLEBORGS LÄN</t>
        </is>
      </c>
      <c r="G294" t="inlineStr">
        <is>
          <t>HUDIKSVALL</t>
        </is>
      </c>
      <c r="I294" t="n">
        <v>15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55319-2021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44475</v>
      </c>
      <c r="E295" s="1" t="n">
        <v>46272</v>
      </c>
      <c r="F295" t="inlineStr">
        <is>
          <t>GÄVLEBORGS LÄN</t>
        </is>
      </c>
      <c r="G295" t="inlineStr">
        <is>
          <t>HUDIKSVALL</t>
        </is>
      </c>
      <c r="I295" t="n">
        <v>1.4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55330-2021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44475</v>
      </c>
      <c r="E296" s="1" t="n">
        <v>46272</v>
      </c>
      <c r="F296" t="inlineStr">
        <is>
          <t>GÄVLEBORGS LÄN</t>
        </is>
      </c>
      <c r="G296" t="inlineStr">
        <is>
          <t>HUDIKSVALL</t>
        </is>
      </c>
      <c r="I296" t="n">
        <v>6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33588-2024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45520</v>
      </c>
      <c r="E297" s="1" t="n">
        <v>46272</v>
      </c>
      <c r="F297" t="inlineStr">
        <is>
          <t>GÄVLEBORGS LÄN</t>
        </is>
      </c>
      <c r="G297" t="inlineStr">
        <is>
          <t>HUDIKSVALL</t>
        </is>
      </c>
      <c r="H297" t="inlineStr">
        <is>
          <t>Holmen skog AB</t>
        </is>
      </c>
      <c r="I297" t="n">
        <v>0.8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26402-2025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45807</v>
      </c>
      <c r="E298" s="1" t="n">
        <v>46272</v>
      </c>
      <c r="F298" t="inlineStr">
        <is>
          <t>GÄVLEBORGS LÄN</t>
        </is>
      </c>
      <c r="G298" t="inlineStr">
        <is>
          <t>HUDIKSVALL</t>
        </is>
      </c>
      <c r="I298" t="n">
        <v>1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43659-2023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45187</v>
      </c>
      <c r="E299" s="1" t="n">
        <v>46272</v>
      </c>
      <c r="F299" t="inlineStr">
        <is>
          <t>GÄVLEBORGS LÄN</t>
        </is>
      </c>
      <c r="G299" t="inlineStr">
        <is>
          <t>HUDIKSVALL</t>
        </is>
      </c>
      <c r="I299" t="n">
        <v>2.3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26403-2025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45807</v>
      </c>
      <c r="E300" s="1" t="n">
        <v>46272</v>
      </c>
      <c r="F300" t="inlineStr">
        <is>
          <t>GÄVLEBORGS LÄN</t>
        </is>
      </c>
      <c r="G300" t="inlineStr">
        <is>
          <t>HUDIKSVALL</t>
        </is>
      </c>
      <c r="I300" t="n">
        <v>1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314-2026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46027</v>
      </c>
      <c r="E301" s="1" t="n">
        <v>46272</v>
      </c>
      <c r="F301" t="inlineStr">
        <is>
          <t>GÄVLEBORGS LÄN</t>
        </is>
      </c>
      <c r="G301" t="inlineStr">
        <is>
          <t>HUDIKSVALL</t>
        </is>
      </c>
      <c r="I301" t="n">
        <v>2.2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34128-2024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45524</v>
      </c>
      <c r="E302" s="1" t="n">
        <v>46272</v>
      </c>
      <c r="F302" t="inlineStr">
        <is>
          <t>GÄVLEBORGS LÄN</t>
        </is>
      </c>
      <c r="G302" t="inlineStr">
        <is>
          <t>HUDIKSVALL</t>
        </is>
      </c>
      <c r="H302" t="inlineStr">
        <is>
          <t>Holmen skog AB</t>
        </is>
      </c>
      <c r="I302" t="n">
        <v>5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109-2026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46024</v>
      </c>
      <c r="E303" s="1" t="n">
        <v>46272</v>
      </c>
      <c r="F303" t="inlineStr">
        <is>
          <t>GÄVLEBORGS LÄN</t>
        </is>
      </c>
      <c r="G303" t="inlineStr">
        <is>
          <t>HUDIKSVALL</t>
        </is>
      </c>
      <c r="I303" t="n">
        <v>2.3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210-2026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46026</v>
      </c>
      <c r="E304" s="1" t="n">
        <v>46272</v>
      </c>
      <c r="F304" t="inlineStr">
        <is>
          <t>GÄVLEBORGS LÄN</t>
        </is>
      </c>
      <c r="G304" t="inlineStr">
        <is>
          <t>HUDIKSVALL</t>
        </is>
      </c>
      <c r="I304" t="n">
        <v>3.7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16327-2023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45028</v>
      </c>
      <c r="E305" s="1" t="n">
        <v>46272</v>
      </c>
      <c r="F305" t="inlineStr">
        <is>
          <t>GÄVLEBORGS LÄN</t>
        </is>
      </c>
      <c r="G305" t="inlineStr">
        <is>
          <t>HUDIKSVALL</t>
        </is>
      </c>
      <c r="I305" t="n">
        <v>2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38633-2025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45884</v>
      </c>
      <c r="E306" s="1" t="n">
        <v>46272</v>
      </c>
      <c r="F306" t="inlineStr">
        <is>
          <t>GÄVLEBORGS LÄN</t>
        </is>
      </c>
      <c r="G306" t="inlineStr">
        <is>
          <t>HUDIKSVALL</t>
        </is>
      </c>
      <c r="I306" t="n">
        <v>2.7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24040-2025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45796</v>
      </c>
      <c r="E307" s="1" t="n">
        <v>46272</v>
      </c>
      <c r="F307" t="inlineStr">
        <is>
          <t>GÄVLEBORGS LÄN</t>
        </is>
      </c>
      <c r="G307" t="inlineStr">
        <is>
          <t>HUDIKSVALL</t>
        </is>
      </c>
      <c r="H307" t="inlineStr">
        <is>
          <t>Holmen skog AB</t>
        </is>
      </c>
      <c r="I307" t="n">
        <v>16.3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61-2026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46024</v>
      </c>
      <c r="E308" s="1" t="n">
        <v>46272</v>
      </c>
      <c r="F308" t="inlineStr">
        <is>
          <t>GÄVLEBORGS LÄN</t>
        </is>
      </c>
      <c r="G308" t="inlineStr">
        <is>
          <t>HUDIKSVALL</t>
        </is>
      </c>
      <c r="I308" t="n">
        <v>3.5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27078-2025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45811</v>
      </c>
      <c r="E309" s="1" t="n">
        <v>46272</v>
      </c>
      <c r="F309" t="inlineStr">
        <is>
          <t>GÄVLEBORGS LÄN</t>
        </is>
      </c>
      <c r="G309" t="inlineStr">
        <is>
          <t>HUDIKSVALL</t>
        </is>
      </c>
      <c r="I309" t="n">
        <v>5.9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26894-2025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45811</v>
      </c>
      <c r="E310" s="1" t="n">
        <v>46272</v>
      </c>
      <c r="F310" t="inlineStr">
        <is>
          <t>GÄVLEBORGS LÄN</t>
        </is>
      </c>
      <c r="G310" t="inlineStr">
        <is>
          <t>HUDIKSVALL</t>
        </is>
      </c>
      <c r="I310" t="n">
        <v>1.3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53796-2023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45231</v>
      </c>
      <c r="E311" s="1" t="n">
        <v>46272</v>
      </c>
      <c r="F311" t="inlineStr">
        <is>
          <t>GÄVLEBORGS LÄN</t>
        </is>
      </c>
      <c r="G311" t="inlineStr">
        <is>
          <t>HUDIKSVALL</t>
        </is>
      </c>
      <c r="I311" t="n">
        <v>17.6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26827-2025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45810</v>
      </c>
      <c r="E312" s="1" t="n">
        <v>46272</v>
      </c>
      <c r="F312" t="inlineStr">
        <is>
          <t>GÄVLEBORGS LÄN</t>
        </is>
      </c>
      <c r="G312" t="inlineStr">
        <is>
          <t>HUDIKSVALL</t>
        </is>
      </c>
      <c r="I312" t="n">
        <v>2.4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16858-2024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45411</v>
      </c>
      <c r="E313" s="1" t="n">
        <v>46272</v>
      </c>
      <c r="F313" t="inlineStr">
        <is>
          <t>GÄVLEBORGS LÄN</t>
        </is>
      </c>
      <c r="G313" t="inlineStr">
        <is>
          <t>HUDIKSVALL</t>
        </is>
      </c>
      <c r="I313" t="n">
        <v>5.7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16736-2025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45754</v>
      </c>
      <c r="E314" s="1" t="n">
        <v>46272</v>
      </c>
      <c r="F314" t="inlineStr">
        <is>
          <t>GÄVLEBORGS LÄN</t>
        </is>
      </c>
      <c r="G314" t="inlineStr">
        <is>
          <t>HUDIKSVALL</t>
        </is>
      </c>
      <c r="I314" t="n">
        <v>3.4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12674-2023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45000</v>
      </c>
      <c r="E315" s="1" t="n">
        <v>46272</v>
      </c>
      <c r="F315" t="inlineStr">
        <is>
          <t>GÄVLEBORGS LÄN</t>
        </is>
      </c>
      <c r="G315" t="inlineStr">
        <is>
          <t>HUDIKSVALL</t>
        </is>
      </c>
      <c r="H315" t="inlineStr">
        <is>
          <t>Holmen skog AB</t>
        </is>
      </c>
      <c r="I315" t="n">
        <v>1.3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26788-2025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45810</v>
      </c>
      <c r="E316" s="1" t="n">
        <v>46272</v>
      </c>
      <c r="F316" t="inlineStr">
        <is>
          <t>GÄVLEBORGS LÄN</t>
        </is>
      </c>
      <c r="G316" t="inlineStr">
        <is>
          <t>HUDIKSVALL</t>
        </is>
      </c>
      <c r="I316" t="n">
        <v>2.4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16781-2024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45411</v>
      </c>
      <c r="E317" s="1" t="n">
        <v>46272</v>
      </c>
      <c r="F317" t="inlineStr">
        <is>
          <t>GÄVLEBORGS LÄN</t>
        </is>
      </c>
      <c r="G317" t="inlineStr">
        <is>
          <t>HUDIKSVALL</t>
        </is>
      </c>
      <c r="I317" t="n">
        <v>2.5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26813-2025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45810</v>
      </c>
      <c r="E318" s="1" t="n">
        <v>46272</v>
      </c>
      <c r="F318" t="inlineStr">
        <is>
          <t>GÄVLEBORGS LÄN</t>
        </is>
      </c>
      <c r="G318" t="inlineStr">
        <is>
          <t>HUDIKSVALL</t>
        </is>
      </c>
      <c r="I318" t="n">
        <v>1.6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27253-2025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45812</v>
      </c>
      <c r="E319" s="1" t="n">
        <v>46272</v>
      </c>
      <c r="F319" t="inlineStr">
        <is>
          <t>GÄVLEBORGS LÄN</t>
        </is>
      </c>
      <c r="G319" t="inlineStr">
        <is>
          <t>HUDIKSVALL</t>
        </is>
      </c>
      <c r="H319" t="inlineStr">
        <is>
          <t>Holmen skog AB</t>
        </is>
      </c>
      <c r="I319" t="n">
        <v>1.7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10890-2025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45722</v>
      </c>
      <c r="E320" s="1" t="n">
        <v>46272</v>
      </c>
      <c r="F320" t="inlineStr">
        <is>
          <t>GÄVLEBORGS LÄN</t>
        </is>
      </c>
      <c r="G320" t="inlineStr">
        <is>
          <t>HUDIKSVALL</t>
        </is>
      </c>
      <c r="I320" t="n">
        <v>1.9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27514-2025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45813</v>
      </c>
      <c r="E321" s="1" t="n">
        <v>46272</v>
      </c>
      <c r="F321" t="inlineStr">
        <is>
          <t>GÄVLEBORGS LÄN</t>
        </is>
      </c>
      <c r="G321" t="inlineStr">
        <is>
          <t>HUDIKSVALL</t>
        </is>
      </c>
      <c r="I321" t="n">
        <v>2.1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20200-2023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45055</v>
      </c>
      <c r="E322" s="1" t="n">
        <v>46272</v>
      </c>
      <c r="F322" t="inlineStr">
        <is>
          <t>GÄVLEBORGS LÄN</t>
        </is>
      </c>
      <c r="G322" t="inlineStr">
        <is>
          <t>HUDIKSVALL</t>
        </is>
      </c>
      <c r="I322" t="n">
        <v>0.9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428-2026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46029</v>
      </c>
      <c r="E323" s="1" t="n">
        <v>46272</v>
      </c>
      <c r="F323" t="inlineStr">
        <is>
          <t>GÄVLEBORGS LÄN</t>
        </is>
      </c>
      <c r="G323" t="inlineStr">
        <is>
          <t>HUDIKSVALL</t>
        </is>
      </c>
      <c r="I323" t="n">
        <v>4.2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9563-2025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45715</v>
      </c>
      <c r="E324" s="1" t="n">
        <v>46272</v>
      </c>
      <c r="F324" t="inlineStr">
        <is>
          <t>GÄVLEBORGS LÄN</t>
        </is>
      </c>
      <c r="G324" t="inlineStr">
        <is>
          <t>HUDIKSVALL</t>
        </is>
      </c>
      <c r="I324" t="n">
        <v>2.2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11668-2024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45373</v>
      </c>
      <c r="E325" s="1" t="n">
        <v>46272</v>
      </c>
      <c r="F325" t="inlineStr">
        <is>
          <t>GÄVLEBORGS LÄN</t>
        </is>
      </c>
      <c r="G325" t="inlineStr">
        <is>
          <t>HUDIKSVALL</t>
        </is>
      </c>
      <c r="I325" t="n">
        <v>0.7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24329-2024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45457</v>
      </c>
      <c r="E326" s="1" t="n">
        <v>46272</v>
      </c>
      <c r="F326" t="inlineStr">
        <is>
          <t>GÄVLEBORGS LÄN</t>
        </is>
      </c>
      <c r="G326" t="inlineStr">
        <is>
          <t>HUDIKSVALL</t>
        </is>
      </c>
      <c r="I326" t="n">
        <v>1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59823-2024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45639</v>
      </c>
      <c r="E327" s="1" t="n">
        <v>46272</v>
      </c>
      <c r="F327" t="inlineStr">
        <is>
          <t>GÄVLEBORGS LÄN</t>
        </is>
      </c>
      <c r="G327" t="inlineStr">
        <is>
          <t>HUDIKSVALL</t>
        </is>
      </c>
      <c r="I327" t="n">
        <v>0.8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16070-2025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45749</v>
      </c>
      <c r="E328" s="1" t="n">
        <v>46272</v>
      </c>
      <c r="F328" t="inlineStr">
        <is>
          <t>GÄVLEBORGS LÄN</t>
        </is>
      </c>
      <c r="G328" t="inlineStr">
        <is>
          <t>HUDIKSVALL</t>
        </is>
      </c>
      <c r="I328" t="n">
        <v>2.2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10130-2025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45719</v>
      </c>
      <c r="E329" s="1" t="n">
        <v>46272</v>
      </c>
      <c r="F329" t="inlineStr">
        <is>
          <t>GÄVLEBORGS LÄN</t>
        </is>
      </c>
      <c r="G329" t="inlineStr">
        <is>
          <t>HUDIKSVALL</t>
        </is>
      </c>
      <c r="I329" t="n">
        <v>1.3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27159-2025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45812</v>
      </c>
      <c r="E330" s="1" t="n">
        <v>46272</v>
      </c>
      <c r="F330" t="inlineStr">
        <is>
          <t>GÄVLEBORGS LÄN</t>
        </is>
      </c>
      <c r="G330" t="inlineStr">
        <is>
          <t>HUDIKSVALL</t>
        </is>
      </c>
      <c r="H330" t="inlineStr">
        <is>
          <t>Holmen skog AB</t>
        </is>
      </c>
      <c r="I330" t="n">
        <v>29.4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7369-2023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44966</v>
      </c>
      <c r="E331" s="1" t="n">
        <v>46272</v>
      </c>
      <c r="F331" t="inlineStr">
        <is>
          <t>GÄVLEBORGS LÄN</t>
        </is>
      </c>
      <c r="G331" t="inlineStr">
        <is>
          <t>HUDIKSVALL</t>
        </is>
      </c>
      <c r="I331" t="n">
        <v>1.2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36503-2025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45869</v>
      </c>
      <c r="E332" s="1" t="n">
        <v>46272</v>
      </c>
      <c r="F332" t="inlineStr">
        <is>
          <t>GÄVLEBORGS LÄN</t>
        </is>
      </c>
      <c r="G332" t="inlineStr">
        <is>
          <t>HUDIKSVALL</t>
        </is>
      </c>
      <c r="I332" t="n">
        <v>0.9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36388-2025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45868</v>
      </c>
      <c r="E333" s="1" t="n">
        <v>46272</v>
      </c>
      <c r="F333" t="inlineStr">
        <is>
          <t>GÄVLEBORGS LÄN</t>
        </is>
      </c>
      <c r="G333" t="inlineStr">
        <is>
          <t>HUDIKSVALL</t>
        </is>
      </c>
      <c r="I333" t="n">
        <v>2.3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35590-2023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45147</v>
      </c>
      <c r="E334" s="1" t="n">
        <v>46272</v>
      </c>
      <c r="F334" t="inlineStr">
        <is>
          <t>GÄVLEBORGS LÄN</t>
        </is>
      </c>
      <c r="G334" t="inlineStr">
        <is>
          <t>HUDIKSVALL</t>
        </is>
      </c>
      <c r="H334" t="inlineStr">
        <is>
          <t>Holmen skog AB</t>
        </is>
      </c>
      <c r="I334" t="n">
        <v>3.3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36394-2025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45868</v>
      </c>
      <c r="E335" s="1" t="n">
        <v>46272</v>
      </c>
      <c r="F335" t="inlineStr">
        <is>
          <t>GÄVLEBORGS LÄN</t>
        </is>
      </c>
      <c r="G335" t="inlineStr">
        <is>
          <t>HUDIKSVALL</t>
        </is>
      </c>
      <c r="I335" t="n">
        <v>1.9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55615-2025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45971</v>
      </c>
      <c r="E336" s="1" t="n">
        <v>46272</v>
      </c>
      <c r="F336" t="inlineStr">
        <is>
          <t>GÄVLEBORGS LÄN</t>
        </is>
      </c>
      <c r="G336" t="inlineStr">
        <is>
          <t>HUDIKSVALL</t>
        </is>
      </c>
      <c r="I336" t="n">
        <v>1.9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477-2026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46029</v>
      </c>
      <c r="E337" s="1" t="n">
        <v>46272</v>
      </c>
      <c r="F337" t="inlineStr">
        <is>
          <t>GÄVLEBORGS LÄN</t>
        </is>
      </c>
      <c r="G337" t="inlineStr">
        <is>
          <t>HUDIKSVALL</t>
        </is>
      </c>
      <c r="I337" t="n">
        <v>1.8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8027-2024</t>
        </is>
      </c>
      <c r="B338" t="inlineStr">
        <is>
          <t>avverkningsanmälan</t>
        </is>
      </c>
      <c r="C338" t="inlineStr">
        <is>
          <t>Avverkning för annat ändamål</t>
        </is>
      </c>
      <c r="D338" s="1" t="n">
        <v>45350</v>
      </c>
      <c r="E338" s="1" t="n">
        <v>46272</v>
      </c>
      <c r="F338" t="inlineStr">
        <is>
          <t>GÄVLEBORGS LÄN</t>
        </is>
      </c>
      <c r="G338" t="inlineStr">
        <is>
          <t>HUDIKSVALL</t>
        </is>
      </c>
      <c r="I338" t="n">
        <v>1.4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27791-2025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45816</v>
      </c>
      <c r="E339" s="1" t="n">
        <v>46272</v>
      </c>
      <c r="F339" t="inlineStr">
        <is>
          <t>GÄVLEBORGS LÄN</t>
        </is>
      </c>
      <c r="G339" t="inlineStr">
        <is>
          <t>HUDIKSVALL</t>
        </is>
      </c>
      <c r="I339" t="n">
        <v>3.5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56858-2024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45628</v>
      </c>
      <c r="E340" s="1" t="n">
        <v>46272</v>
      </c>
      <c r="F340" t="inlineStr">
        <is>
          <t>GÄVLEBORGS LÄN</t>
        </is>
      </c>
      <c r="G340" t="inlineStr">
        <is>
          <t>HUDIKSVALL</t>
        </is>
      </c>
      <c r="I340" t="n">
        <v>0.9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27881-2025</t>
        </is>
      </c>
      <c r="B341" t="inlineStr">
        <is>
          <t>avverkningsanmälan</t>
        </is>
      </c>
      <c r="C341" t="inlineStr">
        <is>
          <t>Avverkning för annat ändamål</t>
        </is>
      </c>
      <c r="D341" s="1" t="n">
        <v>45817</v>
      </c>
      <c r="E341" s="1" t="n">
        <v>46272</v>
      </c>
      <c r="F341" t="inlineStr">
        <is>
          <t>GÄVLEBORGS LÄN</t>
        </is>
      </c>
      <c r="G341" t="inlineStr">
        <is>
          <t>HUDIKSVALL</t>
        </is>
      </c>
      <c r="I341" t="n">
        <v>1.4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28475-2025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45819</v>
      </c>
      <c r="E342" s="1" t="n">
        <v>46272</v>
      </c>
      <c r="F342" t="inlineStr">
        <is>
          <t>GÄVLEBORGS LÄN</t>
        </is>
      </c>
      <c r="G342" t="inlineStr">
        <is>
          <t>HUDIKSVALL</t>
        </is>
      </c>
      <c r="H342" t="inlineStr">
        <is>
          <t>Holmen skog AB</t>
        </is>
      </c>
      <c r="I342" t="n">
        <v>4.8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39244-2025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45889</v>
      </c>
      <c r="E343" s="1" t="n">
        <v>46272</v>
      </c>
      <c r="F343" t="inlineStr">
        <is>
          <t>GÄVLEBORGS LÄN</t>
        </is>
      </c>
      <c r="G343" t="inlineStr">
        <is>
          <t>HUDIKSVALL</t>
        </is>
      </c>
      <c r="I343" t="n">
        <v>1.9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28163-2025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45818</v>
      </c>
      <c r="E344" s="1" t="n">
        <v>46272</v>
      </c>
      <c r="F344" t="inlineStr">
        <is>
          <t>GÄVLEBORGS LÄN</t>
        </is>
      </c>
      <c r="G344" t="inlineStr">
        <is>
          <t>HUDIKSVALL</t>
        </is>
      </c>
      <c r="I344" t="n">
        <v>4.4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12393-2025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45730</v>
      </c>
      <c r="E345" s="1" t="n">
        <v>46272</v>
      </c>
      <c r="F345" t="inlineStr">
        <is>
          <t>GÄVLEBORGS LÄN</t>
        </is>
      </c>
      <c r="G345" t="inlineStr">
        <is>
          <t>HUDIKSVALL</t>
        </is>
      </c>
      <c r="I345" t="n">
        <v>3.2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62469-2025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46007</v>
      </c>
      <c r="E346" s="1" t="n">
        <v>46272</v>
      </c>
      <c r="F346" t="inlineStr">
        <is>
          <t>GÄVLEBORGS LÄN</t>
        </is>
      </c>
      <c r="G346" t="inlineStr">
        <is>
          <t>HUDIKSVALL</t>
        </is>
      </c>
      <c r="I346" t="n">
        <v>1.2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9989-2025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45719</v>
      </c>
      <c r="E347" s="1" t="n">
        <v>46272</v>
      </c>
      <c r="F347" t="inlineStr">
        <is>
          <t>GÄVLEBORGS LÄN</t>
        </is>
      </c>
      <c r="G347" t="inlineStr">
        <is>
          <t>HUDIKSVALL</t>
        </is>
      </c>
      <c r="I347" t="n">
        <v>5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56813-2022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44894</v>
      </c>
      <c r="E348" s="1" t="n">
        <v>46272</v>
      </c>
      <c r="F348" t="inlineStr">
        <is>
          <t>GÄVLEBORGS LÄN</t>
        </is>
      </c>
      <c r="G348" t="inlineStr">
        <is>
          <t>HUDIKSVALL</t>
        </is>
      </c>
      <c r="H348" t="inlineStr">
        <is>
          <t>Kommuner</t>
        </is>
      </c>
      <c r="I348" t="n">
        <v>0.6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28184-2025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45818</v>
      </c>
      <c r="E349" s="1" t="n">
        <v>46272</v>
      </c>
      <c r="F349" t="inlineStr">
        <is>
          <t>GÄVLEBORGS LÄN</t>
        </is>
      </c>
      <c r="G349" t="inlineStr">
        <is>
          <t>HUDIKSVALL</t>
        </is>
      </c>
      <c r="I349" t="n">
        <v>1.1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28485-2025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45819</v>
      </c>
      <c r="E350" s="1" t="n">
        <v>46272</v>
      </c>
      <c r="F350" t="inlineStr">
        <is>
          <t>GÄVLEBORGS LÄN</t>
        </is>
      </c>
      <c r="G350" t="inlineStr">
        <is>
          <t>HUDIKSVALL</t>
        </is>
      </c>
      <c r="H350" t="inlineStr">
        <is>
          <t>Holmen skog AB</t>
        </is>
      </c>
      <c r="I350" t="n">
        <v>5.8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28410-2025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45819</v>
      </c>
      <c r="E351" s="1" t="n">
        <v>46272</v>
      </c>
      <c r="F351" t="inlineStr">
        <is>
          <t>GÄVLEBORGS LÄN</t>
        </is>
      </c>
      <c r="G351" t="inlineStr">
        <is>
          <t>HUDIKSVALL</t>
        </is>
      </c>
      <c r="I351" t="n">
        <v>0.6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64727-2023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45281</v>
      </c>
      <c r="E352" s="1" t="n">
        <v>46272</v>
      </c>
      <c r="F352" t="inlineStr">
        <is>
          <t>GÄVLEBORGS LÄN</t>
        </is>
      </c>
      <c r="G352" t="inlineStr">
        <is>
          <t>HUDIKSVALL</t>
        </is>
      </c>
      <c r="I352" t="n">
        <v>1.1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28599-2025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45819</v>
      </c>
      <c r="E353" s="1" t="n">
        <v>46272</v>
      </c>
      <c r="F353" t="inlineStr">
        <is>
          <t>GÄVLEBORGS LÄN</t>
        </is>
      </c>
      <c r="G353" t="inlineStr">
        <is>
          <t>HUDIKSVALL</t>
        </is>
      </c>
      <c r="I353" t="n">
        <v>0.6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28411-2025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45819</v>
      </c>
      <c r="E354" s="1" t="n">
        <v>46272</v>
      </c>
      <c r="F354" t="inlineStr">
        <is>
          <t>GÄVLEBORGS LÄN</t>
        </is>
      </c>
      <c r="G354" t="inlineStr">
        <is>
          <t>HUDIKSVALL</t>
        </is>
      </c>
      <c r="I354" t="n">
        <v>0.1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39643-2025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45890</v>
      </c>
      <c r="E355" s="1" t="n">
        <v>46272</v>
      </c>
      <c r="F355" t="inlineStr">
        <is>
          <t>GÄVLEBORGS LÄN</t>
        </is>
      </c>
      <c r="G355" t="inlineStr">
        <is>
          <t>HUDIKSVALL</t>
        </is>
      </c>
      <c r="I355" t="n">
        <v>1.8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47995-2024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45589</v>
      </c>
      <c r="E356" s="1" t="n">
        <v>46272</v>
      </c>
      <c r="F356" t="inlineStr">
        <is>
          <t>GÄVLEBORGS LÄN</t>
        </is>
      </c>
      <c r="G356" t="inlineStr">
        <is>
          <t>HUDIKSVALL</t>
        </is>
      </c>
      <c r="I356" t="n">
        <v>2.2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28456-2025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45819</v>
      </c>
      <c r="E357" s="1" t="n">
        <v>46272</v>
      </c>
      <c r="F357" t="inlineStr">
        <is>
          <t>GÄVLEBORGS LÄN</t>
        </is>
      </c>
      <c r="G357" t="inlineStr">
        <is>
          <t>HUDIKSVALL</t>
        </is>
      </c>
      <c r="I357" t="n">
        <v>2.8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48649-2024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45593</v>
      </c>
      <c r="E358" s="1" t="n">
        <v>46272</v>
      </c>
      <c r="F358" t="inlineStr">
        <is>
          <t>GÄVLEBORGS LÄN</t>
        </is>
      </c>
      <c r="G358" t="inlineStr">
        <is>
          <t>HUDIKSVALL</t>
        </is>
      </c>
      <c r="I358" t="n">
        <v>0.4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18493-2024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45425</v>
      </c>
      <c r="E359" s="1" t="n">
        <v>46272</v>
      </c>
      <c r="F359" t="inlineStr">
        <is>
          <t>GÄVLEBORGS LÄN</t>
        </is>
      </c>
      <c r="G359" t="inlineStr">
        <is>
          <t>HUDIKSVALL</t>
        </is>
      </c>
      <c r="I359" t="n">
        <v>0.5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45181-2024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45575</v>
      </c>
      <c r="E360" s="1" t="n">
        <v>46272</v>
      </c>
      <c r="F360" t="inlineStr">
        <is>
          <t>GÄVLEBORGS LÄN</t>
        </is>
      </c>
      <c r="G360" t="inlineStr">
        <is>
          <t>HUDIKSVALL</t>
        </is>
      </c>
      <c r="H360" t="inlineStr">
        <is>
          <t>Holmen skog AB</t>
        </is>
      </c>
      <c r="I360" t="n">
        <v>8.300000000000001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56898-2023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45244</v>
      </c>
      <c r="E361" s="1" t="n">
        <v>46272</v>
      </c>
      <c r="F361" t="inlineStr">
        <is>
          <t>GÄVLEBORGS LÄN</t>
        </is>
      </c>
      <c r="G361" t="inlineStr">
        <is>
          <t>HUDIKSVALL</t>
        </is>
      </c>
      <c r="H361" t="inlineStr">
        <is>
          <t>Holmen skog AB</t>
        </is>
      </c>
      <c r="I361" t="n">
        <v>1.1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28809-2025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45820</v>
      </c>
      <c r="E362" s="1" t="n">
        <v>46272</v>
      </c>
      <c r="F362" t="inlineStr">
        <is>
          <t>GÄVLEBORGS LÄN</t>
        </is>
      </c>
      <c r="G362" t="inlineStr">
        <is>
          <t>HUDIKSVALL</t>
        </is>
      </c>
      <c r="I362" t="n">
        <v>1.1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28815-2025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45820</v>
      </c>
      <c r="E363" s="1" t="n">
        <v>46272</v>
      </c>
      <c r="F363" t="inlineStr">
        <is>
          <t>GÄVLEBORGS LÄN</t>
        </is>
      </c>
      <c r="G363" t="inlineStr">
        <is>
          <t>HUDIKSVALL</t>
        </is>
      </c>
      <c r="I363" t="n">
        <v>3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29315-2025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45824</v>
      </c>
      <c r="E364" s="1" t="n">
        <v>46272</v>
      </c>
      <c r="F364" t="inlineStr">
        <is>
          <t>GÄVLEBORGS LÄN</t>
        </is>
      </c>
      <c r="G364" t="inlineStr">
        <is>
          <t>HUDIKSVALL</t>
        </is>
      </c>
      <c r="H364" t="inlineStr">
        <is>
          <t>Holmen skog AB</t>
        </is>
      </c>
      <c r="I364" t="n">
        <v>2.3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210-2025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45660</v>
      </c>
      <c r="E365" s="1" t="n">
        <v>46272</v>
      </c>
      <c r="F365" t="inlineStr">
        <is>
          <t>GÄVLEBORGS LÄN</t>
        </is>
      </c>
      <c r="G365" t="inlineStr">
        <is>
          <t>HUDIKSVALL</t>
        </is>
      </c>
      <c r="H365" t="inlineStr">
        <is>
          <t>Holmen skog AB</t>
        </is>
      </c>
      <c r="I365" t="n">
        <v>6.2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5622-2025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45693</v>
      </c>
      <c r="E366" s="1" t="n">
        <v>46272</v>
      </c>
      <c r="F366" t="inlineStr">
        <is>
          <t>GÄVLEBORGS LÄN</t>
        </is>
      </c>
      <c r="G366" t="inlineStr">
        <is>
          <t>HUDIKSVALL</t>
        </is>
      </c>
      <c r="I366" t="n">
        <v>2.6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40474-2025</t>
        </is>
      </c>
      <c r="B367" t="inlineStr">
        <is>
          <t>avverkningsanmälan</t>
        </is>
      </c>
      <c r="C367" t="inlineStr">
        <is>
          <t>Avverkning för annat ändamål</t>
        </is>
      </c>
      <c r="D367" s="1" t="n">
        <v>45895</v>
      </c>
      <c r="E367" s="1" t="n">
        <v>46272</v>
      </c>
      <c r="F367" t="inlineStr">
        <is>
          <t>GÄVLEBORGS LÄN</t>
        </is>
      </c>
      <c r="G367" t="inlineStr">
        <is>
          <t>HUDIKSVALL</t>
        </is>
      </c>
      <c r="I367" t="n">
        <v>0.8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29276-2025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45824</v>
      </c>
      <c r="E368" s="1" t="n">
        <v>46272</v>
      </c>
      <c r="F368" t="inlineStr">
        <is>
          <t>GÄVLEBORGS LÄN</t>
        </is>
      </c>
      <c r="G368" t="inlineStr">
        <is>
          <t>HUDIKSVALL</t>
        </is>
      </c>
      <c r="I368" t="n">
        <v>2.2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29772-2025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45825</v>
      </c>
      <c r="E369" s="1" t="n">
        <v>46272</v>
      </c>
      <c r="F369" t="inlineStr">
        <is>
          <t>GÄVLEBORGS LÄN</t>
        </is>
      </c>
      <c r="G369" t="inlineStr">
        <is>
          <t>HUDIKSVALL</t>
        </is>
      </c>
      <c r="I369" t="n">
        <v>1.5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29329-2025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45824</v>
      </c>
      <c r="E370" s="1" t="n">
        <v>46272</v>
      </c>
      <c r="F370" t="inlineStr">
        <is>
          <t>GÄVLEBORGS LÄN</t>
        </is>
      </c>
      <c r="G370" t="inlineStr">
        <is>
          <t>HUDIKSVALL</t>
        </is>
      </c>
      <c r="H370" t="inlineStr">
        <is>
          <t>Holmen skog AB</t>
        </is>
      </c>
      <c r="I370" t="n">
        <v>15.3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7496-2025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45702</v>
      </c>
      <c r="E371" s="1" t="n">
        <v>46272</v>
      </c>
      <c r="F371" t="inlineStr">
        <is>
          <t>GÄVLEBORGS LÄN</t>
        </is>
      </c>
      <c r="G371" t="inlineStr">
        <is>
          <t>HUDIKSVALL</t>
        </is>
      </c>
      <c r="I371" t="n">
        <v>0.8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13603-2025</t>
        </is>
      </c>
      <c r="B372" t="inlineStr">
        <is>
          <t>avverkningsanmälan</t>
        </is>
      </c>
      <c r="C372" t="inlineStr">
        <is>
          <t>Avverkning för annat ändamål</t>
        </is>
      </c>
      <c r="D372" s="1" t="n">
        <v>45736</v>
      </c>
      <c r="E372" s="1" t="n">
        <v>46272</v>
      </c>
      <c r="F372" t="inlineStr">
        <is>
          <t>GÄVLEBORGS LÄN</t>
        </is>
      </c>
      <c r="G372" t="inlineStr">
        <is>
          <t>HUDIKSVALL</t>
        </is>
      </c>
      <c r="I372" t="n">
        <v>3.1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19768-2025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45771</v>
      </c>
      <c r="E373" s="1" t="n">
        <v>46272</v>
      </c>
      <c r="F373" t="inlineStr">
        <is>
          <t>GÄVLEBORGS LÄN</t>
        </is>
      </c>
      <c r="G373" t="inlineStr">
        <is>
          <t>HUDIKSVALL</t>
        </is>
      </c>
      <c r="I373" t="n">
        <v>2.4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57679-2022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44897</v>
      </c>
      <c r="E374" s="1" t="n">
        <v>46272</v>
      </c>
      <c r="F374" t="inlineStr">
        <is>
          <t>GÄVLEBORGS LÄN</t>
        </is>
      </c>
      <c r="G374" t="inlineStr">
        <is>
          <t>HUDIKSVALL</t>
        </is>
      </c>
      <c r="I374" t="n">
        <v>1.5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6095-2024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45337</v>
      </c>
      <c r="E375" s="1" t="n">
        <v>46272</v>
      </c>
      <c r="F375" t="inlineStr">
        <is>
          <t>GÄVLEBORGS LÄN</t>
        </is>
      </c>
      <c r="G375" t="inlineStr">
        <is>
          <t>HUDIKSVALL</t>
        </is>
      </c>
      <c r="H375" t="inlineStr">
        <is>
          <t>Holmen skog AB</t>
        </is>
      </c>
      <c r="I375" t="n">
        <v>1.1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29357-2025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45824</v>
      </c>
      <c r="E376" s="1" t="n">
        <v>46272</v>
      </c>
      <c r="F376" t="inlineStr">
        <is>
          <t>GÄVLEBORGS LÄN</t>
        </is>
      </c>
      <c r="G376" t="inlineStr">
        <is>
          <t>HUDIKSVALL</t>
        </is>
      </c>
      <c r="H376" t="inlineStr">
        <is>
          <t>Holmen skog AB</t>
        </is>
      </c>
      <c r="I376" t="n">
        <v>2.3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40561-2025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45896</v>
      </c>
      <c r="E377" s="1" t="n">
        <v>46272</v>
      </c>
      <c r="F377" t="inlineStr">
        <is>
          <t>GÄVLEBORGS LÄN</t>
        </is>
      </c>
      <c r="G377" t="inlineStr">
        <is>
          <t>HUDIKSVALL</t>
        </is>
      </c>
      <c r="H377" t="inlineStr">
        <is>
          <t>Kommuner</t>
        </is>
      </c>
      <c r="I377" t="n">
        <v>2.1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29334-2025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45824</v>
      </c>
      <c r="E378" s="1" t="n">
        <v>46272</v>
      </c>
      <c r="F378" t="inlineStr">
        <is>
          <t>GÄVLEBORGS LÄN</t>
        </is>
      </c>
      <c r="G378" t="inlineStr">
        <is>
          <t>HUDIKSVALL</t>
        </is>
      </c>
      <c r="I378" t="n">
        <v>0.6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10537-2025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45721</v>
      </c>
      <c r="E379" s="1" t="n">
        <v>46272</v>
      </c>
      <c r="F379" t="inlineStr">
        <is>
          <t>GÄVLEBORGS LÄN</t>
        </is>
      </c>
      <c r="G379" t="inlineStr">
        <is>
          <t>HUDIKSVALL</t>
        </is>
      </c>
      <c r="H379" t="inlineStr">
        <is>
          <t>Holmen skog AB</t>
        </is>
      </c>
      <c r="I379" t="n">
        <v>2.1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29353-2025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45824</v>
      </c>
      <c r="E380" s="1" t="n">
        <v>46272</v>
      </c>
      <c r="F380" t="inlineStr">
        <is>
          <t>GÄVLEBORGS LÄN</t>
        </is>
      </c>
      <c r="G380" t="inlineStr">
        <is>
          <t>HUDIKSVALL</t>
        </is>
      </c>
      <c r="H380" t="inlineStr">
        <is>
          <t>Holmen skog AB</t>
        </is>
      </c>
      <c r="I380" t="n">
        <v>3.1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29338-2025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45824</v>
      </c>
      <c r="E381" s="1" t="n">
        <v>46272</v>
      </c>
      <c r="F381" t="inlineStr">
        <is>
          <t>GÄVLEBORGS LÄN</t>
        </is>
      </c>
      <c r="G381" t="inlineStr">
        <is>
          <t>HUDIKSVALL</t>
        </is>
      </c>
      <c r="H381" t="inlineStr">
        <is>
          <t>Holmen skog AB</t>
        </is>
      </c>
      <c r="I381" t="n">
        <v>5.2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30307-2025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45827</v>
      </c>
      <c r="E382" s="1" t="n">
        <v>46272</v>
      </c>
      <c r="F382" t="inlineStr">
        <is>
          <t>GÄVLEBORGS LÄN</t>
        </is>
      </c>
      <c r="G382" t="inlineStr">
        <is>
          <t>HUDIKSVALL</t>
        </is>
      </c>
      <c r="I382" t="n">
        <v>6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30309-2025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45827</v>
      </c>
      <c r="E383" s="1" t="n">
        <v>46272</v>
      </c>
      <c r="F383" t="inlineStr">
        <is>
          <t>GÄVLEBORGS LÄN</t>
        </is>
      </c>
      <c r="G383" t="inlineStr">
        <is>
          <t>HUDIKSVALL</t>
        </is>
      </c>
      <c r="I383" t="n">
        <v>5.7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41535-2024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45560</v>
      </c>
      <c r="E384" s="1" t="n">
        <v>46272</v>
      </c>
      <c r="F384" t="inlineStr">
        <is>
          <t>GÄVLEBORGS LÄN</t>
        </is>
      </c>
      <c r="G384" t="inlineStr">
        <is>
          <t>HUDIKSVALL</t>
        </is>
      </c>
      <c r="I384" t="n">
        <v>1.6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2215-2023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44942</v>
      </c>
      <c r="E385" s="1" t="n">
        <v>46272</v>
      </c>
      <c r="F385" t="inlineStr">
        <is>
          <t>GÄVLEBORGS LÄN</t>
        </is>
      </c>
      <c r="G385" t="inlineStr">
        <is>
          <t>HUDIKSVALL</t>
        </is>
      </c>
      <c r="H385" t="inlineStr">
        <is>
          <t>Holmen skog AB</t>
        </is>
      </c>
      <c r="I385" t="n">
        <v>0.9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35000-2024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45527</v>
      </c>
      <c r="E386" s="1" t="n">
        <v>46272</v>
      </c>
      <c r="F386" t="inlineStr">
        <is>
          <t>GÄVLEBORGS LÄN</t>
        </is>
      </c>
      <c r="G386" t="inlineStr">
        <is>
          <t>HUDIKSVALL</t>
        </is>
      </c>
      <c r="H386" t="inlineStr">
        <is>
          <t>Holmen skog AB</t>
        </is>
      </c>
      <c r="I386" t="n">
        <v>2.7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41239-2025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45898</v>
      </c>
      <c r="E387" s="1" t="n">
        <v>46272</v>
      </c>
      <c r="F387" t="inlineStr">
        <is>
          <t>GÄVLEBORGS LÄN</t>
        </is>
      </c>
      <c r="G387" t="inlineStr">
        <is>
          <t>HUDIKSVALL</t>
        </is>
      </c>
      <c r="H387" t="inlineStr">
        <is>
          <t>Holmen skog AB</t>
        </is>
      </c>
      <c r="I387" t="n">
        <v>1.2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37689-2024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45541</v>
      </c>
      <c r="E388" s="1" t="n">
        <v>46272</v>
      </c>
      <c r="F388" t="inlineStr">
        <is>
          <t>GÄVLEBORGS LÄN</t>
        </is>
      </c>
      <c r="G388" t="inlineStr">
        <is>
          <t>HUDIKSVALL</t>
        </is>
      </c>
      <c r="H388" t="inlineStr">
        <is>
          <t>Kommuner</t>
        </is>
      </c>
      <c r="I388" t="n">
        <v>2.4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70264-2021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44536</v>
      </c>
      <c r="E389" s="1" t="n">
        <v>46272</v>
      </c>
      <c r="F389" t="inlineStr">
        <is>
          <t>GÄVLEBORGS LÄN</t>
        </is>
      </c>
      <c r="G389" t="inlineStr">
        <is>
          <t>HUDIKSVALL</t>
        </is>
      </c>
      <c r="I389" t="n">
        <v>0.4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20639-2025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45776</v>
      </c>
      <c r="E390" s="1" t="n">
        <v>46272</v>
      </c>
      <c r="F390" t="inlineStr">
        <is>
          <t>GÄVLEBORGS LÄN</t>
        </is>
      </c>
      <c r="G390" t="inlineStr">
        <is>
          <t>HUDIKSVALL</t>
        </is>
      </c>
      <c r="I390" t="n">
        <v>1.5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39335-2025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45889</v>
      </c>
      <c r="E391" s="1" t="n">
        <v>46272</v>
      </c>
      <c r="F391" t="inlineStr">
        <is>
          <t>GÄVLEBORGS LÄN</t>
        </is>
      </c>
      <c r="G391" t="inlineStr">
        <is>
          <t>HUDIKSVALL</t>
        </is>
      </c>
      <c r="I391" t="n">
        <v>3.4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460-2026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46029</v>
      </c>
      <c r="E392" s="1" t="n">
        <v>46272</v>
      </c>
      <c r="F392" t="inlineStr">
        <is>
          <t>GÄVLEBORGS LÄN</t>
        </is>
      </c>
      <c r="G392" t="inlineStr">
        <is>
          <t>HUDIKSVALL</t>
        </is>
      </c>
      <c r="I392" t="n">
        <v>2.5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30442-2025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45827</v>
      </c>
      <c r="E393" s="1" t="n">
        <v>46272</v>
      </c>
      <c r="F393" t="inlineStr">
        <is>
          <t>GÄVLEBORGS LÄN</t>
        </is>
      </c>
      <c r="G393" t="inlineStr">
        <is>
          <t>HUDIKSVALL</t>
        </is>
      </c>
      <c r="H393" t="inlineStr">
        <is>
          <t>Holmen skog AB</t>
        </is>
      </c>
      <c r="I393" t="n">
        <v>48.3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41192-2025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45898</v>
      </c>
      <c r="E394" s="1" t="n">
        <v>46272</v>
      </c>
      <c r="F394" t="inlineStr">
        <is>
          <t>GÄVLEBORGS LÄN</t>
        </is>
      </c>
      <c r="G394" t="inlineStr">
        <is>
          <t>HUDIKSVALL</t>
        </is>
      </c>
      <c r="H394" t="inlineStr">
        <is>
          <t>Holmen skog AB</t>
        </is>
      </c>
      <c r="I394" t="n">
        <v>4.7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30450-2025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45827</v>
      </c>
      <c r="E395" s="1" t="n">
        <v>46272</v>
      </c>
      <c r="F395" t="inlineStr">
        <is>
          <t>GÄVLEBORGS LÄN</t>
        </is>
      </c>
      <c r="G395" t="inlineStr">
        <is>
          <t>HUDIKSVALL</t>
        </is>
      </c>
      <c r="I395" t="n">
        <v>14.4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41119-2025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45898</v>
      </c>
      <c r="E396" s="1" t="n">
        <v>46272</v>
      </c>
      <c r="F396" t="inlineStr">
        <is>
          <t>GÄVLEBORGS LÄN</t>
        </is>
      </c>
      <c r="G396" t="inlineStr">
        <is>
          <t>HUDIKSVALL</t>
        </is>
      </c>
      <c r="H396" t="inlineStr">
        <is>
          <t>Holmen skog AB</t>
        </is>
      </c>
      <c r="I396" t="n">
        <v>35.1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41515-2025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45901</v>
      </c>
      <c r="E397" s="1" t="n">
        <v>46272</v>
      </c>
      <c r="F397" t="inlineStr">
        <is>
          <t>GÄVLEBORGS LÄN</t>
        </is>
      </c>
      <c r="G397" t="inlineStr">
        <is>
          <t>HUDIKSVALL</t>
        </is>
      </c>
      <c r="I397" t="n">
        <v>2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603-2025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45664</v>
      </c>
      <c r="E398" s="1" t="n">
        <v>46272</v>
      </c>
      <c r="F398" t="inlineStr">
        <is>
          <t>GÄVLEBORGS LÄN</t>
        </is>
      </c>
      <c r="G398" t="inlineStr">
        <is>
          <t>HUDIKSVALL</t>
        </is>
      </c>
      <c r="H398" t="inlineStr">
        <is>
          <t>Holmen skog AB</t>
        </is>
      </c>
      <c r="I398" t="n">
        <v>5.2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41156-2025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45898</v>
      </c>
      <c r="E399" s="1" t="n">
        <v>46272</v>
      </c>
      <c r="F399" t="inlineStr">
        <is>
          <t>GÄVLEBORGS LÄN</t>
        </is>
      </c>
      <c r="G399" t="inlineStr">
        <is>
          <t>HUDIKSVALL</t>
        </is>
      </c>
      <c r="H399" t="inlineStr">
        <is>
          <t>Holmen skog AB</t>
        </is>
      </c>
      <c r="I399" t="n">
        <v>5.3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41164-2025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45898</v>
      </c>
      <c r="E400" s="1" t="n">
        <v>46272</v>
      </c>
      <c r="F400" t="inlineStr">
        <is>
          <t>GÄVLEBORGS LÄN</t>
        </is>
      </c>
      <c r="G400" t="inlineStr">
        <is>
          <t>HUDIKSVALL</t>
        </is>
      </c>
      <c r="I400" t="n">
        <v>1.2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30463-2025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45827</v>
      </c>
      <c r="E401" s="1" t="n">
        <v>46272</v>
      </c>
      <c r="F401" t="inlineStr">
        <is>
          <t>GÄVLEBORGS LÄN</t>
        </is>
      </c>
      <c r="G401" t="inlineStr">
        <is>
          <t>HUDIKSVALL</t>
        </is>
      </c>
      <c r="I401" t="n">
        <v>9.800000000000001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30158-2025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45827</v>
      </c>
      <c r="E402" s="1" t="n">
        <v>46272</v>
      </c>
      <c r="F402" t="inlineStr">
        <is>
          <t>GÄVLEBORGS LÄN</t>
        </is>
      </c>
      <c r="G402" t="inlineStr">
        <is>
          <t>HUDIKSVALL</t>
        </is>
      </c>
      <c r="H402" t="inlineStr">
        <is>
          <t>Sveaskog</t>
        </is>
      </c>
      <c r="I402" t="n">
        <v>7.2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30234-2025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45827</v>
      </c>
      <c r="E403" s="1" t="n">
        <v>46272</v>
      </c>
      <c r="F403" t="inlineStr">
        <is>
          <t>GÄVLEBORGS LÄN</t>
        </is>
      </c>
      <c r="G403" t="inlineStr">
        <is>
          <t>HUDIKSVALL</t>
        </is>
      </c>
      <c r="I403" t="n">
        <v>8.300000000000001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41458-2025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45901</v>
      </c>
      <c r="E404" s="1" t="n">
        <v>46272</v>
      </c>
      <c r="F404" t="inlineStr">
        <is>
          <t>GÄVLEBORGS LÄN</t>
        </is>
      </c>
      <c r="G404" t="inlineStr">
        <is>
          <t>HUDIKSVALL</t>
        </is>
      </c>
      <c r="I404" t="n">
        <v>5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40060-2023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45168</v>
      </c>
      <c r="E405" s="1" t="n">
        <v>46272</v>
      </c>
      <c r="F405" t="inlineStr">
        <is>
          <t>GÄVLEBORGS LÄN</t>
        </is>
      </c>
      <c r="G405" t="inlineStr">
        <is>
          <t>HUDIKSVALL</t>
        </is>
      </c>
      <c r="H405" t="inlineStr">
        <is>
          <t>Holmen skog AB</t>
        </is>
      </c>
      <c r="I405" t="n">
        <v>4.3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28367-2024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45477</v>
      </c>
      <c r="E406" s="1" t="n">
        <v>46272</v>
      </c>
      <c r="F406" t="inlineStr">
        <is>
          <t>GÄVLEBORGS LÄN</t>
        </is>
      </c>
      <c r="G406" t="inlineStr">
        <is>
          <t>HUDIKSVALL</t>
        </is>
      </c>
      <c r="H406" t="inlineStr">
        <is>
          <t>Holmen skog AB</t>
        </is>
      </c>
      <c r="I406" t="n">
        <v>2.6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30480-2025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45828</v>
      </c>
      <c r="E407" s="1" t="n">
        <v>46272</v>
      </c>
      <c r="F407" t="inlineStr">
        <is>
          <t>GÄVLEBORGS LÄN</t>
        </is>
      </c>
      <c r="G407" t="inlineStr">
        <is>
          <t>HUDIKSVALL</t>
        </is>
      </c>
      <c r="H407" t="inlineStr">
        <is>
          <t>Holmen skog AB</t>
        </is>
      </c>
      <c r="I407" t="n">
        <v>4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30757-2025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45831</v>
      </c>
      <c r="E408" s="1" t="n">
        <v>46272</v>
      </c>
      <c r="F408" t="inlineStr">
        <is>
          <t>GÄVLEBORGS LÄN</t>
        </is>
      </c>
      <c r="G408" t="inlineStr">
        <is>
          <t>HUDIKSVALL</t>
        </is>
      </c>
      <c r="H408" t="inlineStr">
        <is>
          <t>Holmen skog AB</t>
        </is>
      </c>
      <c r="I408" t="n">
        <v>6.6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1006-2026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46030</v>
      </c>
      <c r="E409" s="1" t="n">
        <v>46272</v>
      </c>
      <c r="F409" t="inlineStr">
        <is>
          <t>GÄVLEBORGS LÄN</t>
        </is>
      </c>
      <c r="G409" t="inlineStr">
        <is>
          <t>HUDIKSVALL</t>
        </is>
      </c>
      <c r="I409" t="n">
        <v>1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1017-2026</t>
        </is>
      </c>
      <c r="B410" t="inlineStr">
        <is>
          <t>avverkningsanmälan</t>
        </is>
      </c>
      <c r="C410" t="inlineStr">
        <is>
          <t>Avverkning för annat ändamål</t>
        </is>
      </c>
      <c r="D410" s="1" t="n">
        <v>46030</v>
      </c>
      <c r="E410" s="1" t="n">
        <v>46272</v>
      </c>
      <c r="F410" t="inlineStr">
        <is>
          <t>GÄVLEBORGS LÄN</t>
        </is>
      </c>
      <c r="G410" t="inlineStr">
        <is>
          <t>HUDIKSVALL</t>
        </is>
      </c>
      <c r="I410" t="n">
        <v>0.6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60789-2023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45260</v>
      </c>
      <c r="E411" s="1" t="n">
        <v>46272</v>
      </c>
      <c r="F411" t="inlineStr">
        <is>
          <t>GÄVLEBORGS LÄN</t>
        </is>
      </c>
      <c r="G411" t="inlineStr">
        <is>
          <t>HUDIKSVALL</t>
        </is>
      </c>
      <c r="I411" t="n">
        <v>4.8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60796-2023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45260</v>
      </c>
      <c r="E412" s="1" t="n">
        <v>46272</v>
      </c>
      <c r="F412" t="inlineStr">
        <is>
          <t>GÄVLEBORGS LÄN</t>
        </is>
      </c>
      <c r="G412" t="inlineStr">
        <is>
          <t>HUDIKSVALL</t>
        </is>
      </c>
      <c r="H412" t="inlineStr">
        <is>
          <t>Holmen skog AB</t>
        </is>
      </c>
      <c r="I412" t="n">
        <v>1.6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60801-2023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45260</v>
      </c>
      <c r="E413" s="1" t="n">
        <v>46272</v>
      </c>
      <c r="F413" t="inlineStr">
        <is>
          <t>GÄVLEBORGS LÄN</t>
        </is>
      </c>
      <c r="G413" t="inlineStr">
        <is>
          <t>HUDIKSVALL</t>
        </is>
      </c>
      <c r="I413" t="n">
        <v>1.7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63414-2023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45274</v>
      </c>
      <c r="E414" s="1" t="n">
        <v>46272</v>
      </c>
      <c r="F414" t="inlineStr">
        <is>
          <t>GÄVLEBORGS LÄN</t>
        </is>
      </c>
      <c r="G414" t="inlineStr">
        <is>
          <t>HUDIKSVALL</t>
        </is>
      </c>
      <c r="I414" t="n">
        <v>9.1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958-2026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46030</v>
      </c>
      <c r="E415" s="1" t="n">
        <v>46272</v>
      </c>
      <c r="F415" t="inlineStr">
        <is>
          <t>GÄVLEBORGS LÄN</t>
        </is>
      </c>
      <c r="G415" t="inlineStr">
        <is>
          <t>HUDIKSVALL</t>
        </is>
      </c>
      <c r="H415" t="inlineStr">
        <is>
          <t>Holmen skog AB</t>
        </is>
      </c>
      <c r="I415" t="n">
        <v>9.1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41762-2025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45902</v>
      </c>
      <c r="E416" s="1" t="n">
        <v>46272</v>
      </c>
      <c r="F416" t="inlineStr">
        <is>
          <t>GÄVLEBORGS LÄN</t>
        </is>
      </c>
      <c r="G416" t="inlineStr">
        <is>
          <t>HUDIKSVALL</t>
        </is>
      </c>
      <c r="H416" t="inlineStr">
        <is>
          <t>Holmen skog AB</t>
        </is>
      </c>
      <c r="I416" t="n">
        <v>17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30479-2025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45828</v>
      </c>
      <c r="E417" s="1" t="n">
        <v>46272</v>
      </c>
      <c r="F417" t="inlineStr">
        <is>
          <t>GÄVLEBORGS LÄN</t>
        </is>
      </c>
      <c r="G417" t="inlineStr">
        <is>
          <t>HUDIKSVALL</t>
        </is>
      </c>
      <c r="H417" t="inlineStr">
        <is>
          <t>Holmen skog AB</t>
        </is>
      </c>
      <c r="I417" t="n">
        <v>13.5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30481-2025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45828</v>
      </c>
      <c r="E418" s="1" t="n">
        <v>46272</v>
      </c>
      <c r="F418" t="inlineStr">
        <is>
          <t>GÄVLEBORGS LÄN</t>
        </is>
      </c>
      <c r="G418" t="inlineStr">
        <is>
          <t>HUDIKSVALL</t>
        </is>
      </c>
      <c r="H418" t="inlineStr">
        <is>
          <t>Holmen skog AB</t>
        </is>
      </c>
      <c r="I418" t="n">
        <v>2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50898-2023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45218</v>
      </c>
      <c r="E419" s="1" t="n">
        <v>46272</v>
      </c>
      <c r="F419" t="inlineStr">
        <is>
          <t>GÄVLEBORGS LÄN</t>
        </is>
      </c>
      <c r="G419" t="inlineStr">
        <is>
          <t>HUDIKSVALL</t>
        </is>
      </c>
      <c r="H419" t="inlineStr">
        <is>
          <t>Holmen skog AB</t>
        </is>
      </c>
      <c r="I419" t="n">
        <v>6.5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42355-2025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45904</v>
      </c>
      <c r="E420" s="1" t="n">
        <v>46272</v>
      </c>
      <c r="F420" t="inlineStr">
        <is>
          <t>GÄVLEBORGS LÄN</t>
        </is>
      </c>
      <c r="G420" t="inlineStr">
        <is>
          <t>HUDIKSVALL</t>
        </is>
      </c>
      <c r="I420" t="n">
        <v>1.3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42151-2025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45904</v>
      </c>
      <c r="E421" s="1" t="n">
        <v>46272</v>
      </c>
      <c r="F421" t="inlineStr">
        <is>
          <t>GÄVLEBORGS LÄN</t>
        </is>
      </c>
      <c r="G421" t="inlineStr">
        <is>
          <t>HUDIKSVALL</t>
        </is>
      </c>
      <c r="I421" t="n">
        <v>3.9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53721-2024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45615</v>
      </c>
      <c r="E422" s="1" t="n">
        <v>46272</v>
      </c>
      <c r="F422" t="inlineStr">
        <is>
          <t>GÄVLEBORGS LÄN</t>
        </is>
      </c>
      <c r="G422" t="inlineStr">
        <is>
          <t>HUDIKSVALL</t>
        </is>
      </c>
      <c r="I422" t="n">
        <v>1.6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15097-2022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44658</v>
      </c>
      <c r="E423" s="1" t="n">
        <v>46272</v>
      </c>
      <c r="F423" t="inlineStr">
        <is>
          <t>GÄVLEBORGS LÄN</t>
        </is>
      </c>
      <c r="G423" t="inlineStr">
        <is>
          <t>HUDIKSVALL</t>
        </is>
      </c>
      <c r="I423" t="n">
        <v>4.5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18568-2023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45043</v>
      </c>
      <c r="E424" s="1" t="n">
        <v>46272</v>
      </c>
      <c r="F424" t="inlineStr">
        <is>
          <t>GÄVLEBORGS LÄN</t>
        </is>
      </c>
      <c r="G424" t="inlineStr">
        <is>
          <t>HUDIKSVALL</t>
        </is>
      </c>
      <c r="I424" t="n">
        <v>1.1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42851-2025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45908</v>
      </c>
      <c r="E425" s="1" t="n">
        <v>46272</v>
      </c>
      <c r="F425" t="inlineStr">
        <is>
          <t>GÄVLEBORGS LÄN</t>
        </is>
      </c>
      <c r="G425" t="inlineStr">
        <is>
          <t>HUDIKSVALL</t>
        </is>
      </c>
      <c r="I425" t="n">
        <v>1.7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42934-2025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45909</v>
      </c>
      <c r="E426" s="1" t="n">
        <v>46272</v>
      </c>
      <c r="F426" t="inlineStr">
        <is>
          <t>GÄVLEBORGS LÄN</t>
        </is>
      </c>
      <c r="G426" t="inlineStr">
        <is>
          <t>HUDIKSVALL</t>
        </is>
      </c>
      <c r="I426" t="n">
        <v>0.6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22261-2024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45446</v>
      </c>
      <c r="E427" s="1" t="n">
        <v>46272</v>
      </c>
      <c r="F427" t="inlineStr">
        <is>
          <t>GÄVLEBORGS LÄN</t>
        </is>
      </c>
      <c r="G427" t="inlineStr">
        <is>
          <t>HUDIKSVALL</t>
        </is>
      </c>
      <c r="I427" t="n">
        <v>7.6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31477-2025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45833</v>
      </c>
      <c r="E428" s="1" t="n">
        <v>46272</v>
      </c>
      <c r="F428" t="inlineStr">
        <is>
          <t>GÄVLEBORGS LÄN</t>
        </is>
      </c>
      <c r="G428" t="inlineStr">
        <is>
          <t>HUDIKSVALL</t>
        </is>
      </c>
      <c r="I428" t="n">
        <v>1.4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42790-2025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45908</v>
      </c>
      <c r="E429" s="1" t="n">
        <v>46272</v>
      </c>
      <c r="F429" t="inlineStr">
        <is>
          <t>GÄVLEBORGS LÄN</t>
        </is>
      </c>
      <c r="G429" t="inlineStr">
        <is>
          <t>HUDIKSVALL</t>
        </is>
      </c>
      <c r="I429" t="n">
        <v>0.7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42792-2025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45908</v>
      </c>
      <c r="E430" s="1" t="n">
        <v>46272</v>
      </c>
      <c r="F430" t="inlineStr">
        <is>
          <t>GÄVLEBORGS LÄN</t>
        </is>
      </c>
      <c r="G430" t="inlineStr">
        <is>
          <t>HUDIKSVALL</t>
        </is>
      </c>
      <c r="I430" t="n">
        <v>2.6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42760-2025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45908</v>
      </c>
      <c r="E431" s="1" t="n">
        <v>46272</v>
      </c>
      <c r="F431" t="inlineStr">
        <is>
          <t>GÄVLEBORGS LÄN</t>
        </is>
      </c>
      <c r="G431" t="inlineStr">
        <is>
          <t>HUDIKSVALL</t>
        </is>
      </c>
      <c r="I431" t="n">
        <v>2.7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37638-2022</t>
        </is>
      </c>
      <c r="B432" t="inlineStr">
        <is>
          <t>avverkningsanmälan</t>
        </is>
      </c>
      <c r="C432" t="inlineStr">
        <is>
          <t>Avverkning för annat ändamål</t>
        </is>
      </c>
      <c r="D432" s="1" t="n">
        <v>44810</v>
      </c>
      <c r="E432" s="1" t="n">
        <v>46272</v>
      </c>
      <c r="F432" t="inlineStr">
        <is>
          <t>GÄVLEBORGS LÄN</t>
        </is>
      </c>
      <c r="G432" t="inlineStr">
        <is>
          <t>HUDIKSVALL</t>
        </is>
      </c>
      <c r="H432" t="inlineStr">
        <is>
          <t>Holmen skog AB</t>
        </is>
      </c>
      <c r="I432" t="n">
        <v>1.4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37681-2022</t>
        </is>
      </c>
      <c r="B433" t="inlineStr">
        <is>
          <t>avverkningsanmälan</t>
        </is>
      </c>
      <c r="C433" t="inlineStr">
        <is>
          <t>Avverkning för annat ändamål</t>
        </is>
      </c>
      <c r="D433" s="1" t="n">
        <v>44810</v>
      </c>
      <c r="E433" s="1" t="n">
        <v>46272</v>
      </c>
      <c r="F433" t="inlineStr">
        <is>
          <t>GÄVLEBORGS LÄN</t>
        </is>
      </c>
      <c r="G433" t="inlineStr">
        <is>
          <t>HUDIKSVALL</t>
        </is>
      </c>
      <c r="I433" t="n">
        <v>1.1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43170-2025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45910</v>
      </c>
      <c r="E434" s="1" t="n">
        <v>46272</v>
      </c>
      <c r="F434" t="inlineStr">
        <is>
          <t>GÄVLEBORGS LÄN</t>
        </is>
      </c>
      <c r="G434" t="inlineStr">
        <is>
          <t>HUDIKSVALL</t>
        </is>
      </c>
      <c r="H434" t="inlineStr">
        <is>
          <t>Holmen skog AB</t>
        </is>
      </c>
      <c r="I434" t="n">
        <v>3.7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49713-2022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44862</v>
      </c>
      <c r="E435" s="1" t="n">
        <v>46272</v>
      </c>
      <c r="F435" t="inlineStr">
        <is>
          <t>GÄVLEBORGS LÄN</t>
        </is>
      </c>
      <c r="G435" t="inlineStr">
        <is>
          <t>HUDIKSVALL</t>
        </is>
      </c>
      <c r="I435" t="n">
        <v>3.1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42239-2023</t>
        </is>
      </c>
      <c r="B436" t="inlineStr">
        <is>
          <t>avverkningsanmälan</t>
        </is>
      </c>
      <c r="C436" t="inlineStr">
        <is>
          <t>Avverkning för annat ändamål</t>
        </is>
      </c>
      <c r="D436" s="1" t="n">
        <v>45180</v>
      </c>
      <c r="E436" s="1" t="n">
        <v>46272</v>
      </c>
      <c r="F436" t="inlineStr">
        <is>
          <t>GÄVLEBORGS LÄN</t>
        </is>
      </c>
      <c r="G436" t="inlineStr">
        <is>
          <t>HUDIKSVALL</t>
        </is>
      </c>
      <c r="I436" t="n">
        <v>0.6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2662-2025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45676</v>
      </c>
      <c r="E437" s="1" t="n">
        <v>46272</v>
      </c>
      <c r="F437" t="inlineStr">
        <is>
          <t>GÄVLEBORGS LÄN</t>
        </is>
      </c>
      <c r="G437" t="inlineStr">
        <is>
          <t>HUDIKSVALL</t>
        </is>
      </c>
      <c r="I437" t="n">
        <v>2.1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43219-2025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45910</v>
      </c>
      <c r="E438" s="1" t="n">
        <v>46272</v>
      </c>
      <c r="F438" t="inlineStr">
        <is>
          <t>GÄVLEBORGS LÄN</t>
        </is>
      </c>
      <c r="G438" t="inlineStr">
        <is>
          <t>HUDIKSVALL</t>
        </is>
      </c>
      <c r="I438" t="n">
        <v>2.7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2754-2025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45677</v>
      </c>
      <c r="E439" s="1" t="n">
        <v>46272</v>
      </c>
      <c r="F439" t="inlineStr">
        <is>
          <t>GÄVLEBORGS LÄN</t>
        </is>
      </c>
      <c r="G439" t="inlineStr">
        <is>
          <t>HUDIKSVALL</t>
        </is>
      </c>
      <c r="I439" t="n">
        <v>2.1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43393-2025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45911</v>
      </c>
      <c r="E440" s="1" t="n">
        <v>46272</v>
      </c>
      <c r="F440" t="inlineStr">
        <is>
          <t>GÄVLEBORGS LÄN</t>
        </is>
      </c>
      <c r="G440" t="inlineStr">
        <is>
          <t>HUDIKSVALL</t>
        </is>
      </c>
      <c r="I440" t="n">
        <v>2.6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32167-2025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45835</v>
      </c>
      <c r="E441" s="1" t="n">
        <v>46272</v>
      </c>
      <c r="F441" t="inlineStr">
        <is>
          <t>GÄVLEBORGS LÄN</t>
        </is>
      </c>
      <c r="G441" t="inlineStr">
        <is>
          <t>HUDIKSVALL</t>
        </is>
      </c>
      <c r="H441" t="inlineStr">
        <is>
          <t>Holmen skog AB</t>
        </is>
      </c>
      <c r="I441" t="n">
        <v>13.7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43339-2025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45910</v>
      </c>
      <c r="E442" s="1" t="n">
        <v>46272</v>
      </c>
      <c r="F442" t="inlineStr">
        <is>
          <t>GÄVLEBORGS LÄN</t>
        </is>
      </c>
      <c r="G442" t="inlineStr">
        <is>
          <t>HUDIKSVALL</t>
        </is>
      </c>
      <c r="H442" t="inlineStr">
        <is>
          <t>Holmen skog AB</t>
        </is>
      </c>
      <c r="I442" t="n">
        <v>7.4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43197-2025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45910</v>
      </c>
      <c r="E443" s="1" t="n">
        <v>46272</v>
      </c>
      <c r="F443" t="inlineStr">
        <is>
          <t>GÄVLEBORGS LÄN</t>
        </is>
      </c>
      <c r="G443" t="inlineStr">
        <is>
          <t>HUDIKSVALL</t>
        </is>
      </c>
      <c r="I443" t="n">
        <v>3.2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43433-2025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45911</v>
      </c>
      <c r="E444" s="1" t="n">
        <v>46272</v>
      </c>
      <c r="F444" t="inlineStr">
        <is>
          <t>GÄVLEBORGS LÄN</t>
        </is>
      </c>
      <c r="G444" t="inlineStr">
        <is>
          <t>HUDIKSVALL</t>
        </is>
      </c>
      <c r="I444" t="n">
        <v>2.1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9400-2024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45359</v>
      </c>
      <c r="E445" s="1" t="n">
        <v>46272</v>
      </c>
      <c r="F445" t="inlineStr">
        <is>
          <t>GÄVLEBORGS LÄN</t>
        </is>
      </c>
      <c r="G445" t="inlineStr">
        <is>
          <t>HUDIKSVALL</t>
        </is>
      </c>
      <c r="H445" t="inlineStr">
        <is>
          <t>Holmen skog AB</t>
        </is>
      </c>
      <c r="I445" t="n">
        <v>1.3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31720-2025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45834</v>
      </c>
      <c r="E446" s="1" t="n">
        <v>46272</v>
      </c>
      <c r="F446" t="inlineStr">
        <is>
          <t>GÄVLEBORGS LÄN</t>
        </is>
      </c>
      <c r="G446" t="inlineStr">
        <is>
          <t>HUDIKSVALL</t>
        </is>
      </c>
      <c r="I446" t="n">
        <v>31.2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31766-2025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45834</v>
      </c>
      <c r="E447" s="1" t="n">
        <v>46272</v>
      </c>
      <c r="F447" t="inlineStr">
        <is>
          <t>GÄVLEBORGS LÄN</t>
        </is>
      </c>
      <c r="G447" t="inlineStr">
        <is>
          <t>HUDIKSVALL</t>
        </is>
      </c>
      <c r="H447" t="inlineStr">
        <is>
          <t>Holmen skog AB</t>
        </is>
      </c>
      <c r="I447" t="n">
        <v>3.6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31936-2025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45834</v>
      </c>
      <c r="E448" s="1" t="n">
        <v>46272</v>
      </c>
      <c r="F448" t="inlineStr">
        <is>
          <t>GÄVLEBORGS LÄN</t>
        </is>
      </c>
      <c r="G448" t="inlineStr">
        <is>
          <t>HUDIKSVALL</t>
        </is>
      </c>
      <c r="I448" t="n">
        <v>3.8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31907-2025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45834</v>
      </c>
      <c r="E449" s="1" t="n">
        <v>46272</v>
      </c>
      <c r="F449" t="inlineStr">
        <is>
          <t>GÄVLEBORGS LÄN</t>
        </is>
      </c>
      <c r="G449" t="inlineStr">
        <is>
          <t>HUDIKSVALL</t>
        </is>
      </c>
      <c r="I449" t="n">
        <v>8.9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1132-2026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46030</v>
      </c>
      <c r="E450" s="1" t="n">
        <v>46272</v>
      </c>
      <c r="F450" t="inlineStr">
        <is>
          <t>GÄVLEBORGS LÄN</t>
        </is>
      </c>
      <c r="G450" t="inlineStr">
        <is>
          <t>HUDIKSVALL</t>
        </is>
      </c>
      <c r="I450" t="n">
        <v>12.5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1024-2026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46030</v>
      </c>
      <c r="E451" s="1" t="n">
        <v>46272</v>
      </c>
      <c r="F451" t="inlineStr">
        <is>
          <t>GÄVLEBORGS LÄN</t>
        </is>
      </c>
      <c r="G451" t="inlineStr">
        <is>
          <t>HUDIKSVALL</t>
        </is>
      </c>
      <c r="I451" t="n">
        <v>3.7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43661-2025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45912</v>
      </c>
      <c r="E452" s="1" t="n">
        <v>46272</v>
      </c>
      <c r="F452" t="inlineStr">
        <is>
          <t>GÄVLEBORGS LÄN</t>
        </is>
      </c>
      <c r="G452" t="inlineStr">
        <is>
          <t>HUDIKSVALL</t>
        </is>
      </c>
      <c r="I452" t="n">
        <v>1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60899-2023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45261</v>
      </c>
      <c r="E453" s="1" t="n">
        <v>46272</v>
      </c>
      <c r="F453" t="inlineStr">
        <is>
          <t>GÄVLEBORGS LÄN</t>
        </is>
      </c>
      <c r="G453" t="inlineStr">
        <is>
          <t>HUDIKSVALL</t>
        </is>
      </c>
      <c r="H453" t="inlineStr">
        <is>
          <t>Holmen skog AB</t>
        </is>
      </c>
      <c r="I453" t="n">
        <v>3.4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60901-2023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45261</v>
      </c>
      <c r="E454" s="1" t="n">
        <v>46272</v>
      </c>
      <c r="F454" t="inlineStr">
        <is>
          <t>GÄVLEBORGS LÄN</t>
        </is>
      </c>
      <c r="G454" t="inlineStr">
        <is>
          <t>HUDIKSVALL</t>
        </is>
      </c>
      <c r="H454" t="inlineStr">
        <is>
          <t>Holmen skog AB</t>
        </is>
      </c>
      <c r="I454" t="n">
        <v>3.7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1077-2026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46030</v>
      </c>
      <c r="E455" s="1" t="n">
        <v>46272</v>
      </c>
      <c r="F455" t="inlineStr">
        <is>
          <t>GÄVLEBORGS LÄN</t>
        </is>
      </c>
      <c r="G455" t="inlineStr">
        <is>
          <t>HUDIKSVALL</t>
        </is>
      </c>
      <c r="I455" t="n">
        <v>3.8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43715-2025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45912</v>
      </c>
      <c r="E456" s="1" t="n">
        <v>46272</v>
      </c>
      <c r="F456" t="inlineStr">
        <is>
          <t>GÄVLEBORGS LÄN</t>
        </is>
      </c>
      <c r="G456" t="inlineStr">
        <is>
          <t>HUDIKSVALL</t>
        </is>
      </c>
      <c r="I456" t="n">
        <v>1.3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43678-2025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45912</v>
      </c>
      <c r="E457" s="1" t="n">
        <v>46272</v>
      </c>
      <c r="F457" t="inlineStr">
        <is>
          <t>GÄVLEBORGS LÄN</t>
        </is>
      </c>
      <c r="G457" t="inlineStr">
        <is>
          <t>HUDIKSVALL</t>
        </is>
      </c>
      <c r="I457" t="n">
        <v>0.6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44631-2025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45917</v>
      </c>
      <c r="E458" s="1" t="n">
        <v>46272</v>
      </c>
      <c r="F458" t="inlineStr">
        <is>
          <t>GÄVLEBORGS LÄN</t>
        </is>
      </c>
      <c r="G458" t="inlineStr">
        <is>
          <t>HUDIKSVALL</t>
        </is>
      </c>
      <c r="I458" t="n">
        <v>2.6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7237-2025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45702</v>
      </c>
      <c r="E459" s="1" t="n">
        <v>46272</v>
      </c>
      <c r="F459" t="inlineStr">
        <is>
          <t>GÄVLEBORGS LÄN</t>
        </is>
      </c>
      <c r="G459" t="inlineStr">
        <is>
          <t>HUDIKSVALL</t>
        </is>
      </c>
      <c r="I459" t="n">
        <v>3.4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10375-2023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44987</v>
      </c>
      <c r="E460" s="1" t="n">
        <v>46272</v>
      </c>
      <c r="F460" t="inlineStr">
        <is>
          <t>GÄVLEBORGS LÄN</t>
        </is>
      </c>
      <c r="G460" t="inlineStr">
        <is>
          <t>HUDIKSVALL</t>
        </is>
      </c>
      <c r="I460" t="n">
        <v>6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21772-2023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45065</v>
      </c>
      <c r="E461" s="1" t="n">
        <v>46272</v>
      </c>
      <c r="F461" t="inlineStr">
        <is>
          <t>GÄVLEBORGS LÄN</t>
        </is>
      </c>
      <c r="G461" t="inlineStr">
        <is>
          <t>HUDIKSVALL</t>
        </is>
      </c>
      <c r="I461" t="n">
        <v>1.2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50306-2024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45600</v>
      </c>
      <c r="E462" s="1" t="n">
        <v>46272</v>
      </c>
      <c r="F462" t="inlineStr">
        <is>
          <t>GÄVLEBORGS LÄN</t>
        </is>
      </c>
      <c r="G462" t="inlineStr">
        <is>
          <t>HUDIKSVALL</t>
        </is>
      </c>
      <c r="I462" t="n">
        <v>1.6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44348-2025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45916</v>
      </c>
      <c r="E463" s="1" t="n">
        <v>46272</v>
      </c>
      <c r="F463" t="inlineStr">
        <is>
          <t>GÄVLEBORGS LÄN</t>
        </is>
      </c>
      <c r="G463" t="inlineStr">
        <is>
          <t>HUDIKSVALL</t>
        </is>
      </c>
      <c r="H463" t="inlineStr">
        <is>
          <t>Holmen skog AB</t>
        </is>
      </c>
      <c r="I463" t="n">
        <v>2.4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778-2026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46029</v>
      </c>
      <c r="E464" s="1" t="n">
        <v>46272</v>
      </c>
      <c r="F464" t="inlineStr">
        <is>
          <t>GÄVLEBORGS LÄN</t>
        </is>
      </c>
      <c r="G464" t="inlineStr">
        <is>
          <t>HUDIKSVALL</t>
        </is>
      </c>
      <c r="I464" t="n">
        <v>1.3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33166-2025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45840</v>
      </c>
      <c r="E465" s="1" t="n">
        <v>46272</v>
      </c>
      <c r="F465" t="inlineStr">
        <is>
          <t>GÄVLEBORGS LÄN</t>
        </is>
      </c>
      <c r="G465" t="inlineStr">
        <is>
          <t>HUDIKSVALL</t>
        </is>
      </c>
      <c r="H465" t="inlineStr">
        <is>
          <t>Holmen skog AB</t>
        </is>
      </c>
      <c r="I465" t="n">
        <v>6.2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33197-2025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45840</v>
      </c>
      <c r="E466" s="1" t="n">
        <v>46272</v>
      </c>
      <c r="F466" t="inlineStr">
        <is>
          <t>GÄVLEBORGS LÄN</t>
        </is>
      </c>
      <c r="G466" t="inlineStr">
        <is>
          <t>HUDIKSVALL</t>
        </is>
      </c>
      <c r="I466" t="n">
        <v>1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33714-2025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45841</v>
      </c>
      <c r="E467" s="1" t="n">
        <v>46272</v>
      </c>
      <c r="F467" t="inlineStr">
        <is>
          <t>GÄVLEBORGS LÄN</t>
        </is>
      </c>
      <c r="G467" t="inlineStr">
        <is>
          <t>HUDIKSVALL</t>
        </is>
      </c>
      <c r="H467" t="inlineStr">
        <is>
          <t>Holmen skog AB</t>
        </is>
      </c>
      <c r="I467" t="n">
        <v>3.8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33260-2025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45840</v>
      </c>
      <c r="E468" s="1" t="n">
        <v>46272</v>
      </c>
      <c r="F468" t="inlineStr">
        <is>
          <t>GÄVLEBORGS LÄN</t>
        </is>
      </c>
      <c r="G468" t="inlineStr">
        <is>
          <t>HUDIKSVALL</t>
        </is>
      </c>
      <c r="H468" t="inlineStr">
        <is>
          <t>Holmen skog AB</t>
        </is>
      </c>
      <c r="I468" t="n">
        <v>0.9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33239-2025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45840</v>
      </c>
      <c r="E469" s="1" t="n">
        <v>46272</v>
      </c>
      <c r="F469" t="inlineStr">
        <is>
          <t>GÄVLEBORGS LÄN</t>
        </is>
      </c>
      <c r="G469" t="inlineStr">
        <is>
          <t>HUDIKSVALL</t>
        </is>
      </c>
      <c r="H469" t="inlineStr">
        <is>
          <t>Holmen skog AB</t>
        </is>
      </c>
      <c r="I469" t="n">
        <v>1.3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59851-2023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45257</v>
      </c>
      <c r="E470" s="1" t="n">
        <v>46272</v>
      </c>
      <c r="F470" t="inlineStr">
        <is>
          <t>GÄVLEBORGS LÄN</t>
        </is>
      </c>
      <c r="G470" t="inlineStr">
        <is>
          <t>HUDIKSVALL</t>
        </is>
      </c>
      <c r="I470" t="n">
        <v>1.8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45075-2025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45919</v>
      </c>
      <c r="E471" s="1" t="n">
        <v>46272</v>
      </c>
      <c r="F471" t="inlineStr">
        <is>
          <t>GÄVLEBORGS LÄN</t>
        </is>
      </c>
      <c r="G471" t="inlineStr">
        <is>
          <t>HUDIKSVALL</t>
        </is>
      </c>
      <c r="I471" t="n">
        <v>3.4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1926-2026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46035</v>
      </c>
      <c r="E472" s="1" t="n">
        <v>46272</v>
      </c>
      <c r="F472" t="inlineStr">
        <is>
          <t>GÄVLEBORGS LÄN</t>
        </is>
      </c>
      <c r="G472" t="inlineStr">
        <is>
          <t>HUDIKSVALL</t>
        </is>
      </c>
      <c r="I472" t="n">
        <v>1.3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1935-2026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46035</v>
      </c>
      <c r="E473" s="1" t="n">
        <v>46272</v>
      </c>
      <c r="F473" t="inlineStr">
        <is>
          <t>GÄVLEBORGS LÄN</t>
        </is>
      </c>
      <c r="G473" t="inlineStr">
        <is>
          <t>HUDIKSVALL</t>
        </is>
      </c>
      <c r="I473" t="n">
        <v>2.9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A 1777-2026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46034</v>
      </c>
      <c r="E474" s="1" t="n">
        <v>46272</v>
      </c>
      <c r="F474" t="inlineStr">
        <is>
          <t>GÄVLEBORGS LÄN</t>
        </is>
      </c>
      <c r="G474" t="inlineStr">
        <is>
          <t>HUDIKSVALL</t>
        </is>
      </c>
      <c r="I474" t="n">
        <v>3.8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A 45136-2025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45919</v>
      </c>
      <c r="E475" s="1" t="n">
        <v>46272</v>
      </c>
      <c r="F475" t="inlineStr">
        <is>
          <t>GÄVLEBORGS LÄN</t>
        </is>
      </c>
      <c r="G475" t="inlineStr">
        <is>
          <t>HUDIKSVALL</t>
        </is>
      </c>
      <c r="I475" t="n">
        <v>4.4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A 33176-2025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45840</v>
      </c>
      <c r="E476" s="1" t="n">
        <v>46272</v>
      </c>
      <c r="F476" t="inlineStr">
        <is>
          <t>GÄVLEBORGS LÄN</t>
        </is>
      </c>
      <c r="G476" t="inlineStr">
        <is>
          <t>HUDIKSVALL</t>
        </is>
      </c>
      <c r="I476" t="n">
        <v>0.7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A 44966-2025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45918</v>
      </c>
      <c r="E477" s="1" t="n">
        <v>46272</v>
      </c>
      <c r="F477" t="inlineStr">
        <is>
          <t>GÄVLEBORGS LÄN</t>
        </is>
      </c>
      <c r="G477" t="inlineStr">
        <is>
          <t>HUDIKSVALL</t>
        </is>
      </c>
      <c r="I477" t="n">
        <v>17.2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A 44986-2025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45918</v>
      </c>
      <c r="E478" s="1" t="n">
        <v>46272</v>
      </c>
      <c r="F478" t="inlineStr">
        <is>
          <t>GÄVLEBORGS LÄN</t>
        </is>
      </c>
      <c r="G478" t="inlineStr">
        <is>
          <t>HUDIKSVALL</t>
        </is>
      </c>
      <c r="I478" t="n">
        <v>0.9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A 1855-2026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46035</v>
      </c>
      <c r="E479" s="1" t="n">
        <v>46272</v>
      </c>
      <c r="F479" t="inlineStr">
        <is>
          <t>GÄVLEBORGS LÄN</t>
        </is>
      </c>
      <c r="G479" t="inlineStr">
        <is>
          <t>HUDIKSVALL</t>
        </is>
      </c>
      <c r="I479" t="n">
        <v>15.9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A 45723-2025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45923</v>
      </c>
      <c r="E480" s="1" t="n">
        <v>46272</v>
      </c>
      <c r="F480" t="inlineStr">
        <is>
          <t>GÄVLEBORGS LÄN</t>
        </is>
      </c>
      <c r="G480" t="inlineStr">
        <is>
          <t>HUDIKSVALL</t>
        </is>
      </c>
      <c r="I480" t="n">
        <v>1.8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A 45738-2025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45923</v>
      </c>
      <c r="E481" s="1" t="n">
        <v>46272</v>
      </c>
      <c r="F481" t="inlineStr">
        <is>
          <t>GÄVLEBORGS LÄN</t>
        </is>
      </c>
      <c r="G481" t="inlineStr">
        <is>
          <t>HUDIKSVALL</t>
        </is>
      </c>
      <c r="I481" t="n">
        <v>1.5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A 33254-2025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45840</v>
      </c>
      <c r="E482" s="1" t="n">
        <v>46272</v>
      </c>
      <c r="F482" t="inlineStr">
        <is>
          <t>GÄVLEBORGS LÄN</t>
        </is>
      </c>
      <c r="G482" t="inlineStr">
        <is>
          <t>HUDIKSVALL</t>
        </is>
      </c>
      <c r="H482" t="inlineStr">
        <is>
          <t>Holmen skog AB</t>
        </is>
      </c>
      <c r="I482" t="n">
        <v>1.3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A 45284-2025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45919</v>
      </c>
      <c r="E483" s="1" t="n">
        <v>46272</v>
      </c>
      <c r="F483" t="inlineStr">
        <is>
          <t>GÄVLEBORGS LÄN</t>
        </is>
      </c>
      <c r="G483" t="inlineStr">
        <is>
          <t>HUDIKSVALL</t>
        </is>
      </c>
      <c r="I483" t="n">
        <v>2.4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A 45851-2025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45923</v>
      </c>
      <c r="E484" s="1" t="n">
        <v>46272</v>
      </c>
      <c r="F484" t="inlineStr">
        <is>
          <t>GÄVLEBORGS LÄN</t>
        </is>
      </c>
      <c r="G484" t="inlineStr">
        <is>
          <t>HUDIKSVALL</t>
        </is>
      </c>
      <c r="I484" t="n">
        <v>0.9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 ht="15" customHeight="1">
      <c r="A485" t="inlineStr">
        <is>
          <t>A 46142-2025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45924</v>
      </c>
      <c r="E485" s="1" t="n">
        <v>46272</v>
      </c>
      <c r="F485" t="inlineStr">
        <is>
          <t>GÄVLEBORGS LÄN</t>
        </is>
      </c>
      <c r="G485" t="inlineStr">
        <is>
          <t>HUDIKSVALL</t>
        </is>
      </c>
      <c r="I485" t="n">
        <v>1.4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  <row r="486" ht="15" customHeight="1">
      <c r="A486" t="inlineStr">
        <is>
          <t>A 406-2025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45663</v>
      </c>
      <c r="E486" s="1" t="n">
        <v>46272</v>
      </c>
      <c r="F486" t="inlineStr">
        <is>
          <t>GÄVLEBORGS LÄN</t>
        </is>
      </c>
      <c r="G486" t="inlineStr">
        <is>
          <t>HUDIKSVALL</t>
        </is>
      </c>
      <c r="I486" t="n">
        <v>1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s="2" t="inlineStr"/>
    </row>
    <row r="487" ht="15" customHeight="1">
      <c r="A487" t="inlineStr">
        <is>
          <t>A 46257-2025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45925</v>
      </c>
      <c r="E487" s="1" t="n">
        <v>46272</v>
      </c>
      <c r="F487" t="inlineStr">
        <is>
          <t>GÄVLEBORGS LÄN</t>
        </is>
      </c>
      <c r="G487" t="inlineStr">
        <is>
          <t>HUDIKSVALL</t>
        </is>
      </c>
      <c r="I487" t="n">
        <v>0.5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t="n">
        <v>0</v>
      </c>
      <c r="V487" s="2" t="inlineStr"/>
    </row>
    <row r="488" ht="15" customHeight="1">
      <c r="A488" t="inlineStr">
        <is>
          <t>A 58942-2022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44903</v>
      </c>
      <c r="E488" s="1" t="n">
        <v>46272</v>
      </c>
      <c r="F488" t="inlineStr">
        <is>
          <t>GÄVLEBORGS LÄN</t>
        </is>
      </c>
      <c r="G488" t="inlineStr">
        <is>
          <t>HUDIKSVALL</t>
        </is>
      </c>
      <c r="H488" t="inlineStr">
        <is>
          <t>Holmen skog AB</t>
        </is>
      </c>
      <c r="I488" t="n">
        <v>5.7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t="n">
        <v>0</v>
      </c>
      <c r="V488" s="2" t="inlineStr"/>
    </row>
    <row r="489" ht="15" customHeight="1">
      <c r="A489" t="inlineStr">
        <is>
          <t>A 46076-2025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45924</v>
      </c>
      <c r="E489" s="1" t="n">
        <v>46272</v>
      </c>
      <c r="F489" t="inlineStr">
        <is>
          <t>GÄVLEBORGS LÄN</t>
        </is>
      </c>
      <c r="G489" t="inlineStr">
        <is>
          <t>HUDIKSVALL</t>
        </is>
      </c>
      <c r="I489" t="n">
        <v>2.4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t="n">
        <v>0</v>
      </c>
      <c r="V489" s="2" t="inlineStr"/>
    </row>
    <row r="490" ht="15" customHeight="1">
      <c r="A490" t="inlineStr">
        <is>
          <t>A 33965-2025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45842</v>
      </c>
      <c r="E490" s="1" t="n">
        <v>46272</v>
      </c>
      <c r="F490" t="inlineStr">
        <is>
          <t>GÄVLEBORGS LÄN</t>
        </is>
      </c>
      <c r="G490" t="inlineStr">
        <is>
          <t>HUDIKSVALL</t>
        </is>
      </c>
      <c r="H490" t="inlineStr">
        <is>
          <t>Holmen skog AB</t>
        </is>
      </c>
      <c r="I490" t="n">
        <v>32.2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t="n">
        <v>0</v>
      </c>
      <c r="V490" s="2" t="inlineStr"/>
    </row>
    <row r="491" ht="15" customHeight="1">
      <c r="A491" t="inlineStr">
        <is>
          <t>A 73458-2021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44551</v>
      </c>
      <c r="E491" s="1" t="n">
        <v>46272</v>
      </c>
      <c r="F491" t="inlineStr">
        <is>
          <t>GÄVLEBORGS LÄN</t>
        </is>
      </c>
      <c r="G491" t="inlineStr">
        <is>
          <t>HUDIKSVALL</t>
        </is>
      </c>
      <c r="H491" t="inlineStr">
        <is>
          <t>Holmen skog AB</t>
        </is>
      </c>
      <c r="I491" t="n">
        <v>1.2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t="n">
        <v>0</v>
      </c>
      <c r="V491" s="2" t="inlineStr"/>
    </row>
    <row r="492" ht="15" customHeight="1">
      <c r="A492" t="inlineStr">
        <is>
          <t>A 45962-2025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45924</v>
      </c>
      <c r="E492" s="1" t="n">
        <v>46272</v>
      </c>
      <c r="F492" t="inlineStr">
        <is>
          <t>GÄVLEBORGS LÄN</t>
        </is>
      </c>
      <c r="G492" t="inlineStr">
        <is>
          <t>HUDIKSVALL</t>
        </is>
      </c>
      <c r="I492" t="n">
        <v>5.1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t="n">
        <v>0</v>
      </c>
      <c r="V492" s="2" t="inlineStr"/>
    </row>
    <row r="493" ht="15" customHeight="1">
      <c r="A493" t="inlineStr">
        <is>
          <t>A 46260-2025</t>
        </is>
      </c>
      <c r="B493" t="inlineStr">
        <is>
          <t>avverkningsanmälan</t>
        </is>
      </c>
      <c r="C493" t="inlineStr">
        <is>
          <t>Föryngringsavverkning</t>
        </is>
      </c>
      <c r="D493" s="1" t="n">
        <v>45925</v>
      </c>
      <c r="E493" s="1" t="n">
        <v>46272</v>
      </c>
      <c r="F493" t="inlineStr">
        <is>
          <t>GÄVLEBORGS LÄN</t>
        </is>
      </c>
      <c r="G493" t="inlineStr">
        <is>
          <t>HUDIKSVALL</t>
        </is>
      </c>
      <c r="I493" t="n">
        <v>1.3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t="n">
        <v>0</v>
      </c>
      <c r="V493" s="2" t="inlineStr"/>
    </row>
    <row r="494" ht="15" customHeight="1">
      <c r="A494" t="inlineStr">
        <is>
          <t>A 46886-2025</t>
        </is>
      </c>
      <c r="B494" t="inlineStr">
        <is>
          <t>avverkningsanmälan</t>
        </is>
      </c>
      <c r="C494" t="inlineStr">
        <is>
          <t>Föryngringsavverkning</t>
        </is>
      </c>
      <c r="D494" s="1" t="n">
        <v>45929</v>
      </c>
      <c r="E494" s="1" t="n">
        <v>46272</v>
      </c>
      <c r="F494" t="inlineStr">
        <is>
          <t>GÄVLEBORGS LÄN</t>
        </is>
      </c>
      <c r="G494" t="inlineStr">
        <is>
          <t>HUDIKSVALL</t>
        </is>
      </c>
      <c r="I494" t="n">
        <v>3.4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t="n">
        <v>0</v>
      </c>
      <c r="V494" s="2" t="inlineStr"/>
    </row>
    <row r="495" ht="15" customHeight="1">
      <c r="A495" t="inlineStr">
        <is>
          <t>A 46902-2025</t>
        </is>
      </c>
      <c r="B495" t="inlineStr">
        <is>
          <t>avverkningsanmälan</t>
        </is>
      </c>
      <c r="C495" t="inlineStr">
        <is>
          <t>Föryngringsavverkning</t>
        </is>
      </c>
      <c r="D495" s="1" t="n">
        <v>45929</v>
      </c>
      <c r="E495" s="1" t="n">
        <v>46272</v>
      </c>
      <c r="F495" t="inlineStr">
        <is>
          <t>GÄVLEBORGS LÄN</t>
        </is>
      </c>
      <c r="G495" t="inlineStr">
        <is>
          <t>HUDIKSVALL</t>
        </is>
      </c>
      <c r="I495" t="n">
        <v>1.3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t="n">
        <v>0</v>
      </c>
      <c r="V495" s="2" t="inlineStr"/>
    </row>
    <row r="496" ht="15" customHeight="1">
      <c r="A496" t="inlineStr">
        <is>
          <t>A 46676-2025</t>
        </is>
      </c>
      <c r="B496" t="inlineStr">
        <is>
          <t>avverkningsanmälan</t>
        </is>
      </c>
      <c r="C496" t="inlineStr">
        <is>
          <t>Föryngringsavverkning</t>
        </is>
      </c>
      <c r="D496" s="1" t="n">
        <v>45926</v>
      </c>
      <c r="E496" s="1" t="n">
        <v>46272</v>
      </c>
      <c r="F496" t="inlineStr">
        <is>
          <t>GÄVLEBORGS LÄN</t>
        </is>
      </c>
      <c r="G496" t="inlineStr">
        <is>
          <t>HUDIKSVALL</t>
        </is>
      </c>
      <c r="I496" t="n">
        <v>3.3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t="n">
        <v>0</v>
      </c>
      <c r="V496" s="2" t="inlineStr"/>
    </row>
    <row r="497" ht="15" customHeight="1">
      <c r="A497" t="inlineStr">
        <is>
          <t>A 46639-2025</t>
        </is>
      </c>
      <c r="B497" t="inlineStr">
        <is>
          <t>avverkningsanmälan</t>
        </is>
      </c>
      <c r="C497" t="inlineStr">
        <is>
          <t>Föryngringsavverkning</t>
        </is>
      </c>
      <c r="D497" s="1" t="n">
        <v>45926</v>
      </c>
      <c r="E497" s="1" t="n">
        <v>46272</v>
      </c>
      <c r="F497" t="inlineStr">
        <is>
          <t>GÄVLEBORGS LÄN</t>
        </is>
      </c>
      <c r="G497" t="inlineStr">
        <is>
          <t>HUDIKSVALL</t>
        </is>
      </c>
      <c r="I497" t="n">
        <v>4.1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t="n">
        <v>0</v>
      </c>
      <c r="V497" s="2" t="inlineStr"/>
    </row>
    <row r="498" ht="15" customHeight="1">
      <c r="A498" t="inlineStr">
        <is>
          <t>A 2652-2024</t>
        </is>
      </c>
      <c r="B498" t="inlineStr">
        <is>
          <t>avverkningsanmälan</t>
        </is>
      </c>
      <c r="C498" t="inlineStr">
        <is>
          <t>Föryngringsavverkning</t>
        </is>
      </c>
      <c r="D498" s="1" t="n">
        <v>45314</v>
      </c>
      <c r="E498" s="1" t="n">
        <v>46272</v>
      </c>
      <c r="F498" t="inlineStr">
        <is>
          <t>GÄVLEBORGS LÄN</t>
        </is>
      </c>
      <c r="G498" t="inlineStr">
        <is>
          <t>HUDIKSVALL</t>
        </is>
      </c>
      <c r="I498" t="n">
        <v>3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t="n">
        <v>0</v>
      </c>
      <c r="V498" s="2" t="inlineStr"/>
    </row>
    <row r="499" ht="15" customHeight="1">
      <c r="A499" t="inlineStr">
        <is>
          <t>A 2685-2024</t>
        </is>
      </c>
      <c r="B499" t="inlineStr">
        <is>
          <t>avverkningsanmälan</t>
        </is>
      </c>
      <c r="C499" t="inlineStr">
        <is>
          <t>Föryngringsavverkning</t>
        </is>
      </c>
      <c r="D499" s="1" t="n">
        <v>45314</v>
      </c>
      <c r="E499" s="1" t="n">
        <v>46272</v>
      </c>
      <c r="F499" t="inlineStr">
        <is>
          <t>GÄVLEBORGS LÄN</t>
        </is>
      </c>
      <c r="G499" t="inlineStr">
        <is>
          <t>HUDIKSVALL</t>
        </is>
      </c>
      <c r="I499" t="n">
        <v>0.5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t="n">
        <v>0</v>
      </c>
      <c r="V499" s="2" t="inlineStr"/>
    </row>
    <row r="500" ht="15" customHeight="1">
      <c r="A500" t="inlineStr">
        <is>
          <t>A 41191-2024</t>
        </is>
      </c>
      <c r="B500" t="inlineStr">
        <is>
          <t>avverkningsanmälan</t>
        </is>
      </c>
      <c r="C500" t="inlineStr">
        <is>
          <t>Föryngringsavverkning</t>
        </is>
      </c>
      <c r="D500" s="1" t="n">
        <v>45559</v>
      </c>
      <c r="E500" s="1" t="n">
        <v>46272</v>
      </c>
      <c r="F500" t="inlineStr">
        <is>
          <t>GÄVLEBORGS LÄN</t>
        </is>
      </c>
      <c r="G500" t="inlineStr">
        <is>
          <t>HUDIKSVALL</t>
        </is>
      </c>
      <c r="H500" t="inlineStr">
        <is>
          <t>Holmen skog AB</t>
        </is>
      </c>
      <c r="I500" t="n">
        <v>15.7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t="n">
        <v>0</v>
      </c>
      <c r="V500" s="2" t="inlineStr"/>
    </row>
    <row r="501" ht="15" customHeight="1">
      <c r="A501" t="inlineStr">
        <is>
          <t>A 46922-2025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45929</v>
      </c>
      <c r="E501" s="1" t="n">
        <v>46272</v>
      </c>
      <c r="F501" t="inlineStr">
        <is>
          <t>GÄVLEBORGS LÄN</t>
        </is>
      </c>
      <c r="G501" t="inlineStr">
        <is>
          <t>HUDIKSVALL</t>
        </is>
      </c>
      <c r="H501" t="inlineStr">
        <is>
          <t>Holmen skog AB</t>
        </is>
      </c>
      <c r="I501" t="n">
        <v>1.5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t="n">
        <v>0</v>
      </c>
      <c r="V501" s="2" t="inlineStr"/>
    </row>
    <row r="502" ht="15" customHeight="1">
      <c r="A502" t="inlineStr">
        <is>
          <t>A 59064-2022</t>
        </is>
      </c>
      <c r="B502" t="inlineStr">
        <is>
          <t>avverkningsanmälan</t>
        </is>
      </c>
      <c r="C502" t="inlineStr">
        <is>
          <t>Föryngringsavverkning</t>
        </is>
      </c>
      <c r="D502" s="1" t="n">
        <v>44904</v>
      </c>
      <c r="E502" s="1" t="n">
        <v>46272</v>
      </c>
      <c r="F502" t="inlineStr">
        <is>
          <t>GÄVLEBORGS LÄN</t>
        </is>
      </c>
      <c r="G502" t="inlineStr">
        <is>
          <t>HUDIKSVALL</t>
        </is>
      </c>
      <c r="H502" t="inlineStr">
        <is>
          <t>Kyrkan</t>
        </is>
      </c>
      <c r="I502" t="n">
        <v>2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t="n">
        <v>0</v>
      </c>
      <c r="V502" s="2" t="inlineStr"/>
    </row>
    <row r="503" ht="15" customHeight="1">
      <c r="A503" t="inlineStr">
        <is>
          <t>A 46579-2025</t>
        </is>
      </c>
      <c r="B503" t="inlineStr">
        <is>
          <t>avverkningsanmälan</t>
        </is>
      </c>
      <c r="C503" t="inlineStr">
        <is>
          <t>Föryngringsavverkning</t>
        </is>
      </c>
      <c r="D503" s="1" t="n">
        <v>45926</v>
      </c>
      <c r="E503" s="1" t="n">
        <v>46272</v>
      </c>
      <c r="F503" t="inlineStr">
        <is>
          <t>GÄVLEBORGS LÄN</t>
        </is>
      </c>
      <c r="G503" t="inlineStr">
        <is>
          <t>HUDIKSVALL</t>
        </is>
      </c>
      <c r="H503" t="inlineStr">
        <is>
          <t>Holmen skog AB</t>
        </is>
      </c>
      <c r="I503" t="n">
        <v>5.1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t="n">
        <v>0</v>
      </c>
      <c r="V503" s="2" t="inlineStr"/>
    </row>
    <row r="504" ht="15" customHeight="1">
      <c r="A504" t="inlineStr">
        <is>
          <t>A 46992-2025</t>
        </is>
      </c>
      <c r="B504" t="inlineStr">
        <is>
          <t>avverkningsanmälan</t>
        </is>
      </c>
      <c r="C504" t="inlineStr">
        <is>
          <t>Föryngringsavverkning</t>
        </is>
      </c>
      <c r="D504" s="1" t="n">
        <v>45929</v>
      </c>
      <c r="E504" s="1" t="n">
        <v>46272</v>
      </c>
      <c r="F504" t="inlineStr">
        <is>
          <t>GÄVLEBORGS LÄN</t>
        </is>
      </c>
      <c r="G504" t="inlineStr">
        <is>
          <t>HUDIKSVALL</t>
        </is>
      </c>
      <c r="I504" t="n">
        <v>2.3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t="n">
        <v>0</v>
      </c>
      <c r="V504" s="2" t="inlineStr"/>
    </row>
    <row r="505" ht="15" customHeight="1">
      <c r="A505" t="inlineStr">
        <is>
          <t>A 46622-2025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45926</v>
      </c>
      <c r="E505" s="1" t="n">
        <v>46272</v>
      </c>
      <c r="F505" t="inlineStr">
        <is>
          <t>GÄVLEBORGS LÄN</t>
        </is>
      </c>
      <c r="G505" t="inlineStr">
        <is>
          <t>HUDIKSVALL</t>
        </is>
      </c>
      <c r="I505" t="n">
        <v>2.3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t="n">
        <v>0</v>
      </c>
      <c r="V505" s="2" t="inlineStr"/>
    </row>
    <row r="506" ht="15" customHeight="1">
      <c r="A506" t="inlineStr">
        <is>
          <t>A 34625-2025</t>
        </is>
      </c>
      <c r="B506" t="inlineStr">
        <is>
          <t>avverkningsanmälan</t>
        </is>
      </c>
      <c r="C506" t="inlineStr">
        <is>
          <t>Föryngringsavverkning</t>
        </is>
      </c>
      <c r="D506" s="1" t="n">
        <v>45847</v>
      </c>
      <c r="E506" s="1" t="n">
        <v>46272</v>
      </c>
      <c r="F506" t="inlineStr">
        <is>
          <t>GÄVLEBORGS LÄN</t>
        </is>
      </c>
      <c r="G506" t="inlineStr">
        <is>
          <t>HUDIKSVALL</t>
        </is>
      </c>
      <c r="H506" t="inlineStr">
        <is>
          <t>Holmen skog AB</t>
        </is>
      </c>
      <c r="I506" t="n">
        <v>15.7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t="n">
        <v>0</v>
      </c>
      <c r="V506" s="2" t="inlineStr"/>
    </row>
    <row r="507" ht="15" customHeight="1">
      <c r="A507" t="inlineStr">
        <is>
          <t>A 46705-2025</t>
        </is>
      </c>
      <c r="B507" t="inlineStr">
        <is>
          <t>avverkningsanmälan</t>
        </is>
      </c>
      <c r="C507" t="inlineStr">
        <is>
          <t>Föryngringsavverkning</t>
        </is>
      </c>
      <c r="D507" s="1" t="n">
        <v>45926</v>
      </c>
      <c r="E507" s="1" t="n">
        <v>46272</v>
      </c>
      <c r="F507" t="inlineStr">
        <is>
          <t>GÄVLEBORGS LÄN</t>
        </is>
      </c>
      <c r="G507" t="inlineStr">
        <is>
          <t>HUDIKSVALL</t>
        </is>
      </c>
      <c r="I507" t="n">
        <v>6.4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t="n">
        <v>0</v>
      </c>
      <c r="V507" s="2" t="inlineStr"/>
    </row>
    <row r="508" ht="15" customHeight="1">
      <c r="A508" t="inlineStr">
        <is>
          <t>A 34836-2025</t>
        </is>
      </c>
      <c r="B508" t="inlineStr">
        <is>
          <t>avverkningsanmälan</t>
        </is>
      </c>
      <c r="C508" t="inlineStr">
        <is>
          <t>Föryngringsavverkning</t>
        </is>
      </c>
      <c r="D508" s="1" t="n">
        <v>45849</v>
      </c>
      <c r="E508" s="1" t="n">
        <v>46272</v>
      </c>
      <c r="F508" t="inlineStr">
        <is>
          <t>GÄVLEBORGS LÄN</t>
        </is>
      </c>
      <c r="G508" t="inlineStr">
        <is>
          <t>HUDIKSVALL</t>
        </is>
      </c>
      <c r="I508" t="n">
        <v>2.4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t="n">
        <v>0</v>
      </c>
      <c r="V508" s="2" t="inlineStr"/>
    </row>
    <row r="509" ht="15" customHeight="1">
      <c r="A509" t="inlineStr">
        <is>
          <t>A 34837-2025</t>
        </is>
      </c>
      <c r="B509" t="inlineStr">
        <is>
          <t>avverkningsanmälan</t>
        </is>
      </c>
      <c r="C509" t="inlineStr">
        <is>
          <t>Föryngringsavverkning</t>
        </is>
      </c>
      <c r="D509" s="1" t="n">
        <v>45849</v>
      </c>
      <c r="E509" s="1" t="n">
        <v>46272</v>
      </c>
      <c r="F509" t="inlineStr">
        <is>
          <t>GÄVLEBORGS LÄN</t>
        </is>
      </c>
      <c r="G509" t="inlineStr">
        <is>
          <t>HUDIKSVALL</t>
        </is>
      </c>
      <c r="I509" t="n">
        <v>0.8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t="n">
        <v>0</v>
      </c>
      <c r="V509" s="2" t="inlineStr"/>
    </row>
    <row r="510" ht="15" customHeight="1">
      <c r="A510" t="inlineStr">
        <is>
          <t>A 25596-2024</t>
        </is>
      </c>
      <c r="B510" t="inlineStr">
        <is>
          <t>avverkningsanmälan</t>
        </is>
      </c>
      <c r="C510" t="inlineStr">
        <is>
          <t>Föryngringsavverkning</t>
        </is>
      </c>
      <c r="D510" s="1" t="n">
        <v>45463</v>
      </c>
      <c r="E510" s="1" t="n">
        <v>46272</v>
      </c>
      <c r="F510" t="inlineStr">
        <is>
          <t>GÄVLEBORGS LÄN</t>
        </is>
      </c>
      <c r="G510" t="inlineStr">
        <is>
          <t>HUDIKSVALL</t>
        </is>
      </c>
      <c r="I510" t="n">
        <v>2.5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t="n">
        <v>0</v>
      </c>
      <c r="V510" s="2" t="inlineStr"/>
    </row>
    <row r="511" ht="15" customHeight="1">
      <c r="A511" t="inlineStr">
        <is>
          <t>A 47183-2025</t>
        </is>
      </c>
      <c r="B511" t="inlineStr">
        <is>
          <t>avverkningsanmälan</t>
        </is>
      </c>
      <c r="C511" t="inlineStr">
        <is>
          <t>Föryngringsavverkning</t>
        </is>
      </c>
      <c r="D511" s="1" t="n">
        <v>45930</v>
      </c>
      <c r="E511" s="1" t="n">
        <v>46272</v>
      </c>
      <c r="F511" t="inlineStr">
        <is>
          <t>GÄVLEBORGS LÄN</t>
        </is>
      </c>
      <c r="G511" t="inlineStr">
        <is>
          <t>HUDIKSVALL</t>
        </is>
      </c>
      <c r="I511" t="n">
        <v>16.4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t="n">
        <v>0</v>
      </c>
      <c r="V511" s="2" t="inlineStr"/>
    </row>
    <row r="512" ht="15" customHeight="1">
      <c r="A512" t="inlineStr">
        <is>
          <t>A 47185-2025</t>
        </is>
      </c>
      <c r="B512" t="inlineStr">
        <is>
          <t>avverkningsanmälan</t>
        </is>
      </c>
      <c r="C512" t="inlineStr">
        <is>
          <t>Föryngringsavverkning</t>
        </is>
      </c>
      <c r="D512" s="1" t="n">
        <v>45930</v>
      </c>
      <c r="E512" s="1" t="n">
        <v>46272</v>
      </c>
      <c r="F512" t="inlineStr">
        <is>
          <t>GÄVLEBORGS LÄN</t>
        </is>
      </c>
      <c r="G512" t="inlineStr">
        <is>
          <t>HUDIKSVALL</t>
        </is>
      </c>
      <c r="I512" t="n">
        <v>2.3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t="n">
        <v>0</v>
      </c>
      <c r="V512" s="2" t="inlineStr"/>
    </row>
    <row r="513" ht="15" customHeight="1">
      <c r="A513" t="inlineStr">
        <is>
          <t>A 1514-2026</t>
        </is>
      </c>
      <c r="B513" t="inlineStr">
        <is>
          <t>avverkningsanmälan</t>
        </is>
      </c>
      <c r="C513" t="inlineStr">
        <is>
          <t>Föryngringsavverkning</t>
        </is>
      </c>
      <c r="D513" s="1" t="n">
        <v>46034</v>
      </c>
      <c r="E513" s="1" t="n">
        <v>46272</v>
      </c>
      <c r="F513" t="inlineStr">
        <is>
          <t>GÄVLEBORGS LÄN</t>
        </is>
      </c>
      <c r="G513" t="inlineStr">
        <is>
          <t>HUDIKSVALL</t>
        </is>
      </c>
      <c r="I513" t="n">
        <v>1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t="n">
        <v>0</v>
      </c>
      <c r="V513" s="2" t="inlineStr"/>
    </row>
    <row r="514" ht="15" customHeight="1">
      <c r="A514" t="inlineStr">
        <is>
          <t>A 35100-2025</t>
        </is>
      </c>
      <c r="B514" t="inlineStr">
        <is>
          <t>avverkningsanmälan</t>
        </is>
      </c>
      <c r="C514" t="inlineStr">
        <is>
          <t>Föryngringsavverkning</t>
        </is>
      </c>
      <c r="D514" s="1" t="n">
        <v>45852</v>
      </c>
      <c r="E514" s="1" t="n">
        <v>46272</v>
      </c>
      <c r="F514" t="inlineStr">
        <is>
          <t>GÄVLEBORGS LÄN</t>
        </is>
      </c>
      <c r="G514" t="inlineStr">
        <is>
          <t>HUDIKSVALL</t>
        </is>
      </c>
      <c r="H514" t="inlineStr">
        <is>
          <t>Holmen skog AB</t>
        </is>
      </c>
      <c r="I514" t="n">
        <v>2.8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t="n">
        <v>0</v>
      </c>
      <c r="V514" s="2" t="inlineStr"/>
    </row>
    <row r="515" ht="15" customHeight="1">
      <c r="A515" t="inlineStr">
        <is>
          <t>A 1655-2026</t>
        </is>
      </c>
      <c r="B515" t="inlineStr">
        <is>
          <t>avverkningsanmälan</t>
        </is>
      </c>
      <c r="C515" t="inlineStr">
        <is>
          <t>Föryngringsavverkning</t>
        </is>
      </c>
      <c r="D515" s="1" t="n">
        <v>46034</v>
      </c>
      <c r="E515" s="1" t="n">
        <v>46272</v>
      </c>
      <c r="F515" t="inlineStr">
        <is>
          <t>GÄVLEBORGS LÄN</t>
        </is>
      </c>
      <c r="G515" t="inlineStr">
        <is>
          <t>HUDIKSVALL</t>
        </is>
      </c>
      <c r="I515" t="n">
        <v>4.6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t="n">
        <v>0</v>
      </c>
      <c r="V515" s="2" t="inlineStr"/>
    </row>
    <row r="516" ht="15" customHeight="1">
      <c r="A516" t="inlineStr">
        <is>
          <t>A 1692-2026</t>
        </is>
      </c>
      <c r="B516" t="inlineStr">
        <is>
          <t>avverkningsanmälan</t>
        </is>
      </c>
      <c r="C516" t="inlineStr">
        <is>
          <t>Föryngringsavverkning</t>
        </is>
      </c>
      <c r="D516" s="1" t="n">
        <v>46034</v>
      </c>
      <c r="E516" s="1" t="n">
        <v>46272</v>
      </c>
      <c r="F516" t="inlineStr">
        <is>
          <t>GÄVLEBORGS LÄN</t>
        </is>
      </c>
      <c r="G516" t="inlineStr">
        <is>
          <t>HUDIKSVALL</t>
        </is>
      </c>
      <c r="I516" t="n">
        <v>1.2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t="n">
        <v>0</v>
      </c>
      <c r="V516" s="2" t="inlineStr"/>
    </row>
    <row r="517" ht="15" customHeight="1">
      <c r="A517" t="inlineStr">
        <is>
          <t>A 35128-2025</t>
        </is>
      </c>
      <c r="B517" t="inlineStr">
        <is>
          <t>avverkningsanmälan</t>
        </is>
      </c>
      <c r="C517" t="inlineStr">
        <is>
          <t>Föryngringsavverkning</t>
        </is>
      </c>
      <c r="D517" s="1" t="n">
        <v>45852</v>
      </c>
      <c r="E517" s="1" t="n">
        <v>46272</v>
      </c>
      <c r="F517" t="inlineStr">
        <is>
          <t>GÄVLEBORGS LÄN</t>
        </is>
      </c>
      <c r="G517" t="inlineStr">
        <is>
          <t>HUDIKSVALL</t>
        </is>
      </c>
      <c r="H517" t="inlineStr">
        <is>
          <t>Holmen skog AB</t>
        </is>
      </c>
      <c r="I517" t="n">
        <v>4.8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t="n">
        <v>0</v>
      </c>
      <c r="V517" s="2" t="inlineStr"/>
    </row>
    <row r="518" ht="15" customHeight="1">
      <c r="A518" t="inlineStr">
        <is>
          <t>A 47181-2025</t>
        </is>
      </c>
      <c r="B518" t="inlineStr">
        <is>
          <t>avverkningsanmälan</t>
        </is>
      </c>
      <c r="C518" t="inlineStr">
        <is>
          <t>Föryngringsavverkning</t>
        </is>
      </c>
      <c r="D518" s="1" t="n">
        <v>45930</v>
      </c>
      <c r="E518" s="1" t="n">
        <v>46272</v>
      </c>
      <c r="F518" t="inlineStr">
        <is>
          <t>GÄVLEBORGS LÄN</t>
        </is>
      </c>
      <c r="G518" t="inlineStr">
        <is>
          <t>HUDIKSVALL</t>
        </is>
      </c>
      <c r="I518" t="n">
        <v>3.8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t="n">
        <v>0</v>
      </c>
      <c r="V518" s="2" t="inlineStr"/>
    </row>
    <row r="519" ht="15" customHeight="1">
      <c r="A519" t="inlineStr">
        <is>
          <t>A 47260-2025</t>
        </is>
      </c>
      <c r="B519" t="inlineStr">
        <is>
          <t>avverkningsanmälan</t>
        </is>
      </c>
      <c r="C519" t="inlineStr">
        <is>
          <t>Föryngringsavverkning</t>
        </is>
      </c>
      <c r="D519" s="1" t="n">
        <v>45930</v>
      </c>
      <c r="E519" s="1" t="n">
        <v>46272</v>
      </c>
      <c r="F519" t="inlineStr">
        <is>
          <t>GÄVLEBORGS LÄN</t>
        </is>
      </c>
      <c r="G519" t="inlineStr">
        <is>
          <t>HUDIKSVALL</t>
        </is>
      </c>
      <c r="H519" t="inlineStr">
        <is>
          <t>Holmen skog AB</t>
        </is>
      </c>
      <c r="I519" t="n">
        <v>18.3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t="n">
        <v>0</v>
      </c>
      <c r="V519" s="2" t="inlineStr"/>
    </row>
    <row r="520" ht="15" customHeight="1">
      <c r="A520" t="inlineStr">
        <is>
          <t>A 6730-2024</t>
        </is>
      </c>
      <c r="B520" t="inlineStr">
        <is>
          <t>avverkningsanmälan</t>
        </is>
      </c>
      <c r="C520" t="inlineStr">
        <is>
          <t>Föryngringsavverkning</t>
        </is>
      </c>
      <c r="D520" s="1" t="n">
        <v>45342</v>
      </c>
      <c r="E520" s="1" t="n">
        <v>46272</v>
      </c>
      <c r="F520" t="inlineStr">
        <is>
          <t>GÄVLEBORGS LÄN</t>
        </is>
      </c>
      <c r="G520" t="inlineStr">
        <is>
          <t>HUDIKSVALL</t>
        </is>
      </c>
      <c r="I520" t="n">
        <v>6.4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t="n">
        <v>0</v>
      </c>
      <c r="V520" s="2" t="inlineStr"/>
    </row>
    <row r="521" ht="15" customHeight="1">
      <c r="A521" t="inlineStr">
        <is>
          <t>A 47745-2025</t>
        </is>
      </c>
      <c r="B521" t="inlineStr">
        <is>
          <t>avverkningsanmälan</t>
        </is>
      </c>
      <c r="C521" t="inlineStr">
        <is>
          <t>Föryngringsavverkning</t>
        </is>
      </c>
      <c r="D521" s="1" t="n">
        <v>45931</v>
      </c>
      <c r="E521" s="1" t="n">
        <v>46272</v>
      </c>
      <c r="F521" t="inlineStr">
        <is>
          <t>GÄVLEBORGS LÄN</t>
        </is>
      </c>
      <c r="G521" t="inlineStr">
        <is>
          <t>HUDIKSVALL</t>
        </is>
      </c>
      <c r="I521" t="n">
        <v>20.1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t="n">
        <v>0</v>
      </c>
      <c r="V521" s="2" t="inlineStr"/>
    </row>
    <row r="522" ht="15" customHeight="1">
      <c r="A522" t="inlineStr">
        <is>
          <t>A 1759-2026</t>
        </is>
      </c>
      <c r="B522" t="inlineStr">
        <is>
          <t>avverkningsanmälan</t>
        </is>
      </c>
      <c r="C522" t="inlineStr">
        <is>
          <t>Föryngringsavverkning</t>
        </is>
      </c>
      <c r="D522" s="1" t="n">
        <v>46034</v>
      </c>
      <c r="E522" s="1" t="n">
        <v>46272</v>
      </c>
      <c r="F522" t="inlineStr">
        <is>
          <t>GÄVLEBORGS LÄN</t>
        </is>
      </c>
      <c r="G522" t="inlineStr">
        <is>
          <t>HUDIKSVALL</t>
        </is>
      </c>
      <c r="I522" t="n">
        <v>38.9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t="n">
        <v>0</v>
      </c>
      <c r="V522" s="2" t="inlineStr"/>
    </row>
    <row r="523" ht="15" customHeight="1">
      <c r="A523" t="inlineStr">
        <is>
          <t>A 62674-2023</t>
        </is>
      </c>
      <c r="B523" t="inlineStr">
        <is>
          <t>avverkningsanmälan</t>
        </is>
      </c>
      <c r="C523" t="inlineStr">
        <is>
          <t>Föryngringsavverkning</t>
        </is>
      </c>
      <c r="D523" s="1" t="n">
        <v>45271</v>
      </c>
      <c r="E523" s="1" t="n">
        <v>46272</v>
      </c>
      <c r="F523" t="inlineStr">
        <is>
          <t>GÄVLEBORGS LÄN</t>
        </is>
      </c>
      <c r="G523" t="inlineStr">
        <is>
          <t>HUDIKSVALL</t>
        </is>
      </c>
      <c r="I523" t="n">
        <v>3.5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t="n">
        <v>0</v>
      </c>
      <c r="V523" s="2" t="inlineStr"/>
    </row>
    <row r="524" ht="15" customHeight="1">
      <c r="A524" t="inlineStr">
        <is>
          <t>A 60192-2023</t>
        </is>
      </c>
      <c r="B524" t="inlineStr">
        <is>
          <t>avverkningsanmälan</t>
        </is>
      </c>
      <c r="C524" t="inlineStr">
        <is>
          <t>Föryngringsavverkning</t>
        </is>
      </c>
      <c r="D524" s="1" t="n">
        <v>45258</v>
      </c>
      <c r="E524" s="1" t="n">
        <v>46272</v>
      </c>
      <c r="F524" t="inlineStr">
        <is>
          <t>GÄVLEBORGS LÄN</t>
        </is>
      </c>
      <c r="G524" t="inlineStr">
        <is>
          <t>HUDIKSVALL</t>
        </is>
      </c>
      <c r="I524" t="n">
        <v>1.6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t="n">
        <v>0</v>
      </c>
      <c r="V524" s="2" t="inlineStr"/>
    </row>
    <row r="525" ht="15" customHeight="1">
      <c r="A525" t="inlineStr">
        <is>
          <t>A 19682-2024</t>
        </is>
      </c>
      <c r="B525" t="inlineStr">
        <is>
          <t>avverkningsanmälan</t>
        </is>
      </c>
      <c r="C525" t="inlineStr">
        <is>
          <t>Föryngringsavverkning</t>
        </is>
      </c>
      <c r="D525" s="1" t="n">
        <v>45432</v>
      </c>
      <c r="E525" s="1" t="n">
        <v>46272</v>
      </c>
      <c r="F525" t="inlineStr">
        <is>
          <t>GÄVLEBORGS LÄN</t>
        </is>
      </c>
      <c r="G525" t="inlineStr">
        <is>
          <t>HUDIKSVALL</t>
        </is>
      </c>
      <c r="I525" t="n">
        <v>3.3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t="n">
        <v>0</v>
      </c>
      <c r="V525" s="2" t="inlineStr"/>
    </row>
    <row r="526" ht="15" customHeight="1">
      <c r="A526" t="inlineStr">
        <is>
          <t>A 48154-2025</t>
        </is>
      </c>
      <c r="B526" t="inlineStr">
        <is>
          <t>avverkningsanmälan</t>
        </is>
      </c>
      <c r="C526" t="inlineStr">
        <is>
          <t>Föryngringsavverkning</t>
        </is>
      </c>
      <c r="D526" s="1" t="n">
        <v>45933</v>
      </c>
      <c r="E526" s="1" t="n">
        <v>46272</v>
      </c>
      <c r="F526" t="inlineStr">
        <is>
          <t>GÄVLEBORGS LÄN</t>
        </is>
      </c>
      <c r="G526" t="inlineStr">
        <is>
          <t>HUDIKSVALL</t>
        </is>
      </c>
      <c r="H526" t="inlineStr">
        <is>
          <t>Holmen skog AB</t>
        </is>
      </c>
      <c r="I526" t="n">
        <v>5.3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t="n">
        <v>0</v>
      </c>
      <c r="V526" s="2" t="inlineStr"/>
    </row>
    <row r="527" ht="15" customHeight="1">
      <c r="A527" t="inlineStr">
        <is>
          <t>A 182-2024</t>
        </is>
      </c>
      <c r="B527" t="inlineStr">
        <is>
          <t>avverkningsanmälan</t>
        </is>
      </c>
      <c r="C527" t="inlineStr">
        <is>
          <t>Föryngringsavverkning</t>
        </is>
      </c>
      <c r="D527" s="1" t="n">
        <v>45294</v>
      </c>
      <c r="E527" s="1" t="n">
        <v>46272</v>
      </c>
      <c r="F527" t="inlineStr">
        <is>
          <t>GÄVLEBORGS LÄN</t>
        </is>
      </c>
      <c r="G527" t="inlineStr">
        <is>
          <t>HUDIKSVALL</t>
        </is>
      </c>
      <c r="H527" t="inlineStr">
        <is>
          <t>Holmen skog AB</t>
        </is>
      </c>
      <c r="I527" t="n">
        <v>1.2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t="n">
        <v>0</v>
      </c>
      <c r="V527" s="2" t="inlineStr"/>
    </row>
    <row r="528" ht="15" customHeight="1">
      <c r="A528" t="inlineStr">
        <is>
          <t>A 18926-2025</t>
        </is>
      </c>
      <c r="B528" t="inlineStr">
        <is>
          <t>avverkningsanmälan</t>
        </is>
      </c>
      <c r="C528" t="inlineStr">
        <is>
          <t>Föryngringsavverkning</t>
        </is>
      </c>
      <c r="D528" s="1" t="n">
        <v>45764</v>
      </c>
      <c r="E528" s="1" t="n">
        <v>46272</v>
      </c>
      <c r="F528" t="inlineStr">
        <is>
          <t>GÄVLEBORGS LÄN</t>
        </is>
      </c>
      <c r="G528" t="inlineStr">
        <is>
          <t>HUDIKSVALL</t>
        </is>
      </c>
      <c r="I528" t="n">
        <v>0.7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t="n">
        <v>0</v>
      </c>
      <c r="V528" s="2" t="inlineStr"/>
    </row>
    <row r="529" ht="15" customHeight="1">
      <c r="A529" t="inlineStr">
        <is>
          <t>A 32007-2024</t>
        </is>
      </c>
      <c r="B529" t="inlineStr">
        <is>
          <t>avverkningsanmälan</t>
        </is>
      </c>
      <c r="C529" t="inlineStr">
        <is>
          <t>Föryngringsavverkning</t>
        </is>
      </c>
      <c r="D529" s="1" t="n">
        <v>45510</v>
      </c>
      <c r="E529" s="1" t="n">
        <v>46272</v>
      </c>
      <c r="F529" t="inlineStr">
        <is>
          <t>GÄVLEBORGS LÄN</t>
        </is>
      </c>
      <c r="G529" t="inlineStr">
        <is>
          <t>HUDIKSVALL</t>
        </is>
      </c>
      <c r="I529" t="n">
        <v>1.3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t="n">
        <v>0</v>
      </c>
      <c r="V529" s="2" t="inlineStr"/>
    </row>
    <row r="530" ht="15" customHeight="1">
      <c r="A530" t="inlineStr">
        <is>
          <t>A 15985-2025</t>
        </is>
      </c>
      <c r="B530" t="inlineStr">
        <is>
          <t>avverkningsanmälan</t>
        </is>
      </c>
      <c r="C530" t="inlineStr">
        <is>
          <t>Föryngringsavverkning</t>
        </is>
      </c>
      <c r="D530" s="1" t="n">
        <v>45749</v>
      </c>
      <c r="E530" s="1" t="n">
        <v>46272</v>
      </c>
      <c r="F530" t="inlineStr">
        <is>
          <t>GÄVLEBORGS LÄN</t>
        </is>
      </c>
      <c r="G530" t="inlineStr">
        <is>
          <t>HUDIKSVALL</t>
        </is>
      </c>
      <c r="I530" t="n">
        <v>1.1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t="n">
        <v>0</v>
      </c>
      <c r="V530" s="2" t="inlineStr"/>
    </row>
    <row r="531" ht="15" customHeight="1">
      <c r="A531" t="inlineStr">
        <is>
          <t>A 7065-2023</t>
        </is>
      </c>
      <c r="B531" t="inlineStr">
        <is>
          <t>avverkningsanmälan</t>
        </is>
      </c>
      <c r="C531" t="inlineStr">
        <is>
          <t>Föryngringsavverkning</t>
        </is>
      </c>
      <c r="D531" s="1" t="n">
        <v>44969</v>
      </c>
      <c r="E531" s="1" t="n">
        <v>46272</v>
      </c>
      <c r="F531" t="inlineStr">
        <is>
          <t>GÄVLEBORGS LÄN</t>
        </is>
      </c>
      <c r="G531" t="inlineStr">
        <is>
          <t>HUDIKSVALL</t>
        </is>
      </c>
      <c r="I531" t="n">
        <v>1.2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t="n">
        <v>0</v>
      </c>
      <c r="V531" s="2" t="inlineStr"/>
    </row>
    <row r="532" ht="15" customHeight="1">
      <c r="A532" t="inlineStr">
        <is>
          <t>A 9427-2024</t>
        </is>
      </c>
      <c r="B532" t="inlineStr">
        <is>
          <t>avverkningsanmälan</t>
        </is>
      </c>
      <c r="C532" t="inlineStr">
        <is>
          <t>Föryngringsavverkning</t>
        </is>
      </c>
      <c r="D532" s="1" t="n">
        <v>45359</v>
      </c>
      <c r="E532" s="1" t="n">
        <v>46272</v>
      </c>
      <c r="F532" t="inlineStr">
        <is>
          <t>GÄVLEBORGS LÄN</t>
        </is>
      </c>
      <c r="G532" t="inlineStr">
        <is>
          <t>HUDIKSVALL</t>
        </is>
      </c>
      <c r="H532" t="inlineStr">
        <is>
          <t>Holmen skog AB</t>
        </is>
      </c>
      <c r="I532" t="n">
        <v>0.5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t="n">
        <v>0</v>
      </c>
      <c r="V532" s="2" t="inlineStr"/>
    </row>
    <row r="533" ht="15" customHeight="1">
      <c r="A533" t="inlineStr">
        <is>
          <t>A 35831-2025</t>
        </is>
      </c>
      <c r="B533" t="inlineStr">
        <is>
          <t>avverkningsanmälan</t>
        </is>
      </c>
      <c r="C533" t="inlineStr">
        <is>
          <t>Föryngringsavverkning</t>
        </is>
      </c>
      <c r="D533" s="1" t="n">
        <v>45861</v>
      </c>
      <c r="E533" s="1" t="n">
        <v>46272</v>
      </c>
      <c r="F533" t="inlineStr">
        <is>
          <t>GÄVLEBORGS LÄN</t>
        </is>
      </c>
      <c r="G533" t="inlineStr">
        <is>
          <t>HUDIKSVALL</t>
        </is>
      </c>
      <c r="I533" t="n">
        <v>1.3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t="n">
        <v>0</v>
      </c>
      <c r="V533" s="2" t="inlineStr"/>
    </row>
    <row r="534" ht="15" customHeight="1">
      <c r="A534" t="inlineStr">
        <is>
          <t>A 2232-2022</t>
        </is>
      </c>
      <c r="B534" t="inlineStr">
        <is>
          <t>avverkningsanmälan</t>
        </is>
      </c>
      <c r="C534" t="inlineStr">
        <is>
          <t>Föryngringsavverkning</t>
        </is>
      </c>
      <c r="D534" s="1" t="n">
        <v>44578</v>
      </c>
      <c r="E534" s="1" t="n">
        <v>46272</v>
      </c>
      <c r="F534" t="inlineStr">
        <is>
          <t>GÄVLEBORGS LÄN</t>
        </is>
      </c>
      <c r="G534" t="inlineStr">
        <is>
          <t>HUDIKSVALL</t>
        </is>
      </c>
      <c r="H534" t="inlineStr">
        <is>
          <t>Holmen skog AB</t>
        </is>
      </c>
      <c r="I534" t="n">
        <v>8.699999999999999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t="n">
        <v>0</v>
      </c>
      <c r="V534" s="2" t="inlineStr"/>
    </row>
    <row r="535" ht="15" customHeight="1">
      <c r="A535" t="inlineStr">
        <is>
          <t>A 48380-2025</t>
        </is>
      </c>
      <c r="B535" t="inlineStr">
        <is>
          <t>avverkningsanmälan</t>
        </is>
      </c>
      <c r="C535" t="inlineStr">
        <is>
          <t>Föryngringsavverkning</t>
        </is>
      </c>
      <c r="D535" s="1" t="n">
        <v>45933</v>
      </c>
      <c r="E535" s="1" t="n">
        <v>46272</v>
      </c>
      <c r="F535" t="inlineStr">
        <is>
          <t>GÄVLEBORGS LÄN</t>
        </is>
      </c>
      <c r="G535" t="inlineStr">
        <is>
          <t>HUDIKSVALL</t>
        </is>
      </c>
      <c r="I535" t="n">
        <v>3.7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t="n">
        <v>0</v>
      </c>
      <c r="V535" s="2" t="inlineStr"/>
    </row>
    <row r="536" ht="15" customHeight="1">
      <c r="A536" t="inlineStr">
        <is>
          <t>A 35825-2025</t>
        </is>
      </c>
      <c r="B536" t="inlineStr">
        <is>
          <t>avverkningsanmälan</t>
        </is>
      </c>
      <c r="C536" t="inlineStr">
        <is>
          <t>Föryngringsavverkning</t>
        </is>
      </c>
      <c r="D536" s="1" t="n">
        <v>45861</v>
      </c>
      <c r="E536" s="1" t="n">
        <v>46272</v>
      </c>
      <c r="F536" t="inlineStr">
        <is>
          <t>GÄVLEBORGS LÄN</t>
        </is>
      </c>
      <c r="G536" t="inlineStr">
        <is>
          <t>HUDIKSVALL</t>
        </is>
      </c>
      <c r="I536" t="n">
        <v>5.9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t="n">
        <v>0</v>
      </c>
      <c r="V536" s="2" t="inlineStr"/>
    </row>
    <row r="537" ht="15" customHeight="1">
      <c r="A537" t="inlineStr">
        <is>
          <t>A 24201-2023</t>
        </is>
      </c>
      <c r="B537" t="inlineStr">
        <is>
          <t>avverkningsanmälan</t>
        </is>
      </c>
      <c r="C537" t="inlineStr">
        <is>
          <t>Föryngringsavverkning</t>
        </is>
      </c>
      <c r="D537" s="1" t="n">
        <v>45079</v>
      </c>
      <c r="E537" s="1" t="n">
        <v>46272</v>
      </c>
      <c r="F537" t="inlineStr">
        <is>
          <t>GÄVLEBORGS LÄN</t>
        </is>
      </c>
      <c r="G537" t="inlineStr">
        <is>
          <t>HUDIKSVALL</t>
        </is>
      </c>
      <c r="I537" t="n">
        <v>1.4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t="n">
        <v>0</v>
      </c>
      <c r="V537" s="2" t="inlineStr"/>
    </row>
    <row r="538" ht="15" customHeight="1">
      <c r="A538" t="inlineStr">
        <is>
          <t>A 4062-2025</t>
        </is>
      </c>
      <c r="B538" t="inlineStr">
        <is>
          <t>avverkningsanmälan</t>
        </is>
      </c>
      <c r="C538" t="inlineStr">
        <is>
          <t>Avverkning för att bevara och utveckla /försöksver</t>
        </is>
      </c>
      <c r="D538" s="1" t="n">
        <v>45684</v>
      </c>
      <c r="E538" s="1" t="n">
        <v>46272</v>
      </c>
      <c r="F538" t="inlineStr">
        <is>
          <t>GÄVLEBORGS LÄN</t>
        </is>
      </c>
      <c r="G538" t="inlineStr">
        <is>
          <t>HUDIKSVALL</t>
        </is>
      </c>
      <c r="I538" t="n">
        <v>0.9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t="n">
        <v>0</v>
      </c>
      <c r="V538" s="2" t="inlineStr"/>
    </row>
    <row r="539" ht="15" customHeight="1">
      <c r="A539" t="inlineStr">
        <is>
          <t>A 36200-2025</t>
        </is>
      </c>
      <c r="B539" t="inlineStr">
        <is>
          <t>avverkningsanmälan</t>
        </is>
      </c>
      <c r="C539" t="inlineStr">
        <is>
          <t>Föryngringsavverkning</t>
        </is>
      </c>
      <c r="D539" s="1" t="n">
        <v>45867</v>
      </c>
      <c r="E539" s="1" t="n">
        <v>46272</v>
      </c>
      <c r="F539" t="inlineStr">
        <is>
          <t>GÄVLEBORGS LÄN</t>
        </is>
      </c>
      <c r="G539" t="inlineStr">
        <is>
          <t>HUDIKSVALL</t>
        </is>
      </c>
      <c r="H539" t="inlineStr">
        <is>
          <t>Holmen skog AB</t>
        </is>
      </c>
      <c r="I539" t="n">
        <v>2.4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t="n">
        <v>0</v>
      </c>
      <c r="V539" s="2" t="inlineStr"/>
    </row>
    <row r="540" ht="15" customHeight="1">
      <c r="A540" t="inlineStr">
        <is>
          <t>A 1111-2025</t>
        </is>
      </c>
      <c r="B540" t="inlineStr">
        <is>
          <t>avverkningsanmälan</t>
        </is>
      </c>
      <c r="C540" t="inlineStr">
        <is>
          <t>Föryngringsavverkning</t>
        </is>
      </c>
      <c r="D540" s="1" t="n">
        <v>45666</v>
      </c>
      <c r="E540" s="1" t="n">
        <v>46272</v>
      </c>
      <c r="F540" t="inlineStr">
        <is>
          <t>GÄVLEBORGS LÄN</t>
        </is>
      </c>
      <c r="G540" t="inlineStr">
        <is>
          <t>HUDIKSVALL</t>
        </is>
      </c>
      <c r="I540" t="n">
        <v>3.2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t="n">
        <v>0</v>
      </c>
      <c r="V540" s="2" t="inlineStr"/>
    </row>
    <row r="541" ht="15" customHeight="1">
      <c r="A541" t="inlineStr">
        <is>
          <t>A 36159-2025</t>
        </is>
      </c>
      <c r="B541" t="inlineStr">
        <is>
          <t>avverkningsanmälan</t>
        </is>
      </c>
      <c r="C541" t="inlineStr">
        <is>
          <t>Föryngringsavverkning</t>
        </is>
      </c>
      <c r="D541" s="1" t="n">
        <v>45867</v>
      </c>
      <c r="E541" s="1" t="n">
        <v>46272</v>
      </c>
      <c r="F541" t="inlineStr">
        <is>
          <t>GÄVLEBORGS LÄN</t>
        </is>
      </c>
      <c r="G541" t="inlineStr">
        <is>
          <t>HUDIKSVALL</t>
        </is>
      </c>
      <c r="I541" t="n">
        <v>3.6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t="n">
        <v>0</v>
      </c>
      <c r="V541" s="2" t="inlineStr"/>
    </row>
    <row r="542" ht="15" customHeight="1">
      <c r="A542" t="inlineStr">
        <is>
          <t>A 36194-2025</t>
        </is>
      </c>
      <c r="B542" t="inlineStr">
        <is>
          <t>avverkningsanmälan</t>
        </is>
      </c>
      <c r="C542" t="inlineStr">
        <is>
          <t>Föryngringsavverkning</t>
        </is>
      </c>
      <c r="D542" s="1" t="n">
        <v>45867</v>
      </c>
      <c r="E542" s="1" t="n">
        <v>46272</v>
      </c>
      <c r="F542" t="inlineStr">
        <is>
          <t>GÄVLEBORGS LÄN</t>
        </is>
      </c>
      <c r="G542" t="inlineStr">
        <is>
          <t>HUDIKSVALL</t>
        </is>
      </c>
      <c r="H542" t="inlineStr">
        <is>
          <t>Holmen skog AB</t>
        </is>
      </c>
      <c r="I542" t="n">
        <v>3.6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t="n">
        <v>0</v>
      </c>
      <c r="V542" s="2" t="inlineStr"/>
    </row>
    <row r="543" ht="15" customHeight="1">
      <c r="A543" t="inlineStr">
        <is>
          <t>A 2115-2026</t>
        </is>
      </c>
      <c r="B543" t="inlineStr">
        <is>
          <t>avverkningsanmälan</t>
        </is>
      </c>
      <c r="C543" t="inlineStr">
        <is>
          <t>Föryngringsavverkning</t>
        </is>
      </c>
      <c r="D543" s="1" t="n">
        <v>46036</v>
      </c>
      <c r="E543" s="1" t="n">
        <v>46272</v>
      </c>
      <c r="F543" t="inlineStr">
        <is>
          <t>GÄVLEBORGS LÄN</t>
        </is>
      </c>
      <c r="G543" t="inlineStr">
        <is>
          <t>HUDIKSVALL</t>
        </is>
      </c>
      <c r="H543" t="inlineStr">
        <is>
          <t>Holmen skog AB</t>
        </is>
      </c>
      <c r="I543" t="n">
        <v>5.6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t="n">
        <v>0</v>
      </c>
      <c r="V543" s="2" t="inlineStr"/>
    </row>
    <row r="544" ht="15" customHeight="1">
      <c r="A544" t="inlineStr">
        <is>
          <t>A 2383-2026</t>
        </is>
      </c>
      <c r="B544" t="inlineStr">
        <is>
          <t>avverkningsanmälan</t>
        </is>
      </c>
      <c r="C544" t="inlineStr">
        <is>
          <t>Föryngringsavverkning</t>
        </is>
      </c>
      <c r="D544" s="1" t="n">
        <v>46036</v>
      </c>
      <c r="E544" s="1" t="n">
        <v>46272</v>
      </c>
      <c r="F544" t="inlineStr">
        <is>
          <t>GÄVLEBORGS LÄN</t>
        </is>
      </c>
      <c r="G544" t="inlineStr">
        <is>
          <t>HUDIKSVALL</t>
        </is>
      </c>
      <c r="I544" t="n">
        <v>7.6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t="n">
        <v>0</v>
      </c>
      <c r="V544" s="2" t="inlineStr"/>
    </row>
    <row r="545" ht="15" customHeight="1">
      <c r="A545" t="inlineStr">
        <is>
          <t>A 2498-2026</t>
        </is>
      </c>
      <c r="B545" t="inlineStr">
        <is>
          <t>avverkningsanmälan</t>
        </is>
      </c>
      <c r="C545" t="inlineStr">
        <is>
          <t>Föryngringsavverkning</t>
        </is>
      </c>
      <c r="D545" s="1" t="n">
        <v>46037</v>
      </c>
      <c r="E545" s="1" t="n">
        <v>46272</v>
      </c>
      <c r="F545" t="inlineStr">
        <is>
          <t>GÄVLEBORGS LÄN</t>
        </is>
      </c>
      <c r="G545" t="inlineStr">
        <is>
          <t>HUDIKSVALL</t>
        </is>
      </c>
      <c r="I545" t="n">
        <v>1.4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t="n">
        <v>0</v>
      </c>
      <c r="V545" s="2" t="inlineStr"/>
    </row>
    <row r="546" ht="15" customHeight="1">
      <c r="A546" t="inlineStr">
        <is>
          <t>A 58473-2024</t>
        </is>
      </c>
      <c r="B546" t="inlineStr">
        <is>
          <t>avverkningsanmälan</t>
        </is>
      </c>
      <c r="C546" t="inlineStr">
        <is>
          <t>Föryngringsavverkning</t>
        </is>
      </c>
      <c r="D546" s="1" t="n">
        <v>45635</v>
      </c>
      <c r="E546" s="1" t="n">
        <v>46272</v>
      </c>
      <c r="F546" t="inlineStr">
        <is>
          <t>GÄVLEBORGS LÄN</t>
        </is>
      </c>
      <c r="G546" t="inlineStr">
        <is>
          <t>HUDIKSVALL</t>
        </is>
      </c>
      <c r="I546" t="n">
        <v>3.8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t="n">
        <v>0</v>
      </c>
      <c r="S546" t="n">
        <v>0</v>
      </c>
      <c r="T546" t="n">
        <v>0</v>
      </c>
      <c r="U546" t="n">
        <v>0</v>
      </c>
      <c r="V546" s="2" t="inlineStr"/>
    </row>
    <row r="547" ht="15" customHeight="1">
      <c r="A547" t="inlineStr">
        <is>
          <t>A 50031-2025</t>
        </is>
      </c>
      <c r="B547" t="inlineStr">
        <is>
          <t>avverkningsanmälan</t>
        </is>
      </c>
      <c r="C547" t="inlineStr">
        <is>
          <t>Föryngringsavverkning</t>
        </is>
      </c>
      <c r="D547" s="1" t="n">
        <v>45943</v>
      </c>
      <c r="E547" s="1" t="n">
        <v>46272</v>
      </c>
      <c r="F547" t="inlineStr">
        <is>
          <t>GÄVLEBORGS LÄN</t>
        </is>
      </c>
      <c r="G547" t="inlineStr">
        <is>
          <t>HUDIKSVALL</t>
        </is>
      </c>
      <c r="I547" t="n">
        <v>1.1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t="n">
        <v>0</v>
      </c>
      <c r="S547" t="n">
        <v>0</v>
      </c>
      <c r="T547" t="n">
        <v>0</v>
      </c>
      <c r="U547" t="n">
        <v>0</v>
      </c>
      <c r="V547" s="2" t="inlineStr"/>
    </row>
    <row r="548" ht="15" customHeight="1">
      <c r="A548" t="inlineStr">
        <is>
          <t>A 2478-2026</t>
        </is>
      </c>
      <c r="B548" t="inlineStr">
        <is>
          <t>avverkningsanmälan</t>
        </is>
      </c>
      <c r="C548" t="inlineStr">
        <is>
          <t>Föryngringsavverkning</t>
        </is>
      </c>
      <c r="D548" s="1" t="n">
        <v>46037</v>
      </c>
      <c r="E548" s="1" t="n">
        <v>46272</v>
      </c>
      <c r="F548" t="inlineStr">
        <is>
          <t>GÄVLEBORGS LÄN</t>
        </is>
      </c>
      <c r="G548" t="inlineStr">
        <is>
          <t>HUDIKSVALL</t>
        </is>
      </c>
      <c r="I548" t="n">
        <v>3.2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t="n">
        <v>0</v>
      </c>
      <c r="S548" t="n">
        <v>0</v>
      </c>
      <c r="T548" t="n">
        <v>0</v>
      </c>
      <c r="U548" t="n">
        <v>0</v>
      </c>
      <c r="V548" s="2" t="inlineStr"/>
    </row>
    <row r="549" ht="15" customHeight="1">
      <c r="A549" t="inlineStr">
        <is>
          <t>A 2651-2024</t>
        </is>
      </c>
      <c r="B549" t="inlineStr">
        <is>
          <t>avverkningsanmälan</t>
        </is>
      </c>
      <c r="C549" t="inlineStr">
        <is>
          <t>Föryngringsavverkning</t>
        </is>
      </c>
      <c r="D549" s="1" t="n">
        <v>45314</v>
      </c>
      <c r="E549" s="1" t="n">
        <v>46272</v>
      </c>
      <c r="F549" t="inlineStr">
        <is>
          <t>GÄVLEBORGS LÄN</t>
        </is>
      </c>
      <c r="G549" t="inlineStr">
        <is>
          <t>HUDIKSVALL</t>
        </is>
      </c>
      <c r="H549" t="inlineStr">
        <is>
          <t>Holmen skog AB</t>
        </is>
      </c>
      <c r="I549" t="n">
        <v>0.9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t="n">
        <v>0</v>
      </c>
      <c r="S549" t="n">
        <v>0</v>
      </c>
      <c r="T549" t="n">
        <v>0</v>
      </c>
      <c r="U549" t="n">
        <v>0</v>
      </c>
      <c r="V549" s="2" t="inlineStr"/>
    </row>
    <row r="550" ht="15" customHeight="1">
      <c r="A550" t="inlineStr">
        <is>
          <t>A 60750-2023</t>
        </is>
      </c>
      <c r="B550" t="inlineStr">
        <is>
          <t>avverkningsanmälan</t>
        </is>
      </c>
      <c r="C550" t="inlineStr">
        <is>
          <t>Föryngringsavverkning</t>
        </is>
      </c>
      <c r="D550" s="1" t="n">
        <v>45260</v>
      </c>
      <c r="E550" s="1" t="n">
        <v>46272</v>
      </c>
      <c r="F550" t="inlineStr">
        <is>
          <t>GÄVLEBORGS LÄN</t>
        </is>
      </c>
      <c r="G550" t="inlineStr">
        <is>
          <t>HUDIKSVALL</t>
        </is>
      </c>
      <c r="H550" t="inlineStr">
        <is>
          <t>Holmen skog AB</t>
        </is>
      </c>
      <c r="I550" t="n">
        <v>2.6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t="n">
        <v>0</v>
      </c>
      <c r="S550" t="n">
        <v>0</v>
      </c>
      <c r="T550" t="n">
        <v>0</v>
      </c>
      <c r="U550" t="n">
        <v>0</v>
      </c>
      <c r="V550" s="2" t="inlineStr"/>
    </row>
    <row r="551" ht="15" customHeight="1">
      <c r="A551" t="inlineStr">
        <is>
          <t>A 11409-2024</t>
        </is>
      </c>
      <c r="B551" t="inlineStr">
        <is>
          <t>avverkningsanmälan</t>
        </is>
      </c>
      <c r="C551" t="inlineStr">
        <is>
          <t>Föryngringsavverkning</t>
        </is>
      </c>
      <c r="D551" s="1" t="n">
        <v>45372</v>
      </c>
      <c r="E551" s="1" t="n">
        <v>46272</v>
      </c>
      <c r="F551" t="inlineStr">
        <is>
          <t>GÄVLEBORGS LÄN</t>
        </is>
      </c>
      <c r="G551" t="inlineStr">
        <is>
          <t>HUDIKSVALL</t>
        </is>
      </c>
      <c r="H551" t="inlineStr">
        <is>
          <t>Holmen skog AB</t>
        </is>
      </c>
      <c r="I551" t="n">
        <v>8.199999999999999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t="n">
        <v>0</v>
      </c>
      <c r="S551" t="n">
        <v>0</v>
      </c>
      <c r="T551" t="n">
        <v>0</v>
      </c>
      <c r="U551" t="n">
        <v>0</v>
      </c>
      <c r="V551" s="2" t="inlineStr"/>
    </row>
    <row r="552" ht="15" customHeight="1">
      <c r="A552" t="inlineStr">
        <is>
          <t>A 32959-2024</t>
        </is>
      </c>
      <c r="B552" t="inlineStr">
        <is>
          <t>avverkningsanmälan</t>
        </is>
      </c>
      <c r="C552" t="inlineStr">
        <is>
          <t>Föryngringsavverkning</t>
        </is>
      </c>
      <c r="D552" s="1" t="n">
        <v>45517</v>
      </c>
      <c r="E552" s="1" t="n">
        <v>46272</v>
      </c>
      <c r="F552" t="inlineStr">
        <is>
          <t>GÄVLEBORGS LÄN</t>
        </is>
      </c>
      <c r="G552" t="inlineStr">
        <is>
          <t>HUDIKSVALL</t>
        </is>
      </c>
      <c r="H552" t="inlineStr">
        <is>
          <t>Holmen skog AB</t>
        </is>
      </c>
      <c r="I552" t="n">
        <v>2.9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t="n">
        <v>0</v>
      </c>
      <c r="S552" t="n">
        <v>0</v>
      </c>
      <c r="T552" t="n">
        <v>0</v>
      </c>
      <c r="U552" t="n">
        <v>0</v>
      </c>
      <c r="V552" s="2" t="inlineStr"/>
    </row>
    <row r="553" ht="15" customHeight="1">
      <c r="A553" t="inlineStr">
        <is>
          <t>A 36418-2025</t>
        </is>
      </c>
      <c r="B553" t="inlineStr">
        <is>
          <t>avverkningsanmälan</t>
        </is>
      </c>
      <c r="C553" t="inlineStr">
        <is>
          <t>Föryngringsavverkning</t>
        </is>
      </c>
      <c r="D553" s="1" t="n">
        <v>45868</v>
      </c>
      <c r="E553" s="1" t="n">
        <v>46272</v>
      </c>
      <c r="F553" t="inlineStr">
        <is>
          <t>GÄVLEBORGS LÄN</t>
        </is>
      </c>
      <c r="G553" t="inlineStr">
        <is>
          <t>HUDIKSVALL</t>
        </is>
      </c>
      <c r="I553" t="n">
        <v>6.1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t="n">
        <v>0</v>
      </c>
      <c r="S553" t="n">
        <v>0</v>
      </c>
      <c r="T553" t="n">
        <v>0</v>
      </c>
      <c r="U553" t="n">
        <v>0</v>
      </c>
      <c r="V553" s="2" t="inlineStr"/>
    </row>
    <row r="554" ht="15" customHeight="1">
      <c r="A554" t="inlineStr">
        <is>
          <t>A 50320-2025</t>
        </is>
      </c>
      <c r="B554" t="inlineStr">
        <is>
          <t>avverkningsanmälan</t>
        </is>
      </c>
      <c r="C554" t="inlineStr">
        <is>
          <t>Föryngringsavverkning</t>
        </is>
      </c>
      <c r="D554" s="1" t="n">
        <v>45944</v>
      </c>
      <c r="E554" s="1" t="n">
        <v>46272</v>
      </c>
      <c r="F554" t="inlineStr">
        <is>
          <t>GÄVLEBORGS LÄN</t>
        </is>
      </c>
      <c r="G554" t="inlineStr">
        <is>
          <t>HUDIKSVALL</t>
        </is>
      </c>
      <c r="I554" t="n">
        <v>1.3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t="n">
        <v>0</v>
      </c>
      <c r="S554" t="n">
        <v>0</v>
      </c>
      <c r="T554" t="n">
        <v>0</v>
      </c>
      <c r="U554" t="n">
        <v>0</v>
      </c>
      <c r="V554" s="2" t="inlineStr"/>
    </row>
    <row r="555" ht="15" customHeight="1">
      <c r="A555" t="inlineStr">
        <is>
          <t>A 50334-2025</t>
        </is>
      </c>
      <c r="B555" t="inlineStr">
        <is>
          <t>avverkningsanmälan</t>
        </is>
      </c>
      <c r="C555" t="inlineStr">
        <is>
          <t>Föryngringsavverkning</t>
        </is>
      </c>
      <c r="D555" s="1" t="n">
        <v>45944</v>
      </c>
      <c r="E555" s="1" t="n">
        <v>46272</v>
      </c>
      <c r="F555" t="inlineStr">
        <is>
          <t>GÄVLEBORGS LÄN</t>
        </is>
      </c>
      <c r="G555" t="inlineStr">
        <is>
          <t>HUDIKSVALL</t>
        </is>
      </c>
      <c r="I555" t="n">
        <v>2.8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t="n">
        <v>0</v>
      </c>
      <c r="S555" t="n">
        <v>0</v>
      </c>
      <c r="T555" t="n">
        <v>0</v>
      </c>
      <c r="U555" t="n">
        <v>0</v>
      </c>
      <c r="V555" s="2" t="inlineStr"/>
    </row>
    <row r="556" ht="15" customHeight="1">
      <c r="A556" t="inlineStr">
        <is>
          <t>A 50318-2025</t>
        </is>
      </c>
      <c r="B556" t="inlineStr">
        <is>
          <t>avverkningsanmälan</t>
        </is>
      </c>
      <c r="C556" t="inlineStr">
        <is>
          <t>Föryngringsavverkning</t>
        </is>
      </c>
      <c r="D556" s="1" t="n">
        <v>45944</v>
      </c>
      <c r="E556" s="1" t="n">
        <v>46272</v>
      </c>
      <c r="F556" t="inlineStr">
        <is>
          <t>GÄVLEBORGS LÄN</t>
        </is>
      </c>
      <c r="G556" t="inlineStr">
        <is>
          <t>HUDIKSVALL</t>
        </is>
      </c>
      <c r="I556" t="n">
        <v>1.3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t="n">
        <v>0</v>
      </c>
      <c r="S556" t="n">
        <v>0</v>
      </c>
      <c r="T556" t="n">
        <v>0</v>
      </c>
      <c r="U556" t="n">
        <v>0</v>
      </c>
      <c r="V556" s="2" t="inlineStr"/>
    </row>
    <row r="557" ht="15" customHeight="1">
      <c r="A557" t="inlineStr">
        <is>
          <t>A 2793-2026</t>
        </is>
      </c>
      <c r="B557" t="inlineStr">
        <is>
          <t>avverkningsanmälan</t>
        </is>
      </c>
      <c r="C557" t="inlineStr">
        <is>
          <t>Föryngringsavverkning</t>
        </is>
      </c>
      <c r="D557" s="1" t="n">
        <v>46038</v>
      </c>
      <c r="E557" s="1" t="n">
        <v>46272</v>
      </c>
      <c r="F557" t="inlineStr">
        <is>
          <t>GÄVLEBORGS LÄN</t>
        </is>
      </c>
      <c r="G557" t="inlineStr">
        <is>
          <t>HUDIKSVALL</t>
        </is>
      </c>
      <c r="I557" t="n">
        <v>0.5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t="n">
        <v>0</v>
      </c>
      <c r="S557" t="n">
        <v>0</v>
      </c>
      <c r="T557" t="n">
        <v>0</v>
      </c>
      <c r="U557" t="n">
        <v>0</v>
      </c>
      <c r="V557" s="2" t="inlineStr"/>
    </row>
    <row r="558" ht="15" customHeight="1">
      <c r="A558" t="inlineStr">
        <is>
          <t>A 2797-2026</t>
        </is>
      </c>
      <c r="B558" t="inlineStr">
        <is>
          <t>avverkningsanmälan</t>
        </is>
      </c>
      <c r="C558" t="inlineStr">
        <is>
          <t>Föryngringsavverkning</t>
        </is>
      </c>
      <c r="D558" s="1" t="n">
        <v>46038</v>
      </c>
      <c r="E558" s="1" t="n">
        <v>46272</v>
      </c>
      <c r="F558" t="inlineStr">
        <is>
          <t>GÄVLEBORGS LÄN</t>
        </is>
      </c>
      <c r="G558" t="inlineStr">
        <is>
          <t>HUDIKSVALL</t>
        </is>
      </c>
      <c r="I558" t="n">
        <v>0.9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t="n">
        <v>0</v>
      </c>
      <c r="S558" t="n">
        <v>0</v>
      </c>
      <c r="T558" t="n">
        <v>0</v>
      </c>
      <c r="U558" t="n">
        <v>0</v>
      </c>
      <c r="V558" s="2" t="inlineStr"/>
    </row>
    <row r="559" ht="15" customHeight="1">
      <c r="A559" t="inlineStr">
        <is>
          <t>A 50331-2025</t>
        </is>
      </c>
      <c r="B559" t="inlineStr">
        <is>
          <t>avverkningsanmälan</t>
        </is>
      </c>
      <c r="C559" t="inlineStr">
        <is>
          <t>Föryngringsavverkning</t>
        </is>
      </c>
      <c r="D559" s="1" t="n">
        <v>45944</v>
      </c>
      <c r="E559" s="1" t="n">
        <v>46272</v>
      </c>
      <c r="F559" t="inlineStr">
        <is>
          <t>GÄVLEBORGS LÄN</t>
        </is>
      </c>
      <c r="G559" t="inlineStr">
        <is>
          <t>HUDIKSVALL</t>
        </is>
      </c>
      <c r="I559" t="n">
        <v>1.2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t="n">
        <v>0</v>
      </c>
      <c r="S559" t="n">
        <v>0</v>
      </c>
      <c r="T559" t="n">
        <v>0</v>
      </c>
      <c r="U559" t="n">
        <v>0</v>
      </c>
      <c r="V559" s="2" t="inlineStr"/>
    </row>
    <row r="560" ht="15" customHeight="1">
      <c r="A560" t="inlineStr">
        <is>
          <t>A 2972-2026</t>
        </is>
      </c>
      <c r="B560" t="inlineStr">
        <is>
          <t>avverkningsanmälan</t>
        </is>
      </c>
      <c r="C560" t="inlineStr">
        <is>
          <t>Föryngringsavverkning</t>
        </is>
      </c>
      <c r="D560" s="1" t="n">
        <v>46038</v>
      </c>
      <c r="E560" s="1" t="n">
        <v>46272</v>
      </c>
      <c r="F560" t="inlineStr">
        <is>
          <t>GÄVLEBORGS LÄN</t>
        </is>
      </c>
      <c r="G560" t="inlineStr">
        <is>
          <t>HUDIKSVALL</t>
        </is>
      </c>
      <c r="I560" t="n">
        <v>7.3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t="n">
        <v>0</v>
      </c>
      <c r="S560" t="n">
        <v>0</v>
      </c>
      <c r="T560" t="n">
        <v>0</v>
      </c>
      <c r="U560" t="n">
        <v>0</v>
      </c>
      <c r="V560" s="2" t="inlineStr"/>
    </row>
    <row r="561" ht="15" customHeight="1">
      <c r="A561" t="inlineStr">
        <is>
          <t>A 2801-2026</t>
        </is>
      </c>
      <c r="B561" t="inlineStr">
        <is>
          <t>avverkningsanmälan</t>
        </is>
      </c>
      <c r="C561" t="inlineStr">
        <is>
          <t>Föryngringsavverkning</t>
        </is>
      </c>
      <c r="D561" s="1" t="n">
        <v>46038</v>
      </c>
      <c r="E561" s="1" t="n">
        <v>46272</v>
      </c>
      <c r="F561" t="inlineStr">
        <is>
          <t>GÄVLEBORGS LÄN</t>
        </is>
      </c>
      <c r="G561" t="inlineStr">
        <is>
          <t>HUDIKSVALL</t>
        </is>
      </c>
      <c r="I561" t="n">
        <v>2.2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t="n">
        <v>0</v>
      </c>
      <c r="S561" t="n">
        <v>0</v>
      </c>
      <c r="T561" t="n">
        <v>0</v>
      </c>
      <c r="U561" t="n">
        <v>0</v>
      </c>
      <c r="V561" s="2" t="inlineStr"/>
    </row>
    <row r="562" ht="15" customHeight="1">
      <c r="A562" t="inlineStr">
        <is>
          <t>A 3271-2026</t>
        </is>
      </c>
      <c r="B562" t="inlineStr">
        <is>
          <t>avverkningsanmälan</t>
        </is>
      </c>
      <c r="C562" t="inlineStr">
        <is>
          <t>Föryngringsavverkning</t>
        </is>
      </c>
      <c r="D562" s="1" t="n">
        <v>46041</v>
      </c>
      <c r="E562" s="1" t="n">
        <v>46272</v>
      </c>
      <c r="F562" t="inlineStr">
        <is>
          <t>GÄVLEBORGS LÄN</t>
        </is>
      </c>
      <c r="G562" t="inlineStr">
        <is>
          <t>HUDIKSVALL</t>
        </is>
      </c>
      <c r="I562" t="n">
        <v>0.7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t="n">
        <v>0</v>
      </c>
      <c r="S562" t="n">
        <v>0</v>
      </c>
      <c r="T562" t="n">
        <v>0</v>
      </c>
      <c r="U562" t="n">
        <v>0</v>
      </c>
      <c r="V562" s="2" t="inlineStr"/>
    </row>
    <row r="563" ht="15" customHeight="1">
      <c r="A563" t="inlineStr">
        <is>
          <t>A 50313-2025</t>
        </is>
      </c>
      <c r="B563" t="inlineStr">
        <is>
          <t>avverkningsanmälan</t>
        </is>
      </c>
      <c r="C563" t="inlineStr">
        <is>
          <t>Föryngringsavverkning</t>
        </is>
      </c>
      <c r="D563" s="1" t="n">
        <v>45944</v>
      </c>
      <c r="E563" s="1" t="n">
        <v>46272</v>
      </c>
      <c r="F563" t="inlineStr">
        <is>
          <t>GÄVLEBORGS LÄN</t>
        </is>
      </c>
      <c r="G563" t="inlineStr">
        <is>
          <t>HUDIKSVALL</t>
        </is>
      </c>
      <c r="I563" t="n">
        <v>3.5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t="n">
        <v>0</v>
      </c>
      <c r="S563" t="n">
        <v>0</v>
      </c>
      <c r="T563" t="n">
        <v>0</v>
      </c>
      <c r="U563" t="n">
        <v>0</v>
      </c>
      <c r="V563" s="2" t="inlineStr"/>
    </row>
    <row r="564" ht="15" customHeight="1">
      <c r="A564" t="inlineStr">
        <is>
          <t>A 50321-2025</t>
        </is>
      </c>
      <c r="B564" t="inlineStr">
        <is>
          <t>avverkningsanmälan</t>
        </is>
      </c>
      <c r="C564" t="inlineStr">
        <is>
          <t>Föryngringsavverkning</t>
        </is>
      </c>
      <c r="D564" s="1" t="n">
        <v>45944</v>
      </c>
      <c r="E564" s="1" t="n">
        <v>46272</v>
      </c>
      <c r="F564" t="inlineStr">
        <is>
          <t>GÄVLEBORGS LÄN</t>
        </is>
      </c>
      <c r="G564" t="inlineStr">
        <is>
          <t>HUDIKSVALL</t>
        </is>
      </c>
      <c r="I564" t="n">
        <v>7.9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t="n">
        <v>0</v>
      </c>
      <c r="S564" t="n">
        <v>0</v>
      </c>
      <c r="T564" t="n">
        <v>0</v>
      </c>
      <c r="U564" t="n">
        <v>0</v>
      </c>
      <c r="V564" s="2" t="inlineStr"/>
    </row>
    <row r="565" ht="15" customHeight="1">
      <c r="A565" t="inlineStr">
        <is>
          <t>A 2799-2026</t>
        </is>
      </c>
      <c r="B565" t="inlineStr">
        <is>
          <t>avverkningsanmälan</t>
        </is>
      </c>
      <c r="C565" t="inlineStr">
        <is>
          <t>Föryngringsavverkning</t>
        </is>
      </c>
      <c r="D565" s="1" t="n">
        <v>46038</v>
      </c>
      <c r="E565" s="1" t="n">
        <v>46272</v>
      </c>
      <c r="F565" t="inlineStr">
        <is>
          <t>GÄVLEBORGS LÄN</t>
        </is>
      </c>
      <c r="G565" t="inlineStr">
        <is>
          <t>HUDIKSVALL</t>
        </is>
      </c>
      <c r="I565" t="n">
        <v>0.6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t="n">
        <v>0</v>
      </c>
      <c r="S565" t="n">
        <v>0</v>
      </c>
      <c r="T565" t="n">
        <v>0</v>
      </c>
      <c r="U565" t="n">
        <v>0</v>
      </c>
      <c r="V565" s="2" t="inlineStr"/>
    </row>
    <row r="566" ht="15" customHeight="1">
      <c r="A566" t="inlineStr">
        <is>
          <t>A 50873-2025</t>
        </is>
      </c>
      <c r="B566" t="inlineStr">
        <is>
          <t>avverkningsanmälan</t>
        </is>
      </c>
      <c r="C566" t="inlineStr">
        <is>
          <t>Föryngringsavverkning</t>
        </is>
      </c>
      <c r="D566" s="1" t="n">
        <v>45946</v>
      </c>
      <c r="E566" s="1" t="n">
        <v>46272</v>
      </c>
      <c r="F566" t="inlineStr">
        <is>
          <t>GÄVLEBORGS LÄN</t>
        </is>
      </c>
      <c r="G566" t="inlineStr">
        <is>
          <t>HUDIKSVALL</t>
        </is>
      </c>
      <c r="I566" t="n">
        <v>1.4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t="n">
        <v>0</v>
      </c>
      <c r="S566" t="n">
        <v>0</v>
      </c>
      <c r="T566" t="n">
        <v>0</v>
      </c>
      <c r="U566" t="n">
        <v>0</v>
      </c>
      <c r="V566" s="2" t="inlineStr"/>
    </row>
    <row r="567" ht="15" customHeight="1">
      <c r="A567" t="inlineStr">
        <is>
          <t>A 60356-2024</t>
        </is>
      </c>
      <c r="B567" t="inlineStr">
        <is>
          <t>avverkningsanmälan</t>
        </is>
      </c>
      <c r="C567" t="inlineStr">
        <is>
          <t>Föryngringsavverkning</t>
        </is>
      </c>
      <c r="D567" s="1" t="n">
        <v>45643</v>
      </c>
      <c r="E567" s="1" t="n">
        <v>46272</v>
      </c>
      <c r="F567" t="inlineStr">
        <is>
          <t>GÄVLEBORGS LÄN</t>
        </is>
      </c>
      <c r="G567" t="inlineStr">
        <is>
          <t>HUDIKSVALL</t>
        </is>
      </c>
      <c r="I567" t="n">
        <v>1.5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t="n">
        <v>0</v>
      </c>
      <c r="S567" t="n">
        <v>0</v>
      </c>
      <c r="T567" t="n">
        <v>0</v>
      </c>
      <c r="U567" t="n">
        <v>0</v>
      </c>
      <c r="V567" s="2" t="inlineStr"/>
    </row>
    <row r="568" ht="15" customHeight="1">
      <c r="A568" t="inlineStr">
        <is>
          <t>A 1073-2026</t>
        </is>
      </c>
      <c r="B568" t="inlineStr">
        <is>
          <t>avverkningsanmälan</t>
        </is>
      </c>
      <c r="C568" t="inlineStr">
        <is>
          <t>Föryngringsavverkning</t>
        </is>
      </c>
      <c r="D568" s="1" t="n">
        <v>46030</v>
      </c>
      <c r="E568" s="1" t="n">
        <v>46272</v>
      </c>
      <c r="F568" t="inlineStr">
        <is>
          <t>GÄVLEBORGS LÄN</t>
        </is>
      </c>
      <c r="G568" t="inlineStr">
        <is>
          <t>HUDIKSVALL</t>
        </is>
      </c>
      <c r="I568" t="n">
        <v>2.7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t="n">
        <v>0</v>
      </c>
      <c r="S568" t="n">
        <v>0</v>
      </c>
      <c r="T568" t="n">
        <v>0</v>
      </c>
      <c r="U568" t="n">
        <v>0</v>
      </c>
      <c r="V568" s="2" t="inlineStr"/>
    </row>
    <row r="569" ht="15" customHeight="1">
      <c r="A569" t="inlineStr">
        <is>
          <t>A 50898-2025</t>
        </is>
      </c>
      <c r="B569" t="inlineStr">
        <is>
          <t>avverkningsanmälan</t>
        </is>
      </c>
      <c r="C569" t="inlineStr">
        <is>
          <t>Föryngringsavverkning</t>
        </is>
      </c>
      <c r="D569" s="1" t="n">
        <v>45946</v>
      </c>
      <c r="E569" s="1" t="n">
        <v>46272</v>
      </c>
      <c r="F569" t="inlineStr">
        <is>
          <t>GÄVLEBORGS LÄN</t>
        </is>
      </c>
      <c r="G569" t="inlineStr">
        <is>
          <t>HUDIKSVALL</t>
        </is>
      </c>
      <c r="I569" t="n">
        <v>3.1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t="n">
        <v>0</v>
      </c>
      <c r="S569" t="n">
        <v>0</v>
      </c>
      <c r="T569" t="n">
        <v>0</v>
      </c>
      <c r="U569" t="n">
        <v>0</v>
      </c>
      <c r="V569" s="2" t="inlineStr"/>
    </row>
    <row r="570" ht="15" customHeight="1">
      <c r="A570" t="inlineStr">
        <is>
          <t>A 2280-2022</t>
        </is>
      </c>
      <c r="B570" t="inlineStr">
        <is>
          <t>avverkningsanmälan</t>
        </is>
      </c>
      <c r="C570" t="inlineStr">
        <is>
          <t>Föryngringsavverkning</t>
        </is>
      </c>
      <c r="D570" s="1" t="n">
        <v>44578</v>
      </c>
      <c r="E570" s="1" t="n">
        <v>46272</v>
      </c>
      <c r="F570" t="inlineStr">
        <is>
          <t>GÄVLEBORGS LÄN</t>
        </is>
      </c>
      <c r="G570" t="inlineStr">
        <is>
          <t>HUDIKSVALL</t>
        </is>
      </c>
      <c r="I570" t="n">
        <v>2.5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t="n">
        <v>0</v>
      </c>
      <c r="S570" t="n">
        <v>0</v>
      </c>
      <c r="T570" t="n">
        <v>0</v>
      </c>
      <c r="U570" t="n">
        <v>0</v>
      </c>
      <c r="V570" s="2" t="inlineStr"/>
    </row>
    <row r="571" ht="15" customHeight="1">
      <c r="A571" t="inlineStr">
        <is>
          <t>A 3131-2026</t>
        </is>
      </c>
      <c r="B571" t="inlineStr">
        <is>
          <t>avverkningsanmälan</t>
        </is>
      </c>
      <c r="C571" t="inlineStr">
        <is>
          <t>Föryngringsavverkning</t>
        </is>
      </c>
      <c r="D571" s="1" t="n">
        <v>46041</v>
      </c>
      <c r="E571" s="1" t="n">
        <v>46272</v>
      </c>
      <c r="F571" t="inlineStr">
        <is>
          <t>GÄVLEBORGS LÄN</t>
        </is>
      </c>
      <c r="G571" t="inlineStr">
        <is>
          <t>HUDIKSVALL</t>
        </is>
      </c>
      <c r="I571" t="n">
        <v>7.7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t="n">
        <v>0</v>
      </c>
      <c r="S571" t="n">
        <v>0</v>
      </c>
      <c r="T571" t="n">
        <v>0</v>
      </c>
      <c r="U571" t="n">
        <v>0</v>
      </c>
      <c r="V571" s="2" t="inlineStr"/>
    </row>
    <row r="572" ht="15" customHeight="1">
      <c r="A572" t="inlineStr">
        <is>
          <t>A 50557-2025</t>
        </is>
      </c>
      <c r="B572" t="inlineStr">
        <is>
          <t>avverkningsanmälan</t>
        </is>
      </c>
      <c r="C572" t="inlineStr">
        <is>
          <t>Föryngringsavverkning</t>
        </is>
      </c>
      <c r="D572" s="1" t="n">
        <v>45944</v>
      </c>
      <c r="E572" s="1" t="n">
        <v>46272</v>
      </c>
      <c r="F572" t="inlineStr">
        <is>
          <t>GÄVLEBORGS LÄN</t>
        </is>
      </c>
      <c r="G572" t="inlineStr">
        <is>
          <t>HUDIKSVALL</t>
        </is>
      </c>
      <c r="I572" t="n">
        <v>3.6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t="n">
        <v>0</v>
      </c>
      <c r="S572" t="n">
        <v>0</v>
      </c>
      <c r="T572" t="n">
        <v>0</v>
      </c>
      <c r="U572" t="n">
        <v>0</v>
      </c>
      <c r="V572" s="2" t="inlineStr"/>
    </row>
    <row r="573" ht="15" customHeight="1">
      <c r="A573" t="inlineStr">
        <is>
          <t>A 51534-2025</t>
        </is>
      </c>
      <c r="B573" t="inlineStr">
        <is>
          <t>avverkningsanmälan</t>
        </is>
      </c>
      <c r="C573" t="inlineStr">
        <is>
          <t>Föryngringsavverkning</t>
        </is>
      </c>
      <c r="D573" s="1" t="n">
        <v>45950</v>
      </c>
      <c r="E573" s="1" t="n">
        <v>46272</v>
      </c>
      <c r="F573" t="inlineStr">
        <is>
          <t>GÄVLEBORGS LÄN</t>
        </is>
      </c>
      <c r="G573" t="inlineStr">
        <is>
          <t>HUDIKSVALL</t>
        </is>
      </c>
      <c r="I573" t="n">
        <v>15.2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t="n">
        <v>0</v>
      </c>
      <c r="S573" t="n">
        <v>0</v>
      </c>
      <c r="T573" t="n">
        <v>0</v>
      </c>
      <c r="U573" t="n">
        <v>0</v>
      </c>
      <c r="V573" s="2" t="inlineStr"/>
    </row>
    <row r="574" ht="15" customHeight="1">
      <c r="A574" t="inlineStr">
        <is>
          <t>A 51618-2025</t>
        </is>
      </c>
      <c r="B574" t="inlineStr">
        <is>
          <t>avverkningsanmälan</t>
        </is>
      </c>
      <c r="C574" t="inlineStr">
        <is>
          <t>Föryngringsavverkning</t>
        </is>
      </c>
      <c r="D574" s="1" t="n">
        <v>45951</v>
      </c>
      <c r="E574" s="1" t="n">
        <v>46272</v>
      </c>
      <c r="F574" t="inlineStr">
        <is>
          <t>GÄVLEBORGS LÄN</t>
        </is>
      </c>
      <c r="G574" t="inlineStr">
        <is>
          <t>HUDIKSVALL</t>
        </is>
      </c>
      <c r="H574" t="inlineStr">
        <is>
          <t>Holmen skog AB</t>
        </is>
      </c>
      <c r="I574" t="n">
        <v>5.7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t="n">
        <v>0</v>
      </c>
      <c r="S574" t="n">
        <v>0</v>
      </c>
      <c r="T574" t="n">
        <v>0</v>
      </c>
      <c r="U574" t="n">
        <v>0</v>
      </c>
      <c r="V574" s="2" t="inlineStr"/>
    </row>
    <row r="575" ht="15" customHeight="1">
      <c r="A575" t="inlineStr">
        <is>
          <t>A 19605-2025</t>
        </is>
      </c>
      <c r="B575" t="inlineStr">
        <is>
          <t>avverkningsanmälan</t>
        </is>
      </c>
      <c r="C575" t="inlineStr">
        <is>
          <t>Föryngringsavverkning</t>
        </is>
      </c>
      <c r="D575" s="1" t="n">
        <v>45770</v>
      </c>
      <c r="E575" s="1" t="n">
        <v>46272</v>
      </c>
      <c r="F575" t="inlineStr">
        <is>
          <t>GÄVLEBORGS LÄN</t>
        </is>
      </c>
      <c r="G575" t="inlineStr">
        <is>
          <t>HUDIKSVALL</t>
        </is>
      </c>
      <c r="H575" t="inlineStr">
        <is>
          <t>Holmen skog AB</t>
        </is>
      </c>
      <c r="I575" t="n">
        <v>9.5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t="n">
        <v>0</v>
      </c>
      <c r="S575" t="n">
        <v>0</v>
      </c>
      <c r="T575" t="n">
        <v>0</v>
      </c>
      <c r="U575" t="n">
        <v>0</v>
      </c>
      <c r="V575" s="2" t="inlineStr"/>
    </row>
    <row r="576" ht="15" customHeight="1">
      <c r="A576" t="inlineStr">
        <is>
          <t>A 3605-2026</t>
        </is>
      </c>
      <c r="B576" t="inlineStr">
        <is>
          <t>avverkningsanmälan</t>
        </is>
      </c>
      <c r="C576" t="inlineStr">
        <is>
          <t>Föryngringsavverkning</t>
        </is>
      </c>
      <c r="D576" s="1" t="n">
        <v>46042</v>
      </c>
      <c r="E576" s="1" t="n">
        <v>46272</v>
      </c>
      <c r="F576" t="inlineStr">
        <is>
          <t>GÄVLEBORGS LÄN</t>
        </is>
      </c>
      <c r="G576" t="inlineStr">
        <is>
          <t>HUDIKSVALL</t>
        </is>
      </c>
      <c r="I576" t="n">
        <v>1.3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t="n">
        <v>0</v>
      </c>
      <c r="S576" t="n">
        <v>0</v>
      </c>
      <c r="T576" t="n">
        <v>0</v>
      </c>
      <c r="U576" t="n">
        <v>0</v>
      </c>
      <c r="V576" s="2" t="inlineStr"/>
    </row>
    <row r="577" ht="15" customHeight="1">
      <c r="A577" t="inlineStr">
        <is>
          <t>A 3816-2026</t>
        </is>
      </c>
      <c r="B577" t="inlineStr">
        <is>
          <t>avverkningsanmälan</t>
        </is>
      </c>
      <c r="C577" t="inlineStr">
        <is>
          <t>Föryngringsavverkning</t>
        </is>
      </c>
      <c r="D577" s="1" t="n">
        <v>46043</v>
      </c>
      <c r="E577" s="1" t="n">
        <v>46272</v>
      </c>
      <c r="F577" t="inlineStr">
        <is>
          <t>GÄVLEBORGS LÄN</t>
        </is>
      </c>
      <c r="G577" t="inlineStr">
        <is>
          <t>HUDIKSVALL</t>
        </is>
      </c>
      <c r="I577" t="n">
        <v>6.5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t="n">
        <v>0</v>
      </c>
      <c r="S577" t="n">
        <v>0</v>
      </c>
      <c r="T577" t="n">
        <v>0</v>
      </c>
      <c r="U577" t="n">
        <v>0</v>
      </c>
      <c r="V577" s="2" t="inlineStr"/>
    </row>
    <row r="578" ht="15" customHeight="1">
      <c r="A578" t="inlineStr">
        <is>
          <t>A 21880-2023</t>
        </is>
      </c>
      <c r="B578" t="inlineStr">
        <is>
          <t>avverkningsanmälan</t>
        </is>
      </c>
      <c r="C578" t="inlineStr">
        <is>
          <t>Föryngringsavverkning</t>
        </is>
      </c>
      <c r="D578" s="1" t="n">
        <v>45068</v>
      </c>
      <c r="E578" s="1" t="n">
        <v>46272</v>
      </c>
      <c r="F578" t="inlineStr">
        <is>
          <t>GÄVLEBORGS LÄN</t>
        </is>
      </c>
      <c r="G578" t="inlineStr">
        <is>
          <t>HUDIKSVALL</t>
        </is>
      </c>
      <c r="I578" t="n">
        <v>0.9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t="n">
        <v>0</v>
      </c>
      <c r="S578" t="n">
        <v>0</v>
      </c>
      <c r="T578" t="n">
        <v>0</v>
      </c>
      <c r="U578" t="n">
        <v>0</v>
      </c>
      <c r="V578" s="2" t="inlineStr"/>
    </row>
    <row r="579" ht="15" customHeight="1">
      <c r="A579" t="inlineStr">
        <is>
          <t>A 44182-2023</t>
        </is>
      </c>
      <c r="B579" t="inlineStr">
        <is>
          <t>avverkningsanmälan</t>
        </is>
      </c>
      <c r="C579" t="inlineStr">
        <is>
          <t>Föryngringsavverkning</t>
        </is>
      </c>
      <c r="D579" s="1" t="n">
        <v>45188</v>
      </c>
      <c r="E579" s="1" t="n">
        <v>46272</v>
      </c>
      <c r="F579" t="inlineStr">
        <is>
          <t>GÄVLEBORGS LÄN</t>
        </is>
      </c>
      <c r="G579" t="inlineStr">
        <is>
          <t>HUDIKSVALL</t>
        </is>
      </c>
      <c r="H579" t="inlineStr">
        <is>
          <t>Holmen skog AB</t>
        </is>
      </c>
      <c r="I579" t="n">
        <v>14.6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t="n">
        <v>0</v>
      </c>
      <c r="S579" t="n">
        <v>0</v>
      </c>
      <c r="T579" t="n">
        <v>0</v>
      </c>
      <c r="U579" t="n">
        <v>0</v>
      </c>
      <c r="V579" s="2" t="inlineStr"/>
    </row>
    <row r="580" ht="15" customHeight="1">
      <c r="A580" t="inlineStr">
        <is>
          <t>A 52221-2024</t>
        </is>
      </c>
      <c r="B580" t="inlineStr">
        <is>
          <t>avverkningsanmälan</t>
        </is>
      </c>
      <c r="C580" t="inlineStr">
        <is>
          <t>Föryngringsavverkning</t>
        </is>
      </c>
      <c r="D580" s="1" t="n">
        <v>45608</v>
      </c>
      <c r="E580" s="1" t="n">
        <v>46272</v>
      </c>
      <c r="F580" t="inlineStr">
        <is>
          <t>GÄVLEBORGS LÄN</t>
        </is>
      </c>
      <c r="G580" t="inlineStr">
        <is>
          <t>HUDIKSVALL</t>
        </is>
      </c>
      <c r="I580" t="n">
        <v>4.5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t="n">
        <v>0</v>
      </c>
      <c r="S580" t="n">
        <v>0</v>
      </c>
      <c r="T580" t="n">
        <v>0</v>
      </c>
      <c r="U580" t="n">
        <v>0</v>
      </c>
      <c r="V580" s="2" t="inlineStr"/>
    </row>
    <row r="581" ht="15" customHeight="1">
      <c r="A581" t="inlineStr">
        <is>
          <t>A 37208-2025</t>
        </is>
      </c>
      <c r="B581" t="inlineStr">
        <is>
          <t>avverkningsanmälan</t>
        </is>
      </c>
      <c r="C581" t="inlineStr">
        <is>
          <t>Föryngringsavverkning</t>
        </is>
      </c>
      <c r="D581" s="1" t="n">
        <v>45875</v>
      </c>
      <c r="E581" s="1" t="n">
        <v>46272</v>
      </c>
      <c r="F581" t="inlineStr">
        <is>
          <t>GÄVLEBORGS LÄN</t>
        </is>
      </c>
      <c r="G581" t="inlineStr">
        <is>
          <t>HUDIKSVALL</t>
        </is>
      </c>
      <c r="I581" t="n">
        <v>1.2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t="n">
        <v>0</v>
      </c>
      <c r="S581" t="n">
        <v>0</v>
      </c>
      <c r="T581" t="n">
        <v>0</v>
      </c>
      <c r="U581" t="n">
        <v>0</v>
      </c>
      <c r="V581" s="2" t="inlineStr"/>
    </row>
    <row r="582" ht="15" customHeight="1">
      <c r="A582" t="inlineStr">
        <is>
          <t>A 37082-2025</t>
        </is>
      </c>
      <c r="B582" t="inlineStr">
        <is>
          <t>avverkningsanmälan</t>
        </is>
      </c>
      <c r="C582" t="inlineStr">
        <is>
          <t>Föryngringsavverkning</t>
        </is>
      </c>
      <c r="D582" s="1" t="n">
        <v>45875</v>
      </c>
      <c r="E582" s="1" t="n">
        <v>46272</v>
      </c>
      <c r="F582" t="inlineStr">
        <is>
          <t>GÄVLEBORGS LÄN</t>
        </is>
      </c>
      <c r="G582" t="inlineStr">
        <is>
          <t>HUDIKSVALL</t>
        </is>
      </c>
      <c r="H582" t="inlineStr">
        <is>
          <t>Holmen skog AB</t>
        </is>
      </c>
      <c r="I582" t="n">
        <v>10.8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t="n">
        <v>0</v>
      </c>
      <c r="S582" t="n">
        <v>0</v>
      </c>
      <c r="T582" t="n">
        <v>0</v>
      </c>
      <c r="U582" t="n">
        <v>0</v>
      </c>
      <c r="V582" s="2" t="inlineStr"/>
    </row>
    <row r="583" ht="15" customHeight="1">
      <c r="A583" t="inlineStr">
        <is>
          <t>A 51649-2025</t>
        </is>
      </c>
      <c r="B583" t="inlineStr">
        <is>
          <t>avverkningsanmälan</t>
        </is>
      </c>
      <c r="C583" t="inlineStr">
        <is>
          <t>Föryngringsavverkning</t>
        </is>
      </c>
      <c r="D583" s="1" t="n">
        <v>45951</v>
      </c>
      <c r="E583" s="1" t="n">
        <v>46272</v>
      </c>
      <c r="F583" t="inlineStr">
        <is>
          <t>GÄVLEBORGS LÄN</t>
        </is>
      </c>
      <c r="G583" t="inlineStr">
        <is>
          <t>HUDIKSVALL</t>
        </is>
      </c>
      <c r="H583" t="inlineStr">
        <is>
          <t>Holmen skog AB</t>
        </is>
      </c>
      <c r="I583" t="n">
        <v>2.4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t="n">
        <v>0</v>
      </c>
      <c r="S583" t="n">
        <v>0</v>
      </c>
      <c r="T583" t="n">
        <v>0</v>
      </c>
      <c r="U583" t="n">
        <v>0</v>
      </c>
      <c r="V583" s="2" t="inlineStr"/>
    </row>
    <row r="584" ht="15" customHeight="1">
      <c r="A584" t="inlineStr">
        <is>
          <t>A 3860-2026</t>
        </is>
      </c>
      <c r="B584" t="inlineStr">
        <is>
          <t>avverkningsanmälan</t>
        </is>
      </c>
      <c r="C584" t="inlineStr">
        <is>
          <t>Föryngringsavverkning</t>
        </is>
      </c>
      <c r="D584" s="1" t="n">
        <v>46043</v>
      </c>
      <c r="E584" s="1" t="n">
        <v>46272</v>
      </c>
      <c r="F584" t="inlineStr">
        <is>
          <t>GÄVLEBORGS LÄN</t>
        </is>
      </c>
      <c r="G584" t="inlineStr">
        <is>
          <t>HUDIKSVALL</t>
        </is>
      </c>
      <c r="I584" t="n">
        <v>3.2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t="n">
        <v>0</v>
      </c>
      <c r="S584" t="n">
        <v>0</v>
      </c>
      <c r="T584" t="n">
        <v>0</v>
      </c>
      <c r="U584" t="n">
        <v>0</v>
      </c>
      <c r="V584" s="2" t="inlineStr"/>
    </row>
    <row r="585" ht="15" customHeight="1">
      <c r="A585" t="inlineStr">
        <is>
          <t>A 51765-2025</t>
        </is>
      </c>
      <c r="B585" t="inlineStr">
        <is>
          <t>avverkningsanmälan</t>
        </is>
      </c>
      <c r="C585" t="inlineStr">
        <is>
          <t>Föryngringsavverkning</t>
        </is>
      </c>
      <c r="D585" s="1" t="n">
        <v>45951</v>
      </c>
      <c r="E585" s="1" t="n">
        <v>46272</v>
      </c>
      <c r="F585" t="inlineStr">
        <is>
          <t>GÄVLEBORGS LÄN</t>
        </is>
      </c>
      <c r="G585" t="inlineStr">
        <is>
          <t>HUDIKSVALL</t>
        </is>
      </c>
      <c r="I585" t="n">
        <v>2.7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t="n">
        <v>0</v>
      </c>
      <c r="S585" t="n">
        <v>0</v>
      </c>
      <c r="T585" t="n">
        <v>0</v>
      </c>
      <c r="U585" t="n">
        <v>0</v>
      </c>
      <c r="V585" s="2" t="inlineStr"/>
    </row>
    <row r="586" ht="15" customHeight="1">
      <c r="A586" t="inlineStr">
        <is>
          <t>A 51766-2025</t>
        </is>
      </c>
      <c r="B586" t="inlineStr">
        <is>
          <t>avverkningsanmälan</t>
        </is>
      </c>
      <c r="C586" t="inlineStr">
        <is>
          <t>Föryngringsavverkning</t>
        </is>
      </c>
      <c r="D586" s="1" t="n">
        <v>45951</v>
      </c>
      <c r="E586" s="1" t="n">
        <v>46272</v>
      </c>
      <c r="F586" t="inlineStr">
        <is>
          <t>GÄVLEBORGS LÄN</t>
        </is>
      </c>
      <c r="G586" t="inlineStr">
        <is>
          <t>HUDIKSVALL</t>
        </is>
      </c>
      <c r="I586" t="n">
        <v>2.3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t="n">
        <v>0</v>
      </c>
      <c r="S586" t="n">
        <v>0</v>
      </c>
      <c r="T586" t="n">
        <v>0</v>
      </c>
      <c r="U586" t="n">
        <v>0</v>
      </c>
      <c r="V586" s="2" t="inlineStr"/>
    </row>
    <row r="587" ht="15" customHeight="1">
      <c r="A587" t="inlineStr">
        <is>
          <t>A 37083-2025</t>
        </is>
      </c>
      <c r="B587" t="inlineStr">
        <is>
          <t>avverkningsanmälan</t>
        </is>
      </c>
      <c r="C587" t="inlineStr">
        <is>
          <t>Föryngringsavverkning</t>
        </is>
      </c>
      <c r="D587" s="1" t="n">
        <v>45875</v>
      </c>
      <c r="E587" s="1" t="n">
        <v>46272</v>
      </c>
      <c r="F587" t="inlineStr">
        <is>
          <t>GÄVLEBORGS LÄN</t>
        </is>
      </c>
      <c r="G587" t="inlineStr">
        <is>
          <t>HUDIKSVALL</t>
        </is>
      </c>
      <c r="H587" t="inlineStr">
        <is>
          <t>Holmen skog AB</t>
        </is>
      </c>
      <c r="I587" t="n">
        <v>6.4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t="n">
        <v>0</v>
      </c>
      <c r="S587" t="n">
        <v>0</v>
      </c>
      <c r="T587" t="n">
        <v>0</v>
      </c>
      <c r="U587" t="n">
        <v>0</v>
      </c>
      <c r="V587" s="2" t="inlineStr"/>
    </row>
    <row r="588" ht="15" customHeight="1">
      <c r="A588" t="inlineStr">
        <is>
          <t>A 3636-2026</t>
        </is>
      </c>
      <c r="B588" t="inlineStr">
        <is>
          <t>avverkningsanmälan</t>
        </is>
      </c>
      <c r="C588" t="inlineStr">
        <is>
          <t>Föryngringsavverkning</t>
        </is>
      </c>
      <c r="D588" s="1" t="n">
        <v>46043</v>
      </c>
      <c r="E588" s="1" t="n">
        <v>46272</v>
      </c>
      <c r="F588" t="inlineStr">
        <is>
          <t>GÄVLEBORGS LÄN</t>
        </is>
      </c>
      <c r="G588" t="inlineStr">
        <is>
          <t>HUDIKSVALL</t>
        </is>
      </c>
      <c r="I588" t="n">
        <v>1.4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t="n">
        <v>0</v>
      </c>
      <c r="S588" t="n">
        <v>0</v>
      </c>
      <c r="T588" t="n">
        <v>0</v>
      </c>
      <c r="U588" t="n">
        <v>0</v>
      </c>
      <c r="V588" s="2" t="inlineStr"/>
    </row>
    <row r="589" ht="15" customHeight="1">
      <c r="A589" t="inlineStr">
        <is>
          <t>A 51548-2025</t>
        </is>
      </c>
      <c r="B589" t="inlineStr">
        <is>
          <t>avverkningsanmälan</t>
        </is>
      </c>
      <c r="C589" t="inlineStr">
        <is>
          <t>Föryngringsavverkning</t>
        </is>
      </c>
      <c r="D589" s="1" t="n">
        <v>45950</v>
      </c>
      <c r="E589" s="1" t="n">
        <v>46272</v>
      </c>
      <c r="F589" t="inlineStr">
        <is>
          <t>GÄVLEBORGS LÄN</t>
        </is>
      </c>
      <c r="G589" t="inlineStr">
        <is>
          <t>HUDIKSVALL</t>
        </is>
      </c>
      <c r="H589" t="inlineStr">
        <is>
          <t>Holmen skog AB</t>
        </is>
      </c>
      <c r="I589" t="n">
        <v>5.7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t="n">
        <v>0</v>
      </c>
      <c r="S589" t="n">
        <v>0</v>
      </c>
      <c r="T589" t="n">
        <v>0</v>
      </c>
      <c r="U589" t="n">
        <v>0</v>
      </c>
      <c r="V589" s="2" t="inlineStr"/>
    </row>
    <row r="590" ht="15" customHeight="1">
      <c r="A590" t="inlineStr">
        <is>
          <t>A 51329-2025</t>
        </is>
      </c>
      <c r="B590" t="inlineStr">
        <is>
          <t>avverkningsanmälan</t>
        </is>
      </c>
      <c r="C590" t="inlineStr">
        <is>
          <t>Föryngringsavverkning</t>
        </is>
      </c>
      <c r="D590" s="1" t="n">
        <v>45950</v>
      </c>
      <c r="E590" s="1" t="n">
        <v>46272</v>
      </c>
      <c r="F590" t="inlineStr">
        <is>
          <t>GÄVLEBORGS LÄN</t>
        </is>
      </c>
      <c r="G590" t="inlineStr">
        <is>
          <t>HUDIKSVALL</t>
        </is>
      </c>
      <c r="I590" t="n">
        <v>1.1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t="n">
        <v>0</v>
      </c>
      <c r="S590" t="n">
        <v>0</v>
      </c>
      <c r="T590" t="n">
        <v>0</v>
      </c>
      <c r="U590" t="n">
        <v>0</v>
      </c>
      <c r="V590" s="2" t="inlineStr"/>
    </row>
    <row r="591" ht="15" customHeight="1">
      <c r="A591" t="inlineStr">
        <is>
          <t>A 55201-2023</t>
        </is>
      </c>
      <c r="B591" t="inlineStr">
        <is>
          <t>avverkningsanmälan</t>
        </is>
      </c>
      <c r="C591" t="inlineStr">
        <is>
          <t>Föryngringsavverkning</t>
        </is>
      </c>
      <c r="D591" s="1" t="n">
        <v>45237</v>
      </c>
      <c r="E591" s="1" t="n">
        <v>46272</v>
      </c>
      <c r="F591" t="inlineStr">
        <is>
          <t>GÄVLEBORGS LÄN</t>
        </is>
      </c>
      <c r="G591" t="inlineStr">
        <is>
          <t>HUDIKSVALL</t>
        </is>
      </c>
      <c r="H591" t="inlineStr">
        <is>
          <t>Holmen skog AB</t>
        </is>
      </c>
      <c r="I591" t="n">
        <v>0.5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t="n">
        <v>0</v>
      </c>
      <c r="S591" t="n">
        <v>0</v>
      </c>
      <c r="T591" t="n">
        <v>0</v>
      </c>
      <c r="U591" t="n">
        <v>0</v>
      </c>
      <c r="V591" s="2" t="inlineStr"/>
    </row>
    <row r="592" ht="15" customHeight="1">
      <c r="A592" t="inlineStr">
        <is>
          <t>A 36647-2025</t>
        </is>
      </c>
      <c r="B592" t="inlineStr">
        <is>
          <t>avverkningsanmälan</t>
        </is>
      </c>
      <c r="C592" t="inlineStr">
        <is>
          <t>Föryngringsavverkning</t>
        </is>
      </c>
      <c r="D592" s="1" t="n">
        <v>45872</v>
      </c>
      <c r="E592" s="1" t="n">
        <v>46272</v>
      </c>
      <c r="F592" t="inlineStr">
        <is>
          <t>GÄVLEBORGS LÄN</t>
        </is>
      </c>
      <c r="G592" t="inlineStr">
        <is>
          <t>HUDIKSVALL</t>
        </is>
      </c>
      <c r="H592" t="inlineStr">
        <is>
          <t>Holmen skog AB</t>
        </is>
      </c>
      <c r="I592" t="n">
        <v>8.199999999999999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t="n">
        <v>0</v>
      </c>
      <c r="S592" t="n">
        <v>0</v>
      </c>
      <c r="T592" t="n">
        <v>0</v>
      </c>
      <c r="U592" t="n">
        <v>0</v>
      </c>
      <c r="V592" s="2" t="inlineStr"/>
    </row>
    <row r="593" ht="15" customHeight="1">
      <c r="A593" t="inlineStr">
        <is>
          <t>A 51860-2025</t>
        </is>
      </c>
      <c r="B593" t="inlineStr">
        <is>
          <t>avverkningsanmälan</t>
        </is>
      </c>
      <c r="C593" t="inlineStr">
        <is>
          <t>Föryngringsavverkning</t>
        </is>
      </c>
      <c r="D593" s="1" t="n">
        <v>45952</v>
      </c>
      <c r="E593" s="1" t="n">
        <v>46272</v>
      </c>
      <c r="F593" t="inlineStr">
        <is>
          <t>GÄVLEBORGS LÄN</t>
        </is>
      </c>
      <c r="G593" t="inlineStr">
        <is>
          <t>HUDIKSVALL</t>
        </is>
      </c>
      <c r="H593" t="inlineStr">
        <is>
          <t>Holmen skog AB</t>
        </is>
      </c>
      <c r="I593" t="n">
        <v>3.8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t="n">
        <v>0</v>
      </c>
      <c r="S593" t="n">
        <v>0</v>
      </c>
      <c r="T593" t="n">
        <v>0</v>
      </c>
      <c r="U593" t="n">
        <v>0</v>
      </c>
      <c r="V593" s="2" t="inlineStr"/>
    </row>
    <row r="594" ht="15" customHeight="1">
      <c r="A594" t="inlineStr">
        <is>
          <t>A 4220-2026</t>
        </is>
      </c>
      <c r="B594" t="inlineStr">
        <is>
          <t>avverkningsanmälan</t>
        </is>
      </c>
      <c r="C594" t="inlineStr">
        <is>
          <t>Föryngringsavverkning</t>
        </is>
      </c>
      <c r="D594" s="1" t="n">
        <v>46044</v>
      </c>
      <c r="E594" s="1" t="n">
        <v>46272</v>
      </c>
      <c r="F594" t="inlineStr">
        <is>
          <t>GÄVLEBORGS LÄN</t>
        </is>
      </c>
      <c r="G594" t="inlineStr">
        <is>
          <t>HUDIKSVALL</t>
        </is>
      </c>
      <c r="I594" t="n">
        <v>3.7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t="n">
        <v>0</v>
      </c>
      <c r="S594" t="n">
        <v>0</v>
      </c>
      <c r="T594" t="n">
        <v>0</v>
      </c>
      <c r="U594" t="n">
        <v>0</v>
      </c>
      <c r="V594" s="2" t="inlineStr"/>
    </row>
    <row r="595" ht="15" customHeight="1">
      <c r="A595" t="inlineStr">
        <is>
          <t>A 37213-2025</t>
        </is>
      </c>
      <c r="B595" t="inlineStr">
        <is>
          <t>avverkningsanmälan</t>
        </is>
      </c>
      <c r="C595" t="inlineStr">
        <is>
          <t>Föryngringsavverkning</t>
        </is>
      </c>
      <c r="D595" s="1" t="n">
        <v>45875</v>
      </c>
      <c r="E595" s="1" t="n">
        <v>46272</v>
      </c>
      <c r="F595" t="inlineStr">
        <is>
          <t>GÄVLEBORGS LÄN</t>
        </is>
      </c>
      <c r="G595" t="inlineStr">
        <is>
          <t>HUDIKSVALL</t>
        </is>
      </c>
      <c r="H595" t="inlineStr">
        <is>
          <t>Holmen skog AB</t>
        </is>
      </c>
      <c r="I595" t="n">
        <v>7.8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t="n">
        <v>0</v>
      </c>
      <c r="S595" t="n">
        <v>0</v>
      </c>
      <c r="T595" t="n">
        <v>0</v>
      </c>
      <c r="U595" t="n">
        <v>0</v>
      </c>
      <c r="V595" s="2" t="inlineStr"/>
    </row>
    <row r="596" ht="15" customHeight="1">
      <c r="A596" t="inlineStr">
        <is>
          <t>A 60188-2023</t>
        </is>
      </c>
      <c r="B596" t="inlineStr">
        <is>
          <t>avverkningsanmälan</t>
        </is>
      </c>
      <c r="C596" t="inlineStr">
        <is>
          <t>Föryngringsavverkning</t>
        </is>
      </c>
      <c r="D596" s="1" t="n">
        <v>45258</v>
      </c>
      <c r="E596" s="1" t="n">
        <v>46272</v>
      </c>
      <c r="F596" t="inlineStr">
        <is>
          <t>GÄVLEBORGS LÄN</t>
        </is>
      </c>
      <c r="G596" t="inlineStr">
        <is>
          <t>HUDIKSVALL</t>
        </is>
      </c>
      <c r="H596" t="inlineStr">
        <is>
          <t>Holmen skog AB</t>
        </is>
      </c>
      <c r="I596" t="n">
        <v>0.2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t="n">
        <v>0</v>
      </c>
      <c r="S596" t="n">
        <v>0</v>
      </c>
      <c r="T596" t="n">
        <v>0</v>
      </c>
      <c r="U596" t="n">
        <v>0</v>
      </c>
      <c r="V596" s="2" t="inlineStr"/>
    </row>
    <row r="597" ht="15" customHeight="1">
      <c r="A597" t="inlineStr">
        <is>
          <t>A 60517-2022</t>
        </is>
      </c>
      <c r="B597" t="inlineStr">
        <is>
          <t>avverkningsanmälan</t>
        </is>
      </c>
      <c r="C597" t="inlineStr">
        <is>
          <t>Föryngringsavverkning</t>
        </is>
      </c>
      <c r="D597" s="1" t="n">
        <v>44911</v>
      </c>
      <c r="E597" s="1" t="n">
        <v>46272</v>
      </c>
      <c r="F597" t="inlineStr">
        <is>
          <t>GÄVLEBORGS LÄN</t>
        </is>
      </c>
      <c r="G597" t="inlineStr">
        <is>
          <t>HUDIKSVALL</t>
        </is>
      </c>
      <c r="H597" t="inlineStr">
        <is>
          <t>Holmen skog AB</t>
        </is>
      </c>
      <c r="I597" t="n">
        <v>3.8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t="n">
        <v>0</v>
      </c>
      <c r="S597" t="n">
        <v>0</v>
      </c>
      <c r="T597" t="n">
        <v>0</v>
      </c>
      <c r="U597" t="n">
        <v>0</v>
      </c>
      <c r="V597" s="2" t="inlineStr"/>
    </row>
    <row r="598" ht="15" customHeight="1">
      <c r="A598" t="inlineStr">
        <is>
          <t>A 51877-2025</t>
        </is>
      </c>
      <c r="B598" t="inlineStr">
        <is>
          <t>avverkningsanmälan</t>
        </is>
      </c>
      <c r="C598" t="inlineStr">
        <is>
          <t>Föryngringsavverkning</t>
        </is>
      </c>
      <c r="D598" s="1" t="n">
        <v>45952</v>
      </c>
      <c r="E598" s="1" t="n">
        <v>46272</v>
      </c>
      <c r="F598" t="inlineStr">
        <is>
          <t>GÄVLEBORGS LÄN</t>
        </is>
      </c>
      <c r="G598" t="inlineStr">
        <is>
          <t>HUDIKSVALL</t>
        </is>
      </c>
      <c r="H598" t="inlineStr">
        <is>
          <t>Naturvårdsverket</t>
        </is>
      </c>
      <c r="I598" t="n">
        <v>1.4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t="n">
        <v>0</v>
      </c>
      <c r="S598" t="n">
        <v>0</v>
      </c>
      <c r="T598" t="n">
        <v>0</v>
      </c>
      <c r="U598" t="n">
        <v>0</v>
      </c>
      <c r="V598" s="2" t="inlineStr"/>
    </row>
    <row r="599" ht="15" customHeight="1">
      <c r="A599" t="inlineStr">
        <is>
          <t>A 39669-2022</t>
        </is>
      </c>
      <c r="B599" t="inlineStr">
        <is>
          <t>avverkningsanmälan</t>
        </is>
      </c>
      <c r="C599" t="inlineStr">
        <is>
          <t>Föryngringsavverkning</t>
        </is>
      </c>
      <c r="D599" s="1" t="n">
        <v>44818</v>
      </c>
      <c r="E599" s="1" t="n">
        <v>46272</v>
      </c>
      <c r="F599" t="inlineStr">
        <is>
          <t>GÄVLEBORGS LÄN</t>
        </is>
      </c>
      <c r="G599" t="inlineStr">
        <is>
          <t>HUDIKSVALL</t>
        </is>
      </c>
      <c r="H599" t="inlineStr">
        <is>
          <t>Holmen skog AB</t>
        </is>
      </c>
      <c r="I599" t="n">
        <v>5.9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t="n">
        <v>0</v>
      </c>
      <c r="S599" t="n">
        <v>0</v>
      </c>
      <c r="T599" t="n">
        <v>0</v>
      </c>
      <c r="U599" t="n">
        <v>0</v>
      </c>
      <c r="V599" s="2" t="inlineStr"/>
    </row>
    <row r="600" ht="15" customHeight="1">
      <c r="A600" t="inlineStr">
        <is>
          <t>A 37355-2025</t>
        </is>
      </c>
      <c r="B600" t="inlineStr">
        <is>
          <t>avverkningsanmälan</t>
        </is>
      </c>
      <c r="C600" t="inlineStr">
        <is>
          <t>Föryngringsavverkning</t>
        </is>
      </c>
      <c r="D600" s="1" t="n">
        <v>45876</v>
      </c>
      <c r="E600" s="1" t="n">
        <v>46272</v>
      </c>
      <c r="F600" t="inlineStr">
        <is>
          <t>GÄVLEBORGS LÄN</t>
        </is>
      </c>
      <c r="G600" t="inlineStr">
        <is>
          <t>HUDIKSVALL</t>
        </is>
      </c>
      <c r="H600" t="inlineStr">
        <is>
          <t>Holmen skog AB</t>
        </is>
      </c>
      <c r="I600" t="n">
        <v>14.6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t="n">
        <v>0</v>
      </c>
      <c r="S600" t="n">
        <v>0</v>
      </c>
      <c r="T600" t="n">
        <v>0</v>
      </c>
      <c r="U600" t="n">
        <v>0</v>
      </c>
      <c r="V600" s="2" t="inlineStr"/>
    </row>
    <row r="601" ht="15" customHeight="1">
      <c r="A601" t="inlineStr">
        <is>
          <t>A 4499-2026</t>
        </is>
      </c>
      <c r="B601" t="inlineStr">
        <is>
          <t>avverkningsanmälan</t>
        </is>
      </c>
      <c r="C601" t="inlineStr">
        <is>
          <t>Föryngringsavverkning</t>
        </is>
      </c>
      <c r="D601" s="1" t="n">
        <v>46045</v>
      </c>
      <c r="E601" s="1" t="n">
        <v>46272</v>
      </c>
      <c r="F601" t="inlineStr">
        <is>
          <t>GÄVLEBORGS LÄN</t>
        </is>
      </c>
      <c r="G601" t="inlineStr">
        <is>
          <t>HUDIKSVALL</t>
        </is>
      </c>
      <c r="I601" t="n">
        <v>0.8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t="n">
        <v>0</v>
      </c>
      <c r="S601" t="n">
        <v>0</v>
      </c>
      <c r="T601" t="n">
        <v>0</v>
      </c>
      <c r="U601" t="n">
        <v>0</v>
      </c>
      <c r="V601" s="2" t="inlineStr"/>
    </row>
    <row r="602" ht="15" customHeight="1">
      <c r="A602" t="inlineStr">
        <is>
          <t>A 51897-2025</t>
        </is>
      </c>
      <c r="B602" t="inlineStr">
        <is>
          <t>avverkningsanmälan</t>
        </is>
      </c>
      <c r="C602" t="inlineStr">
        <is>
          <t>Föryngringsavverkning</t>
        </is>
      </c>
      <c r="D602" s="1" t="n">
        <v>45952</v>
      </c>
      <c r="E602" s="1" t="n">
        <v>46272</v>
      </c>
      <c r="F602" t="inlineStr">
        <is>
          <t>GÄVLEBORGS LÄN</t>
        </is>
      </c>
      <c r="G602" t="inlineStr">
        <is>
          <t>HUDIKSVALL</t>
        </is>
      </c>
      <c r="H602" t="inlineStr">
        <is>
          <t>Naturvårdsverket</t>
        </is>
      </c>
      <c r="I602" t="n">
        <v>3.2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t="n">
        <v>0</v>
      </c>
      <c r="S602" t="n">
        <v>0</v>
      </c>
      <c r="T602" t="n">
        <v>0</v>
      </c>
      <c r="U602" t="n">
        <v>0</v>
      </c>
      <c r="V602" s="2" t="inlineStr"/>
    </row>
    <row r="603" ht="15" customHeight="1">
      <c r="A603" t="inlineStr">
        <is>
          <t>A 1072-2026</t>
        </is>
      </c>
      <c r="B603" t="inlineStr">
        <is>
          <t>avverkningsanmälan</t>
        </is>
      </c>
      <c r="C603" t="inlineStr">
        <is>
          <t>Föryngringsavverkning</t>
        </is>
      </c>
      <c r="D603" s="1" t="n">
        <v>46030</v>
      </c>
      <c r="E603" s="1" t="n">
        <v>46272</v>
      </c>
      <c r="F603" t="inlineStr">
        <is>
          <t>GÄVLEBORGS LÄN</t>
        </is>
      </c>
      <c r="G603" t="inlineStr">
        <is>
          <t>HUDIKSVALL</t>
        </is>
      </c>
      <c r="I603" t="n">
        <v>8.6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t="n">
        <v>0</v>
      </c>
      <c r="S603" t="n">
        <v>0</v>
      </c>
      <c r="T603" t="n">
        <v>0</v>
      </c>
      <c r="U603" t="n">
        <v>0</v>
      </c>
      <c r="V603" s="2" t="inlineStr"/>
    </row>
    <row r="604" ht="15" customHeight="1">
      <c r="A604" t="inlineStr">
        <is>
          <t>A 47415-2023</t>
        </is>
      </c>
      <c r="B604" t="inlineStr">
        <is>
          <t>avverkningsanmälan</t>
        </is>
      </c>
      <c r="C604" t="inlineStr">
        <is>
          <t>Föryngringsavverkning</t>
        </is>
      </c>
      <c r="D604" s="1" t="n">
        <v>45202</v>
      </c>
      <c r="E604" s="1" t="n">
        <v>46272</v>
      </c>
      <c r="F604" t="inlineStr">
        <is>
          <t>GÄVLEBORGS LÄN</t>
        </is>
      </c>
      <c r="G604" t="inlineStr">
        <is>
          <t>HUDIKSVALL</t>
        </is>
      </c>
      <c r="H604" t="inlineStr">
        <is>
          <t>Holmen skog AB</t>
        </is>
      </c>
      <c r="I604" t="n">
        <v>0.9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t="n">
        <v>0</v>
      </c>
      <c r="S604" t="n">
        <v>0</v>
      </c>
      <c r="T604" t="n">
        <v>0</v>
      </c>
      <c r="U604" t="n">
        <v>0</v>
      </c>
      <c r="V604" s="2" t="inlineStr"/>
    </row>
    <row r="605" ht="15" customHeight="1">
      <c r="A605" t="inlineStr">
        <is>
          <t>A 37725-2025</t>
        </is>
      </c>
      <c r="B605" t="inlineStr">
        <is>
          <t>avverkningsanmälan</t>
        </is>
      </c>
      <c r="C605" t="inlineStr">
        <is>
          <t>Föryngringsavverkning</t>
        </is>
      </c>
      <c r="D605" s="1" t="n">
        <v>45880</v>
      </c>
      <c r="E605" s="1" t="n">
        <v>46272</v>
      </c>
      <c r="F605" t="inlineStr">
        <is>
          <t>GÄVLEBORGS LÄN</t>
        </is>
      </c>
      <c r="G605" t="inlineStr">
        <is>
          <t>HUDIKSVALL</t>
        </is>
      </c>
      <c r="I605" t="n">
        <v>2.3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t="n">
        <v>0</v>
      </c>
      <c r="S605" t="n">
        <v>0</v>
      </c>
      <c r="T605" t="n">
        <v>0</v>
      </c>
      <c r="U605" t="n">
        <v>0</v>
      </c>
      <c r="V605" s="2" t="inlineStr"/>
    </row>
    <row r="606" ht="15" customHeight="1">
      <c r="A606" t="inlineStr">
        <is>
          <t>A 37701-2025</t>
        </is>
      </c>
      <c r="B606" t="inlineStr">
        <is>
          <t>avverkningsanmälan</t>
        </is>
      </c>
      <c r="C606" t="inlineStr">
        <is>
          <t>Avverkning för annat ändamål</t>
        </is>
      </c>
      <c r="D606" s="1" t="n">
        <v>45880</v>
      </c>
      <c r="E606" s="1" t="n">
        <v>46272</v>
      </c>
      <c r="F606" t="inlineStr">
        <is>
          <t>GÄVLEBORGS LÄN</t>
        </is>
      </c>
      <c r="G606" t="inlineStr">
        <is>
          <t>HUDIKSVALL</t>
        </is>
      </c>
      <c r="I606" t="n">
        <v>0.4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t="n">
        <v>0</v>
      </c>
      <c r="S606" t="n">
        <v>0</v>
      </c>
      <c r="T606" t="n">
        <v>0</v>
      </c>
      <c r="U606" t="n">
        <v>0</v>
      </c>
      <c r="V606" s="2" t="inlineStr"/>
    </row>
    <row r="607" ht="15" customHeight="1">
      <c r="A607" t="inlineStr">
        <is>
          <t>A 37616-2025</t>
        </is>
      </c>
      <c r="B607" t="inlineStr">
        <is>
          <t>avverkningsanmälan</t>
        </is>
      </c>
      <c r="C607" t="inlineStr">
        <is>
          <t>Föryngringsavverkning</t>
        </is>
      </c>
      <c r="D607" s="1" t="n">
        <v>45880</v>
      </c>
      <c r="E607" s="1" t="n">
        <v>46272</v>
      </c>
      <c r="F607" t="inlineStr">
        <is>
          <t>GÄVLEBORGS LÄN</t>
        </is>
      </c>
      <c r="G607" t="inlineStr">
        <is>
          <t>HUDIKSVALL</t>
        </is>
      </c>
      <c r="I607" t="n">
        <v>6.9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t="n">
        <v>0</v>
      </c>
      <c r="S607" t="n">
        <v>0</v>
      </c>
      <c r="T607" t="n">
        <v>0</v>
      </c>
      <c r="U607" t="n">
        <v>0</v>
      </c>
      <c r="V607" s="2" t="inlineStr"/>
    </row>
    <row r="608" ht="15" customHeight="1">
      <c r="A608" t="inlineStr">
        <is>
          <t>A 52870-2025</t>
        </is>
      </c>
      <c r="B608" t="inlineStr">
        <is>
          <t>avverkningsanmälan</t>
        </is>
      </c>
      <c r="C608" t="inlineStr">
        <is>
          <t>Föryngringsavverkning</t>
        </is>
      </c>
      <c r="D608" s="1" t="n">
        <v>45957</v>
      </c>
      <c r="E608" s="1" t="n">
        <v>46272</v>
      </c>
      <c r="F608" t="inlineStr">
        <is>
          <t>GÄVLEBORGS LÄN</t>
        </is>
      </c>
      <c r="G608" t="inlineStr">
        <is>
          <t>HUDIKSVALL</t>
        </is>
      </c>
      <c r="I608" t="n">
        <v>2.2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t="n">
        <v>0</v>
      </c>
      <c r="S608" t="n">
        <v>0</v>
      </c>
      <c r="T608" t="n">
        <v>0</v>
      </c>
      <c r="U608" t="n">
        <v>0</v>
      </c>
      <c r="V608" s="2" t="inlineStr"/>
    </row>
    <row r="609" ht="15" customHeight="1">
      <c r="A609" t="inlineStr">
        <is>
          <t>A 3975-2026</t>
        </is>
      </c>
      <c r="B609" t="inlineStr">
        <is>
          <t>avverkningsanmälan</t>
        </is>
      </c>
      <c r="C609" t="inlineStr">
        <is>
          <t>Föryngringsavverkning</t>
        </is>
      </c>
      <c r="D609" s="1" t="n">
        <v>46044</v>
      </c>
      <c r="E609" s="1" t="n">
        <v>46272</v>
      </c>
      <c r="F609" t="inlineStr">
        <is>
          <t>GÄVLEBORGS LÄN</t>
        </is>
      </c>
      <c r="G609" t="inlineStr">
        <is>
          <t>HUDIKSVALL</t>
        </is>
      </c>
      <c r="I609" t="n">
        <v>1.3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t="n">
        <v>0</v>
      </c>
      <c r="S609" t="n">
        <v>0</v>
      </c>
      <c r="T609" t="n">
        <v>0</v>
      </c>
      <c r="U609" t="n">
        <v>0</v>
      </c>
      <c r="V609" s="2" t="inlineStr"/>
    </row>
    <row r="610" ht="15" customHeight="1">
      <c r="A610" t="inlineStr">
        <is>
          <t>A 4006-2026</t>
        </is>
      </c>
      <c r="B610" t="inlineStr">
        <is>
          <t>avverkningsanmälan</t>
        </is>
      </c>
      <c r="C610" t="inlineStr">
        <is>
          <t>Föryngringsavverkning</t>
        </is>
      </c>
      <c r="D610" s="1" t="n">
        <v>46044</v>
      </c>
      <c r="E610" s="1" t="n">
        <v>46272</v>
      </c>
      <c r="F610" t="inlineStr">
        <is>
          <t>GÄVLEBORGS LÄN</t>
        </is>
      </c>
      <c r="G610" t="inlineStr">
        <is>
          <t>HUDIKSVALL</t>
        </is>
      </c>
      <c r="I610" t="n">
        <v>2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t="n">
        <v>0</v>
      </c>
      <c r="S610" t="n">
        <v>0</v>
      </c>
      <c r="T610" t="n">
        <v>0</v>
      </c>
      <c r="U610" t="n">
        <v>0</v>
      </c>
      <c r="V610" s="2" t="inlineStr"/>
    </row>
    <row r="611" ht="15" customHeight="1">
      <c r="A611" t="inlineStr">
        <is>
          <t>A 4387-2026</t>
        </is>
      </c>
      <c r="B611" t="inlineStr">
        <is>
          <t>avverkningsanmälan</t>
        </is>
      </c>
      <c r="C611" t="inlineStr">
        <is>
          <t>Föryngringsavverkning</t>
        </is>
      </c>
      <c r="D611" s="1" t="n">
        <v>46045</v>
      </c>
      <c r="E611" s="1" t="n">
        <v>46272</v>
      </c>
      <c r="F611" t="inlineStr">
        <is>
          <t>GÄVLEBORGS LÄN</t>
        </is>
      </c>
      <c r="G611" t="inlineStr">
        <is>
          <t>HUDIKSVALL</t>
        </is>
      </c>
      <c r="I611" t="n">
        <v>0.9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t="n">
        <v>0</v>
      </c>
      <c r="S611" t="n">
        <v>0</v>
      </c>
      <c r="T611" t="n">
        <v>0</v>
      </c>
      <c r="U611" t="n">
        <v>0</v>
      </c>
      <c r="V611" s="2" t="inlineStr"/>
    </row>
    <row r="612" ht="15" customHeight="1">
      <c r="A612" t="inlineStr">
        <is>
          <t>A 64344-2021</t>
        </is>
      </c>
      <c r="B612" t="inlineStr">
        <is>
          <t>avverkningsanmälan</t>
        </is>
      </c>
      <c r="C612" t="inlineStr">
        <is>
          <t>Föryngringsavverkning</t>
        </is>
      </c>
      <c r="D612" s="1" t="n">
        <v>44511</v>
      </c>
      <c r="E612" s="1" t="n">
        <v>46272</v>
      </c>
      <c r="F612" t="inlineStr">
        <is>
          <t>GÄVLEBORGS LÄN</t>
        </is>
      </c>
      <c r="G612" t="inlineStr">
        <is>
          <t>HUDIKSVALL</t>
        </is>
      </c>
      <c r="I612" t="n">
        <v>5.2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t="n">
        <v>0</v>
      </c>
      <c r="S612" t="n">
        <v>0</v>
      </c>
      <c r="T612" t="n">
        <v>0</v>
      </c>
      <c r="U612" t="n">
        <v>0</v>
      </c>
      <c r="V612" s="2" t="inlineStr"/>
    </row>
    <row r="613" ht="15" customHeight="1">
      <c r="A613" t="inlineStr">
        <is>
          <t>A 52478-2025</t>
        </is>
      </c>
      <c r="B613" t="inlineStr">
        <is>
          <t>avverkningsanmälan</t>
        </is>
      </c>
      <c r="C613" t="inlineStr">
        <is>
          <t>Föryngringsavverkning</t>
        </is>
      </c>
      <c r="D613" s="1" t="n">
        <v>45954</v>
      </c>
      <c r="E613" s="1" t="n">
        <v>46272</v>
      </c>
      <c r="F613" t="inlineStr">
        <is>
          <t>GÄVLEBORGS LÄN</t>
        </is>
      </c>
      <c r="G613" t="inlineStr">
        <is>
          <t>HUDIKSVALL</t>
        </is>
      </c>
      <c r="I613" t="n">
        <v>3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t="n">
        <v>0</v>
      </c>
      <c r="S613" t="n">
        <v>0</v>
      </c>
      <c r="T613" t="n">
        <v>0</v>
      </c>
      <c r="U613" t="n">
        <v>0</v>
      </c>
      <c r="V613" s="2" t="inlineStr"/>
    </row>
    <row r="614" ht="15" customHeight="1">
      <c r="A614" t="inlineStr">
        <is>
          <t>A 37645-2025</t>
        </is>
      </c>
      <c r="B614" t="inlineStr">
        <is>
          <t>avverkningsanmälan</t>
        </is>
      </c>
      <c r="C614" t="inlineStr">
        <is>
          <t>Föryngringsavverkning</t>
        </is>
      </c>
      <c r="D614" s="1" t="n">
        <v>45880</v>
      </c>
      <c r="E614" s="1" t="n">
        <v>46272</v>
      </c>
      <c r="F614" t="inlineStr">
        <is>
          <t>GÄVLEBORGS LÄN</t>
        </is>
      </c>
      <c r="G614" t="inlineStr">
        <is>
          <t>HUDIKSVALL</t>
        </is>
      </c>
      <c r="I614" t="n">
        <v>3.4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t="n">
        <v>0</v>
      </c>
      <c r="S614" t="n">
        <v>0</v>
      </c>
      <c r="T614" t="n">
        <v>0</v>
      </c>
      <c r="U614" t="n">
        <v>0</v>
      </c>
      <c r="V614" s="2" t="inlineStr"/>
    </row>
    <row r="615" ht="15" customHeight="1">
      <c r="A615" t="inlineStr">
        <is>
          <t>A 4272-2026</t>
        </is>
      </c>
      <c r="B615" t="inlineStr">
        <is>
          <t>avverkningsanmälan</t>
        </is>
      </c>
      <c r="C615" t="inlineStr">
        <is>
          <t>Föryngringsavverkning</t>
        </is>
      </c>
      <c r="D615" s="1" t="n">
        <v>46045</v>
      </c>
      <c r="E615" s="1" t="n">
        <v>46272</v>
      </c>
      <c r="F615" t="inlineStr">
        <is>
          <t>GÄVLEBORGS LÄN</t>
        </is>
      </c>
      <c r="G615" t="inlineStr">
        <is>
          <t>HUDIKSVALL</t>
        </is>
      </c>
      <c r="I615" t="n">
        <v>9.4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t="n">
        <v>0</v>
      </c>
      <c r="S615" t="n">
        <v>0</v>
      </c>
      <c r="T615" t="n">
        <v>0</v>
      </c>
      <c r="U615" t="n">
        <v>0</v>
      </c>
      <c r="V615" s="2" t="inlineStr"/>
    </row>
    <row r="616" ht="15" customHeight="1">
      <c r="A616" t="inlineStr">
        <is>
          <t>A 37804-2025</t>
        </is>
      </c>
      <c r="B616" t="inlineStr">
        <is>
          <t>avverkningsanmälan</t>
        </is>
      </c>
      <c r="C616" t="inlineStr">
        <is>
          <t>Föryngringsavverkning</t>
        </is>
      </c>
      <c r="D616" s="1" t="n">
        <v>45881</v>
      </c>
      <c r="E616" s="1" t="n">
        <v>46272</v>
      </c>
      <c r="F616" t="inlineStr">
        <is>
          <t>GÄVLEBORGS LÄN</t>
        </is>
      </c>
      <c r="G616" t="inlineStr">
        <is>
          <t>HUDIKSVALL</t>
        </is>
      </c>
      <c r="H616" t="inlineStr">
        <is>
          <t>Holmen skog AB</t>
        </is>
      </c>
      <c r="I616" t="n">
        <v>25.3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t="n">
        <v>0</v>
      </c>
      <c r="S616" t="n">
        <v>0</v>
      </c>
      <c r="T616" t="n">
        <v>0</v>
      </c>
      <c r="U616" t="n">
        <v>0</v>
      </c>
      <c r="V616" s="2" t="inlineStr"/>
    </row>
    <row r="617" ht="15" customHeight="1">
      <c r="A617" t="inlineStr">
        <is>
          <t>A 57199-2022</t>
        </is>
      </c>
      <c r="B617" t="inlineStr">
        <is>
          <t>avverkningsanmälan</t>
        </is>
      </c>
      <c r="C617" t="inlineStr">
        <is>
          <t>Avverkning för annat ändamål</t>
        </is>
      </c>
      <c r="D617" s="1" t="n">
        <v>44895</v>
      </c>
      <c r="E617" s="1" t="n">
        <v>46272</v>
      </c>
      <c r="F617" t="inlineStr">
        <is>
          <t>GÄVLEBORGS LÄN</t>
        </is>
      </c>
      <c r="G617" t="inlineStr">
        <is>
          <t>HUDIKSVALL</t>
        </is>
      </c>
      <c r="I617" t="n">
        <v>7.2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t="n">
        <v>0</v>
      </c>
      <c r="S617" t="n">
        <v>0</v>
      </c>
      <c r="T617" t="n">
        <v>0</v>
      </c>
      <c r="U617" t="n">
        <v>0</v>
      </c>
      <c r="V617" s="2" t="inlineStr"/>
    </row>
    <row r="618" ht="15" customHeight="1">
      <c r="A618" t="inlineStr">
        <is>
          <t>A 52839-2025</t>
        </is>
      </c>
      <c r="B618" t="inlineStr">
        <is>
          <t>avverkningsanmälan</t>
        </is>
      </c>
      <c r="C618" t="inlineStr">
        <is>
          <t>Föryngringsavverkning</t>
        </is>
      </c>
      <c r="D618" s="1" t="n">
        <v>45957</v>
      </c>
      <c r="E618" s="1" t="n">
        <v>46272</v>
      </c>
      <c r="F618" t="inlineStr">
        <is>
          <t>GÄVLEBORGS LÄN</t>
        </is>
      </c>
      <c r="G618" t="inlineStr">
        <is>
          <t>HUDIKSVALL</t>
        </is>
      </c>
      <c r="I618" t="n">
        <v>3.1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t="n">
        <v>0</v>
      </c>
      <c r="S618" t="n">
        <v>0</v>
      </c>
      <c r="T618" t="n">
        <v>0</v>
      </c>
      <c r="U618" t="n">
        <v>0</v>
      </c>
      <c r="V618" s="2" t="inlineStr"/>
    </row>
    <row r="619" ht="15" customHeight="1">
      <c r="A619" t="inlineStr">
        <is>
          <t>A 52862-2025</t>
        </is>
      </c>
      <c r="B619" t="inlineStr">
        <is>
          <t>avverkningsanmälan</t>
        </is>
      </c>
      <c r="C619" t="inlineStr">
        <is>
          <t>Föryngringsavverkning</t>
        </is>
      </c>
      <c r="D619" s="1" t="n">
        <v>45957</v>
      </c>
      <c r="E619" s="1" t="n">
        <v>46272</v>
      </c>
      <c r="F619" t="inlineStr">
        <is>
          <t>GÄVLEBORGS LÄN</t>
        </is>
      </c>
      <c r="G619" t="inlineStr">
        <is>
          <t>HUDIKSVALL</t>
        </is>
      </c>
      <c r="I619" t="n">
        <v>2.2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t="n">
        <v>0</v>
      </c>
      <c r="S619" t="n">
        <v>0</v>
      </c>
      <c r="T619" t="n">
        <v>0</v>
      </c>
      <c r="U619" t="n">
        <v>0</v>
      </c>
      <c r="V619" s="2" t="inlineStr"/>
    </row>
    <row r="620" ht="15" customHeight="1">
      <c r="A620" t="inlineStr">
        <is>
          <t>A 781-2026</t>
        </is>
      </c>
      <c r="B620" t="inlineStr">
        <is>
          <t>avverkningsanmälan</t>
        </is>
      </c>
      <c r="C620" t="inlineStr">
        <is>
          <t>Föryngringsavverkning</t>
        </is>
      </c>
      <c r="D620" s="1" t="n">
        <v>46029</v>
      </c>
      <c r="E620" s="1" t="n">
        <v>46272</v>
      </c>
      <c r="F620" t="inlineStr">
        <is>
          <t>GÄVLEBORGS LÄN</t>
        </is>
      </c>
      <c r="G620" t="inlineStr">
        <is>
          <t>HUDIKSVALL</t>
        </is>
      </c>
      <c r="I620" t="n">
        <v>0.6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t="n">
        <v>0</v>
      </c>
      <c r="S620" t="n">
        <v>0</v>
      </c>
      <c r="T620" t="n">
        <v>0</v>
      </c>
      <c r="U620" t="n">
        <v>0</v>
      </c>
      <c r="V620" s="2" t="inlineStr"/>
    </row>
    <row r="621" ht="15" customHeight="1">
      <c r="A621" t="inlineStr">
        <is>
          <t>A 13663-2025</t>
        </is>
      </c>
      <c r="B621" t="inlineStr">
        <is>
          <t>avverkningsanmälan</t>
        </is>
      </c>
      <c r="C621" t="inlineStr">
        <is>
          <t>Avverkning för annat ändamål</t>
        </is>
      </c>
      <c r="D621" s="1" t="n">
        <v>45736</v>
      </c>
      <c r="E621" s="1" t="n">
        <v>46272</v>
      </c>
      <c r="F621" t="inlineStr">
        <is>
          <t>GÄVLEBORGS LÄN</t>
        </is>
      </c>
      <c r="G621" t="inlineStr">
        <is>
          <t>HUDIKSVALL</t>
        </is>
      </c>
      <c r="I621" t="n">
        <v>3.5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t="n">
        <v>0</v>
      </c>
      <c r="S621" t="n">
        <v>0</v>
      </c>
      <c r="T621" t="n">
        <v>0</v>
      </c>
      <c r="U621" t="n">
        <v>0</v>
      </c>
      <c r="V621" s="2" t="inlineStr"/>
    </row>
    <row r="622" ht="15" customHeight="1">
      <c r="A622" t="inlineStr">
        <is>
          <t>A 52850-2025</t>
        </is>
      </c>
      <c r="B622" t="inlineStr">
        <is>
          <t>avverkningsanmälan</t>
        </is>
      </c>
      <c r="C622" t="inlineStr">
        <is>
          <t>Föryngringsavverkning</t>
        </is>
      </c>
      <c r="D622" s="1" t="n">
        <v>45957</v>
      </c>
      <c r="E622" s="1" t="n">
        <v>46272</v>
      </c>
      <c r="F622" t="inlineStr">
        <is>
          <t>GÄVLEBORGS LÄN</t>
        </is>
      </c>
      <c r="G622" t="inlineStr">
        <is>
          <t>HUDIKSVALL</t>
        </is>
      </c>
      <c r="I622" t="n">
        <v>2.3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t="n">
        <v>0</v>
      </c>
      <c r="S622" t="n">
        <v>0</v>
      </c>
      <c r="T622" t="n">
        <v>0</v>
      </c>
      <c r="U622" t="n">
        <v>0</v>
      </c>
      <c r="V622" s="2" t="inlineStr"/>
    </row>
    <row r="623" ht="15" customHeight="1">
      <c r="A623" t="inlineStr">
        <is>
          <t>A 37693-2024</t>
        </is>
      </c>
      <c r="B623" t="inlineStr">
        <is>
          <t>avverkningsanmälan</t>
        </is>
      </c>
      <c r="C623" t="inlineStr">
        <is>
          <t>Föryngringsavverkning</t>
        </is>
      </c>
      <c r="D623" s="1" t="n">
        <v>45541</v>
      </c>
      <c r="E623" s="1" t="n">
        <v>46272</v>
      </c>
      <c r="F623" t="inlineStr">
        <is>
          <t>GÄVLEBORGS LÄN</t>
        </is>
      </c>
      <c r="G623" t="inlineStr">
        <is>
          <t>HUDIKSVALL</t>
        </is>
      </c>
      <c r="H623" t="inlineStr">
        <is>
          <t>Kommuner</t>
        </is>
      </c>
      <c r="I623" t="n">
        <v>2.6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t="n">
        <v>0</v>
      </c>
      <c r="S623" t="n">
        <v>0</v>
      </c>
      <c r="T623" t="n">
        <v>0</v>
      </c>
      <c r="U623" t="n">
        <v>0</v>
      </c>
      <c r="V623" s="2" t="inlineStr"/>
    </row>
    <row r="624" ht="15" customHeight="1">
      <c r="A624" t="inlineStr">
        <is>
          <t>A 15964-2025</t>
        </is>
      </c>
      <c r="B624" t="inlineStr">
        <is>
          <t>avverkningsanmälan</t>
        </is>
      </c>
      <c r="C624" t="inlineStr">
        <is>
          <t>Föryngringsavverkning</t>
        </is>
      </c>
      <c r="D624" s="1" t="n">
        <v>45749</v>
      </c>
      <c r="E624" s="1" t="n">
        <v>46272</v>
      </c>
      <c r="F624" t="inlineStr">
        <is>
          <t>GÄVLEBORGS LÄN</t>
        </is>
      </c>
      <c r="G624" t="inlineStr">
        <is>
          <t>HUDIKSVALL</t>
        </is>
      </c>
      <c r="I624" t="n">
        <v>3.5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t="n">
        <v>0</v>
      </c>
      <c r="S624" t="n">
        <v>0</v>
      </c>
      <c r="T624" t="n">
        <v>0</v>
      </c>
      <c r="U624" t="n">
        <v>0</v>
      </c>
      <c r="V624" s="2" t="inlineStr"/>
    </row>
    <row r="625" ht="15" customHeight="1">
      <c r="A625" t="inlineStr">
        <is>
          <t>A 38077-2025</t>
        </is>
      </c>
      <c r="B625" t="inlineStr">
        <is>
          <t>avverkningsanmälan</t>
        </is>
      </c>
      <c r="C625" t="inlineStr">
        <is>
          <t>Föryngringsavverkning</t>
        </is>
      </c>
      <c r="D625" s="1" t="n">
        <v>45882</v>
      </c>
      <c r="E625" s="1" t="n">
        <v>46272</v>
      </c>
      <c r="F625" t="inlineStr">
        <is>
          <t>GÄVLEBORGS LÄN</t>
        </is>
      </c>
      <c r="G625" t="inlineStr">
        <is>
          <t>HUDIKSVALL</t>
        </is>
      </c>
      <c r="I625" t="n">
        <v>4.5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t="n">
        <v>0</v>
      </c>
      <c r="S625" t="n">
        <v>0</v>
      </c>
      <c r="T625" t="n">
        <v>0</v>
      </c>
      <c r="U625" t="n">
        <v>0</v>
      </c>
      <c r="V625" s="2" t="inlineStr"/>
    </row>
    <row r="626" ht="15" customHeight="1">
      <c r="A626" t="inlineStr">
        <is>
          <t>A 4783-2026</t>
        </is>
      </c>
      <c r="B626" t="inlineStr">
        <is>
          <t>avverkningsanmälan</t>
        </is>
      </c>
      <c r="C626" t="inlineStr">
        <is>
          <t>Avverkning för annat ändamål</t>
        </is>
      </c>
      <c r="D626" s="1" t="n">
        <v>46048</v>
      </c>
      <c r="E626" s="1" t="n">
        <v>46272</v>
      </c>
      <c r="F626" t="inlineStr">
        <is>
          <t>GÄVLEBORGS LÄN</t>
        </is>
      </c>
      <c r="G626" t="inlineStr">
        <is>
          <t>HUDIKSVALL</t>
        </is>
      </c>
      <c r="I626" t="n">
        <v>0.3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t="n">
        <v>0</v>
      </c>
      <c r="S626" t="n">
        <v>0</v>
      </c>
      <c r="T626" t="n">
        <v>0</v>
      </c>
      <c r="U626" t="n">
        <v>0</v>
      </c>
      <c r="V626" s="2" t="inlineStr"/>
    </row>
    <row r="627" ht="15" customHeight="1">
      <c r="A627" t="inlineStr">
        <is>
          <t>A 4611-2026</t>
        </is>
      </c>
      <c r="B627" t="inlineStr">
        <is>
          <t>avverkningsanmälan</t>
        </is>
      </c>
      <c r="C627" t="inlineStr">
        <is>
          <t>Föryngringsavverkning</t>
        </is>
      </c>
      <c r="D627" s="1" t="n">
        <v>46048</v>
      </c>
      <c r="E627" s="1" t="n">
        <v>46272</v>
      </c>
      <c r="F627" t="inlineStr">
        <is>
          <t>GÄVLEBORGS LÄN</t>
        </is>
      </c>
      <c r="G627" t="inlineStr">
        <is>
          <t>HUDIKSVALL</t>
        </is>
      </c>
      <c r="I627" t="n">
        <v>4.6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t="n">
        <v>0</v>
      </c>
      <c r="S627" t="n">
        <v>0</v>
      </c>
      <c r="T627" t="n">
        <v>0</v>
      </c>
      <c r="U627" t="n">
        <v>0</v>
      </c>
      <c r="V627" s="2" t="inlineStr"/>
    </row>
    <row r="628" ht="15" customHeight="1">
      <c r="A628" t="inlineStr">
        <is>
          <t>A 4323-2026</t>
        </is>
      </c>
      <c r="B628" t="inlineStr">
        <is>
          <t>avverkningsanmälan</t>
        </is>
      </c>
      <c r="C628" t="inlineStr">
        <is>
          <t>Föryngringsavverkning</t>
        </is>
      </c>
      <c r="D628" s="1" t="n">
        <v>46045</v>
      </c>
      <c r="E628" s="1" t="n">
        <v>46272</v>
      </c>
      <c r="F628" t="inlineStr">
        <is>
          <t>GÄVLEBORGS LÄN</t>
        </is>
      </c>
      <c r="G628" t="inlineStr">
        <is>
          <t>HUDIKSVALL</t>
        </is>
      </c>
      <c r="H628" t="inlineStr">
        <is>
          <t>Holmen skog AB</t>
        </is>
      </c>
      <c r="I628" t="n">
        <v>1.8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t="n">
        <v>0</v>
      </c>
      <c r="S628" t="n">
        <v>0</v>
      </c>
      <c r="T628" t="n">
        <v>0</v>
      </c>
      <c r="U628" t="n">
        <v>0</v>
      </c>
      <c r="V628" s="2" t="inlineStr"/>
    </row>
    <row r="629" ht="15" customHeight="1">
      <c r="A629" t="inlineStr">
        <is>
          <t>A 5049-2026</t>
        </is>
      </c>
      <c r="B629" t="inlineStr">
        <is>
          <t>avverkningsanmälan</t>
        </is>
      </c>
      <c r="C629" t="inlineStr">
        <is>
          <t>Föryngringsavverkning</t>
        </is>
      </c>
      <c r="D629" s="1" t="n">
        <v>46049</v>
      </c>
      <c r="E629" s="1" t="n">
        <v>46272</v>
      </c>
      <c r="F629" t="inlineStr">
        <is>
          <t>GÄVLEBORGS LÄN</t>
        </is>
      </c>
      <c r="G629" t="inlineStr">
        <is>
          <t>HUDIKSVALL</t>
        </is>
      </c>
      <c r="I629" t="n">
        <v>0.8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t="n">
        <v>0</v>
      </c>
      <c r="S629" t="n">
        <v>0</v>
      </c>
      <c r="T629" t="n">
        <v>0</v>
      </c>
      <c r="U629" t="n">
        <v>0</v>
      </c>
      <c r="V629" s="2" t="inlineStr"/>
    </row>
    <row r="630" ht="15" customHeight="1">
      <c r="A630" t="inlineStr">
        <is>
          <t>A 4604-2026</t>
        </is>
      </c>
      <c r="B630" t="inlineStr">
        <is>
          <t>avverkningsanmälan</t>
        </is>
      </c>
      <c r="C630" t="inlineStr">
        <is>
          <t>Föryngringsavverkning</t>
        </is>
      </c>
      <c r="D630" s="1" t="n">
        <v>46048</v>
      </c>
      <c r="E630" s="1" t="n">
        <v>46272</v>
      </c>
      <c r="F630" t="inlineStr">
        <is>
          <t>GÄVLEBORGS LÄN</t>
        </is>
      </c>
      <c r="G630" t="inlineStr">
        <is>
          <t>HUDIKSVALL</t>
        </is>
      </c>
      <c r="I630" t="n">
        <v>5.1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t="n">
        <v>0</v>
      </c>
      <c r="S630" t="n">
        <v>0</v>
      </c>
      <c r="T630" t="n">
        <v>0</v>
      </c>
      <c r="U630" t="n">
        <v>0</v>
      </c>
      <c r="V630" s="2" t="inlineStr"/>
    </row>
    <row r="631" ht="15" customHeight="1">
      <c r="A631" t="inlineStr">
        <is>
          <t>A 38259-2025</t>
        </is>
      </c>
      <c r="B631" t="inlineStr">
        <is>
          <t>avverkningsanmälan</t>
        </is>
      </c>
      <c r="C631" t="inlineStr">
        <is>
          <t>Föryngringsavverkning</t>
        </is>
      </c>
      <c r="D631" s="1" t="n">
        <v>45883</v>
      </c>
      <c r="E631" s="1" t="n">
        <v>46272</v>
      </c>
      <c r="F631" t="inlineStr">
        <is>
          <t>GÄVLEBORGS LÄN</t>
        </is>
      </c>
      <c r="G631" t="inlineStr">
        <is>
          <t>HUDIKSVALL</t>
        </is>
      </c>
      <c r="I631" t="n">
        <v>3.3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t="n">
        <v>0</v>
      </c>
      <c r="S631" t="n">
        <v>0</v>
      </c>
      <c r="T631" t="n">
        <v>0</v>
      </c>
      <c r="U631" t="n">
        <v>0</v>
      </c>
      <c r="V631" s="2" t="inlineStr"/>
    </row>
    <row r="632" ht="15" customHeight="1">
      <c r="A632" t="inlineStr">
        <is>
          <t>A 4843-2026</t>
        </is>
      </c>
      <c r="B632" t="inlineStr">
        <is>
          <t>avverkningsanmälan</t>
        </is>
      </c>
      <c r="C632" t="inlineStr">
        <is>
          <t>Föryngringsavverkning</t>
        </is>
      </c>
      <c r="D632" s="1" t="n">
        <v>46048</v>
      </c>
      <c r="E632" s="1" t="n">
        <v>46272</v>
      </c>
      <c r="F632" t="inlineStr">
        <is>
          <t>GÄVLEBORGS LÄN</t>
        </is>
      </c>
      <c r="G632" t="inlineStr">
        <is>
          <t>HUDIKSVALL</t>
        </is>
      </c>
      <c r="I632" t="n">
        <v>4.2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t="n">
        <v>0</v>
      </c>
      <c r="S632" t="n">
        <v>0</v>
      </c>
      <c r="T632" t="n">
        <v>0</v>
      </c>
      <c r="U632" t="n">
        <v>0</v>
      </c>
      <c r="V632" s="2" t="inlineStr"/>
    </row>
    <row r="633" ht="15" customHeight="1">
      <c r="A633" t="inlineStr">
        <is>
          <t>A 4875-2026</t>
        </is>
      </c>
      <c r="B633" t="inlineStr">
        <is>
          <t>avverkningsanmälan</t>
        </is>
      </c>
      <c r="C633" t="inlineStr">
        <is>
          <t>Föryngringsavverkning</t>
        </is>
      </c>
      <c r="D633" s="1" t="n">
        <v>46048</v>
      </c>
      <c r="E633" s="1" t="n">
        <v>46272</v>
      </c>
      <c r="F633" t="inlineStr">
        <is>
          <t>GÄVLEBORGS LÄN</t>
        </is>
      </c>
      <c r="G633" t="inlineStr">
        <is>
          <t>HUDIKSVALL</t>
        </is>
      </c>
      <c r="I633" t="n">
        <v>1.3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t="n">
        <v>0</v>
      </c>
      <c r="S633" t="n">
        <v>0</v>
      </c>
      <c r="T633" t="n">
        <v>0</v>
      </c>
      <c r="U633" t="n">
        <v>0</v>
      </c>
      <c r="V633" s="2" t="inlineStr"/>
    </row>
    <row r="634" ht="15" customHeight="1">
      <c r="A634" t="inlineStr">
        <is>
          <t>A 5635-2026</t>
        </is>
      </c>
      <c r="B634" t="inlineStr">
        <is>
          <t>avverkningsanmälan</t>
        </is>
      </c>
      <c r="C634" t="inlineStr">
        <is>
          <t>Föryngringsavverkning</t>
        </is>
      </c>
      <c r="D634" s="1" t="n">
        <v>46051</v>
      </c>
      <c r="E634" s="1" t="n">
        <v>46272</v>
      </c>
      <c r="F634" t="inlineStr">
        <is>
          <t>GÄVLEBORGS LÄN</t>
        </is>
      </c>
      <c r="G634" t="inlineStr">
        <is>
          <t>HUDIKSVALL</t>
        </is>
      </c>
      <c r="I634" t="n">
        <v>5.6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t="n">
        <v>0</v>
      </c>
      <c r="S634" t="n">
        <v>0</v>
      </c>
      <c r="T634" t="n">
        <v>0</v>
      </c>
      <c r="U634" t="n">
        <v>0</v>
      </c>
      <c r="V634" s="2" t="inlineStr"/>
    </row>
    <row r="635" ht="15" customHeight="1">
      <c r="A635" t="inlineStr">
        <is>
          <t>A 72083-2021</t>
        </is>
      </c>
      <c r="B635" t="inlineStr">
        <is>
          <t>avverkningsanmälan</t>
        </is>
      </c>
      <c r="C635" t="inlineStr">
        <is>
          <t>Föryngringsavverkning</t>
        </is>
      </c>
      <c r="D635" s="1" t="n">
        <v>44544</v>
      </c>
      <c r="E635" s="1" t="n">
        <v>46272</v>
      </c>
      <c r="F635" t="inlineStr">
        <is>
          <t>GÄVLEBORGS LÄN</t>
        </is>
      </c>
      <c r="G635" t="inlineStr">
        <is>
          <t>HUDIKSVALL</t>
        </is>
      </c>
      <c r="I635" t="n">
        <v>1.4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t="n">
        <v>0</v>
      </c>
      <c r="S635" t="n">
        <v>0</v>
      </c>
      <c r="T635" t="n">
        <v>0</v>
      </c>
      <c r="U635" t="n">
        <v>0</v>
      </c>
      <c r="V635" s="2" t="inlineStr"/>
    </row>
    <row r="636" ht="15" customHeight="1">
      <c r="A636" t="inlineStr">
        <is>
          <t>A 5451-2026</t>
        </is>
      </c>
      <c r="B636" t="inlineStr">
        <is>
          <t>avverkningsanmälan</t>
        </is>
      </c>
      <c r="C636" t="inlineStr">
        <is>
          <t>Föryngringsavverkning</t>
        </is>
      </c>
      <c r="D636" s="1" t="n">
        <v>46050</v>
      </c>
      <c r="E636" s="1" t="n">
        <v>46272</v>
      </c>
      <c r="F636" t="inlineStr">
        <is>
          <t>GÄVLEBORGS LÄN</t>
        </is>
      </c>
      <c r="G636" t="inlineStr">
        <is>
          <t>HUDIKSVALL</t>
        </is>
      </c>
      <c r="I636" t="n">
        <v>3.4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t="n">
        <v>0</v>
      </c>
      <c r="S636" t="n">
        <v>0</v>
      </c>
      <c r="T636" t="n">
        <v>0</v>
      </c>
      <c r="U636" t="n">
        <v>0</v>
      </c>
      <c r="V636" s="2" t="inlineStr"/>
    </row>
    <row r="637" ht="15" customHeight="1">
      <c r="A637" t="inlineStr">
        <is>
          <t>A 5420-2026</t>
        </is>
      </c>
      <c r="B637" t="inlineStr">
        <is>
          <t>avverkningsanmälan</t>
        </is>
      </c>
      <c r="C637" t="inlineStr">
        <is>
          <t>Föryngringsavverkning</t>
        </is>
      </c>
      <c r="D637" s="1" t="n">
        <v>46050</v>
      </c>
      <c r="E637" s="1" t="n">
        <v>46272</v>
      </c>
      <c r="F637" t="inlineStr">
        <is>
          <t>GÄVLEBORGS LÄN</t>
        </is>
      </c>
      <c r="G637" t="inlineStr">
        <is>
          <t>HUDIKSVALL</t>
        </is>
      </c>
      <c r="I637" t="n">
        <v>3.2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t="n">
        <v>0</v>
      </c>
      <c r="S637" t="n">
        <v>0</v>
      </c>
      <c r="T637" t="n">
        <v>0</v>
      </c>
      <c r="U637" t="n">
        <v>0</v>
      </c>
      <c r="V637" s="2" t="inlineStr"/>
    </row>
    <row r="638" ht="15" customHeight="1">
      <c r="A638" t="inlineStr">
        <is>
          <t>A 71408-2021</t>
        </is>
      </c>
      <c r="B638" t="inlineStr">
        <is>
          <t>avverkningsanmälan</t>
        </is>
      </c>
      <c r="C638" t="inlineStr">
        <is>
          <t>Föryngringsavverkning</t>
        </is>
      </c>
      <c r="D638" s="1" t="n">
        <v>44540</v>
      </c>
      <c r="E638" s="1" t="n">
        <v>46272</v>
      </c>
      <c r="F638" t="inlineStr">
        <is>
          <t>GÄVLEBORGS LÄN</t>
        </is>
      </c>
      <c r="G638" t="inlineStr">
        <is>
          <t>HUDIKSVALL</t>
        </is>
      </c>
      <c r="H638" t="inlineStr">
        <is>
          <t>Holmen skog AB</t>
        </is>
      </c>
      <c r="I638" t="n">
        <v>1.5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t="n">
        <v>0</v>
      </c>
      <c r="S638" t="n">
        <v>0</v>
      </c>
      <c r="T638" t="n">
        <v>0</v>
      </c>
      <c r="U638" t="n">
        <v>0</v>
      </c>
      <c r="V638" s="2" t="inlineStr"/>
    </row>
    <row r="639" ht="15" customHeight="1">
      <c r="A639" t="inlineStr">
        <is>
          <t>A 5560-2026</t>
        </is>
      </c>
      <c r="B639" t="inlineStr">
        <is>
          <t>avverkningsanmälan</t>
        </is>
      </c>
      <c r="C639" t="inlineStr">
        <is>
          <t>Föryngringsavverkning</t>
        </is>
      </c>
      <c r="D639" s="1" t="n">
        <v>46050</v>
      </c>
      <c r="E639" s="1" t="n">
        <v>46272</v>
      </c>
      <c r="F639" t="inlineStr">
        <is>
          <t>GÄVLEBORGS LÄN</t>
        </is>
      </c>
      <c r="G639" t="inlineStr">
        <is>
          <t>HUDIKSVALL</t>
        </is>
      </c>
      <c r="I639" t="n">
        <v>1.4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t="n">
        <v>0</v>
      </c>
      <c r="S639" t="n">
        <v>0</v>
      </c>
      <c r="T639" t="n">
        <v>0</v>
      </c>
      <c r="U639" t="n">
        <v>0</v>
      </c>
      <c r="V639" s="2" t="inlineStr"/>
    </row>
    <row r="640" ht="15" customHeight="1">
      <c r="A640" t="inlineStr">
        <is>
          <t>A 5634-2026</t>
        </is>
      </c>
      <c r="B640" t="inlineStr">
        <is>
          <t>avverkningsanmälan</t>
        </is>
      </c>
      <c r="C640" t="inlineStr">
        <is>
          <t>Föryngringsavverkning</t>
        </is>
      </c>
      <c r="D640" s="1" t="n">
        <v>46051</v>
      </c>
      <c r="E640" s="1" t="n">
        <v>46272</v>
      </c>
      <c r="F640" t="inlineStr">
        <is>
          <t>GÄVLEBORGS LÄN</t>
        </is>
      </c>
      <c r="G640" t="inlineStr">
        <is>
          <t>HUDIKSVALL</t>
        </is>
      </c>
      <c r="I640" t="n">
        <v>2.4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t="n">
        <v>0</v>
      </c>
      <c r="S640" t="n">
        <v>0</v>
      </c>
      <c r="T640" t="n">
        <v>0</v>
      </c>
      <c r="U640" t="n">
        <v>0</v>
      </c>
      <c r="V640" s="2" t="inlineStr"/>
    </row>
    <row r="641" ht="15" customHeight="1">
      <c r="A641" t="inlineStr">
        <is>
          <t>A 5250-2026</t>
        </is>
      </c>
      <c r="B641" t="inlineStr">
        <is>
          <t>avverkningsanmälan</t>
        </is>
      </c>
      <c r="C641" t="inlineStr">
        <is>
          <t>Föryngringsavverkning</t>
        </is>
      </c>
      <c r="D641" s="1" t="n">
        <v>46049</v>
      </c>
      <c r="E641" s="1" t="n">
        <v>46272</v>
      </c>
      <c r="F641" t="inlineStr">
        <is>
          <t>GÄVLEBORGS LÄN</t>
        </is>
      </c>
      <c r="G641" t="inlineStr">
        <is>
          <t>HUDIKSVALL</t>
        </is>
      </c>
      <c r="I641" t="n">
        <v>1.2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t="n">
        <v>0</v>
      </c>
      <c r="S641" t="n">
        <v>0</v>
      </c>
      <c r="T641" t="n">
        <v>0</v>
      </c>
      <c r="U641" t="n">
        <v>0</v>
      </c>
      <c r="V641" s="2" t="inlineStr"/>
    </row>
    <row r="642" ht="15" customHeight="1">
      <c r="A642" t="inlineStr">
        <is>
          <t>A 5610-2026</t>
        </is>
      </c>
      <c r="B642" t="inlineStr">
        <is>
          <t>avverkningsanmälan</t>
        </is>
      </c>
      <c r="C642" t="inlineStr">
        <is>
          <t>Föryngringsavverkning</t>
        </is>
      </c>
      <c r="D642" s="1" t="n">
        <v>46051</v>
      </c>
      <c r="E642" s="1" t="n">
        <v>46272</v>
      </c>
      <c r="F642" t="inlineStr">
        <is>
          <t>GÄVLEBORGS LÄN</t>
        </is>
      </c>
      <c r="G642" t="inlineStr">
        <is>
          <t>HUDIKSVALL</t>
        </is>
      </c>
      <c r="I642" t="n">
        <v>1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t="n">
        <v>0</v>
      </c>
      <c r="S642" t="n">
        <v>0</v>
      </c>
      <c r="T642" t="n">
        <v>0</v>
      </c>
      <c r="U642" t="n">
        <v>0</v>
      </c>
      <c r="V642" s="2" t="inlineStr"/>
    </row>
    <row r="643" ht="15" customHeight="1">
      <c r="A643" t="inlineStr">
        <is>
          <t>A 5447-2026</t>
        </is>
      </c>
      <c r="B643" t="inlineStr">
        <is>
          <t>avverkningsanmälan</t>
        </is>
      </c>
      <c r="C643" t="inlineStr">
        <is>
          <t>Föryngringsavverkning</t>
        </is>
      </c>
      <c r="D643" s="1" t="n">
        <v>46050</v>
      </c>
      <c r="E643" s="1" t="n">
        <v>46272</v>
      </c>
      <c r="F643" t="inlineStr">
        <is>
          <t>GÄVLEBORGS LÄN</t>
        </is>
      </c>
      <c r="G643" t="inlineStr">
        <is>
          <t>HUDIKSVALL</t>
        </is>
      </c>
      <c r="I643" t="n">
        <v>2.2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t="n">
        <v>0</v>
      </c>
      <c r="S643" t="n">
        <v>0</v>
      </c>
      <c r="T643" t="n">
        <v>0</v>
      </c>
      <c r="U643" t="n">
        <v>0</v>
      </c>
      <c r="V643" s="2" t="inlineStr"/>
    </row>
    <row r="644" ht="15" customHeight="1">
      <c r="A644" t="inlineStr">
        <is>
          <t>A 6066-2026</t>
        </is>
      </c>
      <c r="B644" t="inlineStr">
        <is>
          <t>avverkningsanmälan</t>
        </is>
      </c>
      <c r="C644" t="inlineStr">
        <is>
          <t>Föryngringsavverkning</t>
        </is>
      </c>
      <c r="D644" s="1" t="n">
        <v>46052</v>
      </c>
      <c r="E644" s="1" t="n">
        <v>46272</v>
      </c>
      <c r="F644" t="inlineStr">
        <is>
          <t>GÄVLEBORGS LÄN</t>
        </is>
      </c>
      <c r="G644" t="inlineStr">
        <is>
          <t>HUDIKSVALL</t>
        </is>
      </c>
      <c r="I644" t="n">
        <v>2.5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t="n">
        <v>0</v>
      </c>
      <c r="S644" t="n">
        <v>0</v>
      </c>
      <c r="T644" t="n">
        <v>0</v>
      </c>
      <c r="U644" t="n">
        <v>0</v>
      </c>
      <c r="V644" s="2" t="inlineStr"/>
    </row>
    <row r="645" ht="15" customHeight="1">
      <c r="A645" t="inlineStr">
        <is>
          <t>A 6198-2026</t>
        </is>
      </c>
      <c r="B645" t="inlineStr">
        <is>
          <t>avverkningsanmälan</t>
        </is>
      </c>
      <c r="C645" t="inlineStr">
        <is>
          <t>Föryngringsavverkning</t>
        </is>
      </c>
      <c r="D645" s="1" t="n">
        <v>46055</v>
      </c>
      <c r="E645" s="1" t="n">
        <v>46272</v>
      </c>
      <c r="F645" t="inlineStr">
        <is>
          <t>GÄVLEBORGS LÄN</t>
        </is>
      </c>
      <c r="G645" t="inlineStr">
        <is>
          <t>HUDIKSVALL</t>
        </is>
      </c>
      <c r="I645" t="n">
        <v>1.3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t="n">
        <v>0</v>
      </c>
      <c r="S645" t="n">
        <v>0</v>
      </c>
      <c r="T645" t="n">
        <v>0</v>
      </c>
      <c r="U645" t="n">
        <v>0</v>
      </c>
      <c r="V645" s="2" t="inlineStr"/>
    </row>
    <row r="646" ht="15" customHeight="1">
      <c r="A646" t="inlineStr">
        <is>
          <t>A 6369-2026</t>
        </is>
      </c>
      <c r="B646" t="inlineStr">
        <is>
          <t>avverkningsanmälan</t>
        </is>
      </c>
      <c r="C646" t="inlineStr">
        <is>
          <t>Föryngringsavverkning</t>
        </is>
      </c>
      <c r="D646" s="1" t="n">
        <v>46055</v>
      </c>
      <c r="E646" s="1" t="n">
        <v>46272</v>
      </c>
      <c r="F646" t="inlineStr">
        <is>
          <t>GÄVLEBORGS LÄN</t>
        </is>
      </c>
      <c r="G646" t="inlineStr">
        <is>
          <t>HUDIKSVALL</t>
        </is>
      </c>
      <c r="I646" t="n">
        <v>4.5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t="n">
        <v>0</v>
      </c>
      <c r="S646" t="n">
        <v>0</v>
      </c>
      <c r="T646" t="n">
        <v>0</v>
      </c>
      <c r="U646" t="n">
        <v>0</v>
      </c>
      <c r="V646" s="2" t="inlineStr"/>
    </row>
    <row r="647" ht="15" customHeight="1">
      <c r="A647" t="inlineStr">
        <is>
          <t>A 5844-2026</t>
        </is>
      </c>
      <c r="B647" t="inlineStr">
        <is>
          <t>avverkningsanmälan</t>
        </is>
      </c>
      <c r="C647" t="inlineStr">
        <is>
          <t>Föryngringsavverkning</t>
        </is>
      </c>
      <c r="D647" s="1" t="n">
        <v>46052</v>
      </c>
      <c r="E647" s="1" t="n">
        <v>46272</v>
      </c>
      <c r="F647" t="inlineStr">
        <is>
          <t>GÄVLEBORGS LÄN</t>
        </is>
      </c>
      <c r="G647" t="inlineStr">
        <is>
          <t>HUDIKSVALL</t>
        </is>
      </c>
      <c r="I647" t="n">
        <v>2.1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t="n">
        <v>0</v>
      </c>
      <c r="S647" t="n">
        <v>0</v>
      </c>
      <c r="T647" t="n">
        <v>0</v>
      </c>
      <c r="U647" t="n">
        <v>0</v>
      </c>
      <c r="V647" s="2" t="inlineStr"/>
    </row>
    <row r="648" ht="15" customHeight="1">
      <c r="A648" t="inlineStr">
        <is>
          <t>A 6061-2026</t>
        </is>
      </c>
      <c r="B648" t="inlineStr">
        <is>
          <t>avverkningsanmälan</t>
        </is>
      </c>
      <c r="C648" t="inlineStr">
        <is>
          <t>Föryngringsavverkning</t>
        </is>
      </c>
      <c r="D648" s="1" t="n">
        <v>46052</v>
      </c>
      <c r="E648" s="1" t="n">
        <v>46272</v>
      </c>
      <c r="F648" t="inlineStr">
        <is>
          <t>GÄVLEBORGS LÄN</t>
        </is>
      </c>
      <c r="G648" t="inlineStr">
        <is>
          <t>HUDIKSVALL</t>
        </is>
      </c>
      <c r="I648" t="n">
        <v>2.9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t="n">
        <v>0</v>
      </c>
      <c r="S648" t="n">
        <v>0</v>
      </c>
      <c r="T648" t="n">
        <v>0</v>
      </c>
      <c r="U648" t="n">
        <v>0</v>
      </c>
      <c r="V648" s="2" t="inlineStr"/>
    </row>
    <row r="649" ht="15" customHeight="1">
      <c r="A649" t="inlineStr">
        <is>
          <t>A 6054-2026</t>
        </is>
      </c>
      <c r="B649" t="inlineStr">
        <is>
          <t>avverkningsanmälan</t>
        </is>
      </c>
      <c r="C649" t="inlineStr">
        <is>
          <t>Föryngringsavverkning</t>
        </is>
      </c>
      <c r="D649" s="1" t="n">
        <v>46052</v>
      </c>
      <c r="E649" s="1" t="n">
        <v>46272</v>
      </c>
      <c r="F649" t="inlineStr">
        <is>
          <t>GÄVLEBORGS LÄN</t>
        </is>
      </c>
      <c r="G649" t="inlineStr">
        <is>
          <t>HUDIKSVALL</t>
        </is>
      </c>
      <c r="I649" t="n">
        <v>1.4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t="n">
        <v>0</v>
      </c>
      <c r="S649" t="n">
        <v>0</v>
      </c>
      <c r="T649" t="n">
        <v>0</v>
      </c>
      <c r="U649" t="n">
        <v>0</v>
      </c>
      <c r="V649" s="2" t="inlineStr"/>
    </row>
    <row r="650" ht="15" customHeight="1">
      <c r="A650" t="inlineStr">
        <is>
          <t>A 6294-2026</t>
        </is>
      </c>
      <c r="B650" t="inlineStr">
        <is>
          <t>avverkningsanmälan</t>
        </is>
      </c>
      <c r="C650" t="inlineStr">
        <is>
          <t>Föryngringsavverkning</t>
        </is>
      </c>
      <c r="D650" s="1" t="n">
        <v>46055</v>
      </c>
      <c r="E650" s="1" t="n">
        <v>46272</v>
      </c>
      <c r="F650" t="inlineStr">
        <is>
          <t>GÄVLEBORGS LÄN</t>
        </is>
      </c>
      <c r="G650" t="inlineStr">
        <is>
          <t>HUDIKSVALL</t>
        </is>
      </c>
      <c r="I650" t="n">
        <v>14.2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t="n">
        <v>0</v>
      </c>
      <c r="S650" t="n">
        <v>0</v>
      </c>
      <c r="T650" t="n">
        <v>0</v>
      </c>
      <c r="U650" t="n">
        <v>0</v>
      </c>
      <c r="V650" s="2" t="inlineStr"/>
    </row>
    <row r="651" ht="15" customHeight="1">
      <c r="A651" t="inlineStr">
        <is>
          <t>A 6504-2026</t>
        </is>
      </c>
      <c r="B651" t="inlineStr">
        <is>
          <t>avverkningsanmälan</t>
        </is>
      </c>
      <c r="C651" t="inlineStr">
        <is>
          <t>Föryngringsavverkning</t>
        </is>
      </c>
      <c r="D651" s="1" t="n">
        <v>46056</v>
      </c>
      <c r="E651" s="1" t="n">
        <v>46272</v>
      </c>
      <c r="F651" t="inlineStr">
        <is>
          <t>GÄVLEBORGS LÄN</t>
        </is>
      </c>
      <c r="G651" t="inlineStr">
        <is>
          <t>HUDIKSVALL</t>
        </is>
      </c>
      <c r="I651" t="n">
        <v>9.699999999999999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t="n">
        <v>0</v>
      </c>
      <c r="S651" t="n">
        <v>0</v>
      </c>
      <c r="T651" t="n">
        <v>0</v>
      </c>
      <c r="U651" t="n">
        <v>0</v>
      </c>
      <c r="V651" s="2" t="inlineStr"/>
    </row>
    <row r="652" ht="15" customHeight="1">
      <c r="A652" t="inlineStr">
        <is>
          <t>A 33704-2023</t>
        </is>
      </c>
      <c r="B652" t="inlineStr">
        <is>
          <t>avverkningsanmälan</t>
        </is>
      </c>
      <c r="C652" t="inlineStr">
        <is>
          <t>Föryngringsavverkning</t>
        </is>
      </c>
      <c r="D652" s="1" t="n">
        <v>45132</v>
      </c>
      <c r="E652" s="1" t="n">
        <v>46272</v>
      </c>
      <c r="F652" t="inlineStr">
        <is>
          <t>GÄVLEBORGS LÄN</t>
        </is>
      </c>
      <c r="G652" t="inlineStr">
        <is>
          <t>HUDIKSVALL</t>
        </is>
      </c>
      <c r="I652" t="n">
        <v>7.8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t="n">
        <v>0</v>
      </c>
      <c r="S652" t="n">
        <v>0</v>
      </c>
      <c r="T652" t="n">
        <v>0</v>
      </c>
      <c r="U652" t="n">
        <v>0</v>
      </c>
      <c r="V652" s="2" t="inlineStr"/>
    </row>
    <row r="653" ht="15" customHeight="1">
      <c r="A653" t="inlineStr">
        <is>
          <t>A 53755-2025</t>
        </is>
      </c>
      <c r="B653" t="inlineStr">
        <is>
          <t>avverkningsanmälan</t>
        </is>
      </c>
      <c r="C653" t="inlineStr">
        <is>
          <t>Föryngringsavverkning</t>
        </is>
      </c>
      <c r="D653" s="1" t="n">
        <v>45960</v>
      </c>
      <c r="E653" s="1" t="n">
        <v>46272</v>
      </c>
      <c r="F653" t="inlineStr">
        <is>
          <t>GÄVLEBORGS LÄN</t>
        </is>
      </c>
      <c r="G653" t="inlineStr">
        <is>
          <t>HUDIKSVALL</t>
        </is>
      </c>
      <c r="I653" t="n">
        <v>1.1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t="n">
        <v>0</v>
      </c>
      <c r="S653" t="n">
        <v>0</v>
      </c>
      <c r="T653" t="n">
        <v>0</v>
      </c>
      <c r="U653" t="n">
        <v>0</v>
      </c>
      <c r="V653" s="2" t="inlineStr"/>
    </row>
    <row r="654" ht="15" customHeight="1">
      <c r="A654" t="inlineStr">
        <is>
          <t>A 11315-2025</t>
        </is>
      </c>
      <c r="B654" t="inlineStr">
        <is>
          <t>avverkningsanmälan</t>
        </is>
      </c>
      <c r="C654" t="inlineStr">
        <is>
          <t>Föryngringsavverkning</t>
        </is>
      </c>
      <c r="D654" s="1" t="n">
        <v>45726</v>
      </c>
      <c r="E654" s="1" t="n">
        <v>46272</v>
      </c>
      <c r="F654" t="inlineStr">
        <is>
          <t>GÄVLEBORGS LÄN</t>
        </is>
      </c>
      <c r="G654" t="inlineStr">
        <is>
          <t>HUDIKSVALL</t>
        </is>
      </c>
      <c r="H654" t="inlineStr">
        <is>
          <t>Holmen skog AB</t>
        </is>
      </c>
      <c r="I654" t="n">
        <v>9.6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t="n">
        <v>0</v>
      </c>
      <c r="S654" t="n">
        <v>0</v>
      </c>
      <c r="T654" t="n">
        <v>0</v>
      </c>
      <c r="U654" t="n">
        <v>0</v>
      </c>
      <c r="V654" s="2" t="inlineStr"/>
    </row>
    <row r="655" ht="15" customHeight="1">
      <c r="A655" t="inlineStr">
        <is>
          <t>A 6832-2026</t>
        </is>
      </c>
      <c r="B655" t="inlineStr">
        <is>
          <t>avverkningsanmälan</t>
        </is>
      </c>
      <c r="C655" t="inlineStr">
        <is>
          <t>Föryngringsavverkning</t>
        </is>
      </c>
      <c r="D655" s="1" t="n">
        <v>46057</v>
      </c>
      <c r="E655" s="1" t="n">
        <v>46272</v>
      </c>
      <c r="F655" t="inlineStr">
        <is>
          <t>GÄVLEBORGS LÄN</t>
        </is>
      </c>
      <c r="G655" t="inlineStr">
        <is>
          <t>HUDIKSVALL</t>
        </is>
      </c>
      <c r="I655" t="n">
        <v>1.4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t="n">
        <v>0</v>
      </c>
      <c r="S655" t="n">
        <v>0</v>
      </c>
      <c r="T655" t="n">
        <v>0</v>
      </c>
      <c r="U655" t="n">
        <v>0</v>
      </c>
      <c r="V655" s="2" t="inlineStr"/>
    </row>
    <row r="656" ht="15" customHeight="1">
      <c r="A656" t="inlineStr">
        <is>
          <t>A 6849-2026</t>
        </is>
      </c>
      <c r="B656" t="inlineStr">
        <is>
          <t>avverkningsanmälan</t>
        </is>
      </c>
      <c r="C656" t="inlineStr">
        <is>
          <t>Föryngringsavverkning</t>
        </is>
      </c>
      <c r="D656" s="1" t="n">
        <v>46057</v>
      </c>
      <c r="E656" s="1" t="n">
        <v>46272</v>
      </c>
      <c r="F656" t="inlineStr">
        <is>
          <t>GÄVLEBORGS LÄN</t>
        </is>
      </c>
      <c r="G656" t="inlineStr">
        <is>
          <t>HUDIKSVALL</t>
        </is>
      </c>
      <c r="H656" t="inlineStr">
        <is>
          <t>Naturvårdsverket</t>
        </is>
      </c>
      <c r="I656" t="n">
        <v>1.8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t="n">
        <v>0</v>
      </c>
      <c r="S656" t="n">
        <v>0</v>
      </c>
      <c r="T656" t="n">
        <v>0</v>
      </c>
      <c r="U656" t="n">
        <v>0</v>
      </c>
      <c r="V656" s="2" t="inlineStr"/>
    </row>
    <row r="657" ht="15" customHeight="1">
      <c r="A657" t="inlineStr">
        <is>
          <t>A 38142-2024</t>
        </is>
      </c>
      <c r="B657" t="inlineStr">
        <is>
          <t>avverkningsanmälan</t>
        </is>
      </c>
      <c r="C657" t="inlineStr">
        <is>
          <t>Föryngringsavverkning</t>
        </is>
      </c>
      <c r="D657" s="1" t="n">
        <v>45545</v>
      </c>
      <c r="E657" s="1" t="n">
        <v>46272</v>
      </c>
      <c r="F657" t="inlineStr">
        <is>
          <t>GÄVLEBORGS LÄN</t>
        </is>
      </c>
      <c r="G657" t="inlineStr">
        <is>
          <t>HUDIKSVALL</t>
        </is>
      </c>
      <c r="H657" t="inlineStr">
        <is>
          <t>Holmen skog AB</t>
        </is>
      </c>
      <c r="I657" t="n">
        <v>5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t="n">
        <v>0</v>
      </c>
      <c r="S657" t="n">
        <v>0</v>
      </c>
      <c r="T657" t="n">
        <v>0</v>
      </c>
      <c r="U657" t="n">
        <v>0</v>
      </c>
      <c r="V657" s="2" t="inlineStr"/>
    </row>
    <row r="658" ht="15" customHeight="1">
      <c r="A658" t="inlineStr">
        <is>
          <t>A 6826-2026</t>
        </is>
      </c>
      <c r="B658" t="inlineStr">
        <is>
          <t>avverkningsanmälan</t>
        </is>
      </c>
      <c r="C658" t="inlineStr">
        <is>
          <t>Föryngringsavverkning</t>
        </is>
      </c>
      <c r="D658" s="1" t="n">
        <v>46057</v>
      </c>
      <c r="E658" s="1" t="n">
        <v>46272</v>
      </c>
      <c r="F658" t="inlineStr">
        <is>
          <t>GÄVLEBORGS LÄN</t>
        </is>
      </c>
      <c r="G658" t="inlineStr">
        <is>
          <t>HUDIKSVALL</t>
        </is>
      </c>
      <c r="I658" t="n">
        <v>1.1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t="n">
        <v>0</v>
      </c>
      <c r="S658" t="n">
        <v>0</v>
      </c>
      <c r="T658" t="n">
        <v>0</v>
      </c>
      <c r="U658" t="n">
        <v>0</v>
      </c>
      <c r="V658" s="2" t="inlineStr"/>
    </row>
    <row r="659" ht="15" customHeight="1">
      <c r="A659" t="inlineStr">
        <is>
          <t>A 6488-2026</t>
        </is>
      </c>
      <c r="B659" t="inlineStr">
        <is>
          <t>avverkningsanmälan</t>
        </is>
      </c>
      <c r="C659" t="inlineStr">
        <is>
          <t>Föryngringsavverkning</t>
        </is>
      </c>
      <c r="D659" s="1" t="n">
        <v>46056</v>
      </c>
      <c r="E659" s="1" t="n">
        <v>46272</v>
      </c>
      <c r="F659" t="inlineStr">
        <is>
          <t>GÄVLEBORGS LÄN</t>
        </is>
      </c>
      <c r="G659" t="inlineStr">
        <is>
          <t>HUDIKSVALL</t>
        </is>
      </c>
      <c r="I659" t="n">
        <v>0.3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t="n">
        <v>0</v>
      </c>
      <c r="S659" t="n">
        <v>0</v>
      </c>
      <c r="T659" t="n">
        <v>0</v>
      </c>
      <c r="U659" t="n">
        <v>0</v>
      </c>
      <c r="V659" s="2" t="inlineStr"/>
    </row>
    <row r="660" ht="15" customHeight="1">
      <c r="A660" t="inlineStr">
        <is>
          <t>A 6755-2026</t>
        </is>
      </c>
      <c r="B660" t="inlineStr">
        <is>
          <t>avverkningsanmälan</t>
        </is>
      </c>
      <c r="C660" t="inlineStr">
        <is>
          <t>Föryngringsavverkning</t>
        </is>
      </c>
      <c r="D660" s="1" t="n">
        <v>46056</v>
      </c>
      <c r="E660" s="1" t="n">
        <v>46272</v>
      </c>
      <c r="F660" t="inlineStr">
        <is>
          <t>GÄVLEBORGS LÄN</t>
        </is>
      </c>
      <c r="G660" t="inlineStr">
        <is>
          <t>HUDIKSVALL</t>
        </is>
      </c>
      <c r="H660" t="inlineStr">
        <is>
          <t>Holmen skog AB</t>
        </is>
      </c>
      <c r="I660" t="n">
        <v>1.9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t="n">
        <v>0</v>
      </c>
      <c r="S660" t="n">
        <v>0</v>
      </c>
      <c r="T660" t="n">
        <v>0</v>
      </c>
      <c r="U660" t="n">
        <v>0</v>
      </c>
      <c r="V660" s="2" t="inlineStr"/>
    </row>
    <row r="661" ht="15" customHeight="1">
      <c r="A661" t="inlineStr">
        <is>
          <t>A 6487-2026</t>
        </is>
      </c>
      <c r="B661" t="inlineStr">
        <is>
          <t>avverkningsanmälan</t>
        </is>
      </c>
      <c r="C661" t="inlineStr">
        <is>
          <t>Föryngringsavverkning</t>
        </is>
      </c>
      <c r="D661" s="1" t="n">
        <v>46056</v>
      </c>
      <c r="E661" s="1" t="n">
        <v>46272</v>
      </c>
      <c r="F661" t="inlineStr">
        <is>
          <t>GÄVLEBORGS LÄN</t>
        </is>
      </c>
      <c r="G661" t="inlineStr">
        <is>
          <t>HUDIKSVALL</t>
        </is>
      </c>
      <c r="I661" t="n">
        <v>0.6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t="n">
        <v>0</v>
      </c>
      <c r="S661" t="n">
        <v>0</v>
      </c>
      <c r="T661" t="n">
        <v>0</v>
      </c>
      <c r="U661" t="n">
        <v>0</v>
      </c>
      <c r="V661" s="2" t="inlineStr"/>
    </row>
    <row r="662" ht="15" customHeight="1">
      <c r="A662" t="inlineStr">
        <is>
          <t>A 6721-2026</t>
        </is>
      </c>
      <c r="B662" t="inlineStr">
        <is>
          <t>avverkningsanmälan</t>
        </is>
      </c>
      <c r="C662" t="inlineStr">
        <is>
          <t>Föryngringsavverkning</t>
        </is>
      </c>
      <c r="D662" s="1" t="n">
        <v>46056</v>
      </c>
      <c r="E662" s="1" t="n">
        <v>46272</v>
      </c>
      <c r="F662" t="inlineStr">
        <is>
          <t>GÄVLEBORGS LÄN</t>
        </is>
      </c>
      <c r="G662" t="inlineStr">
        <is>
          <t>HUDIKSVALL</t>
        </is>
      </c>
      <c r="I662" t="n">
        <v>0.3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t="n">
        <v>0</v>
      </c>
      <c r="S662" t="n">
        <v>0</v>
      </c>
      <c r="T662" t="n">
        <v>0</v>
      </c>
      <c r="U662" t="n">
        <v>0</v>
      </c>
      <c r="V662" s="2" t="inlineStr"/>
    </row>
    <row r="663" ht="15" customHeight="1">
      <c r="A663" t="inlineStr">
        <is>
          <t>A 6591-2026</t>
        </is>
      </c>
      <c r="B663" t="inlineStr">
        <is>
          <t>avverkningsanmälan</t>
        </is>
      </c>
      <c r="C663" t="inlineStr">
        <is>
          <t>Föryngringsavverkning</t>
        </is>
      </c>
      <c r="D663" s="1" t="n">
        <v>46056</v>
      </c>
      <c r="E663" s="1" t="n">
        <v>46272</v>
      </c>
      <c r="F663" t="inlineStr">
        <is>
          <t>GÄVLEBORGS LÄN</t>
        </is>
      </c>
      <c r="G663" t="inlineStr">
        <is>
          <t>HUDIKSVALL</t>
        </is>
      </c>
      <c r="H663" t="inlineStr">
        <is>
          <t>Holmen skog AB</t>
        </is>
      </c>
      <c r="I663" t="n">
        <v>3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t="n">
        <v>0</v>
      </c>
      <c r="S663" t="n">
        <v>0</v>
      </c>
      <c r="T663" t="n">
        <v>0</v>
      </c>
      <c r="U663" t="n">
        <v>0</v>
      </c>
      <c r="V663" s="2" t="inlineStr"/>
    </row>
    <row r="664" ht="15" customHeight="1">
      <c r="A664" t="inlineStr">
        <is>
          <t>A 9135-2023</t>
        </is>
      </c>
      <c r="B664" t="inlineStr">
        <is>
          <t>avverkningsanmälan</t>
        </is>
      </c>
      <c r="C664" t="inlineStr">
        <is>
          <t>Föryngringsavverkning</t>
        </is>
      </c>
      <c r="D664" s="1" t="n">
        <v>44980</v>
      </c>
      <c r="E664" s="1" t="n">
        <v>46272</v>
      </c>
      <c r="F664" t="inlineStr">
        <is>
          <t>GÄVLEBORGS LÄN</t>
        </is>
      </c>
      <c r="G664" t="inlineStr">
        <is>
          <t>HUDIKSVALL</t>
        </is>
      </c>
      <c r="H664" t="inlineStr">
        <is>
          <t>Holmen skog AB</t>
        </is>
      </c>
      <c r="I664" t="n">
        <v>1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t="n">
        <v>0</v>
      </c>
      <c r="S664" t="n">
        <v>0</v>
      </c>
      <c r="T664" t="n">
        <v>0</v>
      </c>
      <c r="U664" t="n">
        <v>0</v>
      </c>
      <c r="V664" s="2" t="inlineStr"/>
    </row>
    <row r="665" ht="15" customHeight="1">
      <c r="A665" t="inlineStr">
        <is>
          <t>A 53278-2025</t>
        </is>
      </c>
      <c r="B665" t="inlineStr">
        <is>
          <t>avverkningsanmälan</t>
        </is>
      </c>
      <c r="C665" t="inlineStr">
        <is>
          <t>Föryngringsavverkning</t>
        </is>
      </c>
      <c r="D665" s="1" t="n">
        <v>45958</v>
      </c>
      <c r="E665" s="1" t="n">
        <v>46272</v>
      </c>
      <c r="F665" t="inlineStr">
        <is>
          <t>GÄVLEBORGS LÄN</t>
        </is>
      </c>
      <c r="G665" t="inlineStr">
        <is>
          <t>HUDIKSVALL</t>
        </is>
      </c>
      <c r="I665" t="n">
        <v>2.5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t="n">
        <v>0</v>
      </c>
      <c r="S665" t="n">
        <v>0</v>
      </c>
      <c r="T665" t="n">
        <v>0</v>
      </c>
      <c r="U665" t="n">
        <v>0</v>
      </c>
      <c r="V665" s="2" t="inlineStr"/>
    </row>
    <row r="666" ht="15" customHeight="1">
      <c r="A666" t="inlineStr">
        <is>
          <t>A 43929-2023</t>
        </is>
      </c>
      <c r="B666" t="inlineStr">
        <is>
          <t>avverkningsanmälan</t>
        </is>
      </c>
      <c r="C666" t="inlineStr">
        <is>
          <t>Föryngringsavverkning</t>
        </is>
      </c>
      <c r="D666" s="1" t="n">
        <v>45187</v>
      </c>
      <c r="E666" s="1" t="n">
        <v>46272</v>
      </c>
      <c r="F666" t="inlineStr">
        <is>
          <t>GÄVLEBORGS LÄN</t>
        </is>
      </c>
      <c r="G666" t="inlineStr">
        <is>
          <t>HUDIKSVALL</t>
        </is>
      </c>
      <c r="I666" t="n">
        <v>0.8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t="n">
        <v>0</v>
      </c>
      <c r="S666" t="n">
        <v>0</v>
      </c>
      <c r="T666" t="n">
        <v>0</v>
      </c>
      <c r="U666" t="n">
        <v>0</v>
      </c>
      <c r="V666" s="2" t="inlineStr"/>
    </row>
    <row r="667" ht="15" customHeight="1">
      <c r="A667" t="inlineStr">
        <is>
          <t>A 2999-2025</t>
        </is>
      </c>
      <c r="B667" t="inlineStr">
        <is>
          <t>avverkningsanmälan</t>
        </is>
      </c>
      <c r="C667" t="inlineStr">
        <is>
          <t>Föryngringsavverkning</t>
        </is>
      </c>
      <c r="D667" s="1" t="n">
        <v>45678</v>
      </c>
      <c r="E667" s="1" t="n">
        <v>46272</v>
      </c>
      <c r="F667" t="inlineStr">
        <is>
          <t>GÄVLEBORGS LÄN</t>
        </is>
      </c>
      <c r="G667" t="inlineStr">
        <is>
          <t>HUDIKSVALL</t>
        </is>
      </c>
      <c r="I667" t="n">
        <v>1.5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t="n">
        <v>0</v>
      </c>
      <c r="S667" t="n">
        <v>0</v>
      </c>
      <c r="T667" t="n">
        <v>0</v>
      </c>
      <c r="U667" t="n">
        <v>0</v>
      </c>
      <c r="V667" s="2" t="inlineStr"/>
    </row>
    <row r="668" ht="15" customHeight="1">
      <c r="A668" t="inlineStr">
        <is>
          <t>A 7033-2026</t>
        </is>
      </c>
      <c r="B668" t="inlineStr">
        <is>
          <t>avverkningsanmälan</t>
        </is>
      </c>
      <c r="C668" t="inlineStr">
        <is>
          <t>Föryngringsavverkning</t>
        </is>
      </c>
      <c r="D668" s="1" t="n">
        <v>46057</v>
      </c>
      <c r="E668" s="1" t="n">
        <v>46272</v>
      </c>
      <c r="F668" t="inlineStr">
        <is>
          <t>GÄVLEBORGS LÄN</t>
        </is>
      </c>
      <c r="G668" t="inlineStr">
        <is>
          <t>HUDIKSVALL</t>
        </is>
      </c>
      <c r="I668" t="n">
        <v>4.2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t="n">
        <v>0</v>
      </c>
      <c r="S668" t="n">
        <v>0</v>
      </c>
      <c r="T668" t="n">
        <v>0</v>
      </c>
      <c r="U668" t="n">
        <v>0</v>
      </c>
      <c r="V668" s="2" t="inlineStr"/>
    </row>
    <row r="669" ht="15" customHeight="1">
      <c r="A669" t="inlineStr">
        <is>
          <t>A 7048-2026</t>
        </is>
      </c>
      <c r="B669" t="inlineStr">
        <is>
          <t>avverkningsanmälan</t>
        </is>
      </c>
      <c r="C669" t="inlineStr">
        <is>
          <t>Föryngringsavverkning</t>
        </is>
      </c>
      <c r="D669" s="1" t="n">
        <v>46057</v>
      </c>
      <c r="E669" s="1" t="n">
        <v>46272</v>
      </c>
      <c r="F669" t="inlineStr">
        <is>
          <t>GÄVLEBORGS LÄN</t>
        </is>
      </c>
      <c r="G669" t="inlineStr">
        <is>
          <t>HUDIKSVALL</t>
        </is>
      </c>
      <c r="H669" t="inlineStr">
        <is>
          <t>Holmen skog AB</t>
        </is>
      </c>
      <c r="I669" t="n">
        <v>7.6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t="n">
        <v>0</v>
      </c>
      <c r="S669" t="n">
        <v>0</v>
      </c>
      <c r="T669" t="n">
        <v>0</v>
      </c>
      <c r="U669" t="n">
        <v>0</v>
      </c>
      <c r="V669" s="2" t="inlineStr"/>
    </row>
    <row r="670" ht="15" customHeight="1">
      <c r="A670" t="inlineStr">
        <is>
          <t>A 7137-2026</t>
        </is>
      </c>
      <c r="B670" t="inlineStr">
        <is>
          <t>avverkningsanmälan</t>
        </is>
      </c>
      <c r="C670" t="inlineStr">
        <is>
          <t>Föryngringsavverkning</t>
        </is>
      </c>
      <c r="D670" s="1" t="n">
        <v>46058</v>
      </c>
      <c r="E670" s="1" t="n">
        <v>46272</v>
      </c>
      <c r="F670" t="inlineStr">
        <is>
          <t>GÄVLEBORGS LÄN</t>
        </is>
      </c>
      <c r="G670" t="inlineStr">
        <is>
          <t>HUDIKSVALL</t>
        </is>
      </c>
      <c r="I670" t="n">
        <v>2.3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t="n">
        <v>0</v>
      </c>
      <c r="S670" t="n">
        <v>0</v>
      </c>
      <c r="T670" t="n">
        <v>0</v>
      </c>
      <c r="U670" t="n">
        <v>0</v>
      </c>
      <c r="V670" s="2" t="inlineStr"/>
    </row>
    <row r="671" ht="15" customHeight="1">
      <c r="A671" t="inlineStr">
        <is>
          <t>A 7141-2026</t>
        </is>
      </c>
      <c r="B671" t="inlineStr">
        <is>
          <t>avverkningsanmälan</t>
        </is>
      </c>
      <c r="C671" t="inlineStr">
        <is>
          <t>Föryngringsavverkning</t>
        </is>
      </c>
      <c r="D671" s="1" t="n">
        <v>46058</v>
      </c>
      <c r="E671" s="1" t="n">
        <v>46272</v>
      </c>
      <c r="F671" t="inlineStr">
        <is>
          <t>GÄVLEBORGS LÄN</t>
        </is>
      </c>
      <c r="G671" t="inlineStr">
        <is>
          <t>HUDIKSVALL</t>
        </is>
      </c>
      <c r="I671" t="n">
        <v>1.3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t="n">
        <v>0</v>
      </c>
      <c r="S671" t="n">
        <v>0</v>
      </c>
      <c r="T671" t="n">
        <v>0</v>
      </c>
      <c r="U671" t="n">
        <v>0</v>
      </c>
      <c r="V671" s="2" t="inlineStr"/>
    </row>
    <row r="672" ht="15" customHeight="1">
      <c r="A672" t="inlineStr">
        <is>
          <t>A 20017-2022</t>
        </is>
      </c>
      <c r="B672" t="inlineStr">
        <is>
          <t>avverkningsanmälan</t>
        </is>
      </c>
      <c r="C672" t="inlineStr">
        <is>
          <t>Föryngringsavverkning</t>
        </is>
      </c>
      <c r="D672" s="1" t="n">
        <v>44697</v>
      </c>
      <c r="E672" s="1" t="n">
        <v>46272</v>
      </c>
      <c r="F672" t="inlineStr">
        <is>
          <t>GÄVLEBORGS LÄN</t>
        </is>
      </c>
      <c r="G672" t="inlineStr">
        <is>
          <t>HUDIKSVALL</t>
        </is>
      </c>
      <c r="I672" t="n">
        <v>5.5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t="n">
        <v>0</v>
      </c>
      <c r="S672" t="n">
        <v>0</v>
      </c>
      <c r="T672" t="n">
        <v>0</v>
      </c>
      <c r="U672" t="n">
        <v>0</v>
      </c>
      <c r="V672" s="2" t="inlineStr"/>
    </row>
    <row r="673" ht="15" customHeight="1">
      <c r="A673" t="inlineStr">
        <is>
          <t>A 3297-2024</t>
        </is>
      </c>
      <c r="B673" t="inlineStr">
        <is>
          <t>avverkningsanmälan</t>
        </is>
      </c>
      <c r="C673" t="inlineStr">
        <is>
          <t>Föryngringsavverkning</t>
        </is>
      </c>
      <c r="D673" s="1" t="n">
        <v>45317</v>
      </c>
      <c r="E673" s="1" t="n">
        <v>46272</v>
      </c>
      <c r="F673" t="inlineStr">
        <is>
          <t>GÄVLEBORGS LÄN</t>
        </is>
      </c>
      <c r="G673" t="inlineStr">
        <is>
          <t>HUDIKSVALL</t>
        </is>
      </c>
      <c r="I673" t="n">
        <v>3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t="n">
        <v>0</v>
      </c>
      <c r="S673" t="n">
        <v>0</v>
      </c>
      <c r="T673" t="n">
        <v>0</v>
      </c>
      <c r="U673" t="n">
        <v>0</v>
      </c>
      <c r="V673" s="2" t="inlineStr"/>
    </row>
    <row r="674" ht="15" customHeight="1">
      <c r="A674" t="inlineStr">
        <is>
          <t>A 7484-2026</t>
        </is>
      </c>
      <c r="B674" t="inlineStr">
        <is>
          <t>avverkningsanmälan</t>
        </is>
      </c>
      <c r="C674" t="inlineStr">
        <is>
          <t>Föryngringsavverkning</t>
        </is>
      </c>
      <c r="D674" s="1" t="n">
        <v>46059</v>
      </c>
      <c r="E674" s="1" t="n">
        <v>46272</v>
      </c>
      <c r="F674" t="inlineStr">
        <is>
          <t>GÄVLEBORGS LÄN</t>
        </is>
      </c>
      <c r="G674" t="inlineStr">
        <is>
          <t>HUDIKSVALL</t>
        </is>
      </c>
      <c r="I674" t="n">
        <v>2.8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t="n">
        <v>0</v>
      </c>
      <c r="S674" t="n">
        <v>0</v>
      </c>
      <c r="T674" t="n">
        <v>0</v>
      </c>
      <c r="U674" t="n">
        <v>0</v>
      </c>
      <c r="V674" s="2" t="inlineStr"/>
    </row>
    <row r="675" ht="15" customHeight="1">
      <c r="A675" t="inlineStr">
        <is>
          <t>A 54515-2025</t>
        </is>
      </c>
      <c r="B675" t="inlineStr">
        <is>
          <t>avverkningsanmälan</t>
        </is>
      </c>
      <c r="C675" t="inlineStr">
        <is>
          <t>Föryngringsavverkning</t>
        </is>
      </c>
      <c r="D675" s="1" t="n">
        <v>45965</v>
      </c>
      <c r="E675" s="1" t="n">
        <v>46272</v>
      </c>
      <c r="F675" t="inlineStr">
        <is>
          <t>GÄVLEBORGS LÄN</t>
        </is>
      </c>
      <c r="G675" t="inlineStr">
        <is>
          <t>HUDIKSVALL</t>
        </is>
      </c>
      <c r="I675" t="n">
        <v>1.4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t="n">
        <v>0</v>
      </c>
      <c r="S675" t="n">
        <v>0</v>
      </c>
      <c r="T675" t="n">
        <v>0</v>
      </c>
      <c r="U675" t="n">
        <v>0</v>
      </c>
      <c r="V675" s="2" t="inlineStr"/>
    </row>
    <row r="676" ht="15" customHeight="1">
      <c r="A676" t="inlineStr">
        <is>
          <t>A 3077-2025</t>
        </is>
      </c>
      <c r="B676" t="inlineStr">
        <is>
          <t>avverkningsanmälan</t>
        </is>
      </c>
      <c r="C676" t="inlineStr">
        <is>
          <t>Föryngringsavverkning</t>
        </is>
      </c>
      <c r="D676" s="1" t="n">
        <v>45678</v>
      </c>
      <c r="E676" s="1" t="n">
        <v>46272</v>
      </c>
      <c r="F676" t="inlineStr">
        <is>
          <t>GÄVLEBORGS LÄN</t>
        </is>
      </c>
      <c r="G676" t="inlineStr">
        <is>
          <t>HUDIKSVALL</t>
        </is>
      </c>
      <c r="I676" t="n">
        <v>4.9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t="n">
        <v>0</v>
      </c>
      <c r="S676" t="n">
        <v>0</v>
      </c>
      <c r="T676" t="n">
        <v>0</v>
      </c>
      <c r="U676" t="n">
        <v>0</v>
      </c>
      <c r="V676" s="2" t="inlineStr"/>
    </row>
    <row r="677" ht="15" customHeight="1">
      <c r="A677" t="inlineStr">
        <is>
          <t>A 11101-2024</t>
        </is>
      </c>
      <c r="B677" t="inlineStr">
        <is>
          <t>avverkningsanmälan</t>
        </is>
      </c>
      <c r="C677" t="inlineStr">
        <is>
          <t>Föryngringsavverkning</t>
        </is>
      </c>
      <c r="D677" s="1" t="n">
        <v>45371</v>
      </c>
      <c r="E677" s="1" t="n">
        <v>46272</v>
      </c>
      <c r="F677" t="inlineStr">
        <is>
          <t>GÄVLEBORGS LÄN</t>
        </is>
      </c>
      <c r="G677" t="inlineStr">
        <is>
          <t>HUDIKSVALL</t>
        </is>
      </c>
      <c r="H677" t="inlineStr">
        <is>
          <t>Holmen skog AB</t>
        </is>
      </c>
      <c r="I677" t="n">
        <v>9.800000000000001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t="n">
        <v>0</v>
      </c>
      <c r="S677" t="n">
        <v>0</v>
      </c>
      <c r="T677" t="n">
        <v>0</v>
      </c>
      <c r="U677" t="n">
        <v>0</v>
      </c>
      <c r="V677" s="2" t="inlineStr"/>
    </row>
    <row r="678" ht="15" customHeight="1">
      <c r="A678" t="inlineStr">
        <is>
          <t>A 8496-2024</t>
        </is>
      </c>
      <c r="B678" t="inlineStr">
        <is>
          <t>avverkningsanmälan</t>
        </is>
      </c>
      <c r="C678" t="inlineStr">
        <is>
          <t>Föryngringsavverkning</t>
        </is>
      </c>
      <c r="D678" s="1" t="n">
        <v>45355</v>
      </c>
      <c r="E678" s="1" t="n">
        <v>46272</v>
      </c>
      <c r="F678" t="inlineStr">
        <is>
          <t>GÄVLEBORGS LÄN</t>
        </is>
      </c>
      <c r="G678" t="inlineStr">
        <is>
          <t>HUDIKSVALL</t>
        </is>
      </c>
      <c r="I678" t="n">
        <v>1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t="n">
        <v>0</v>
      </c>
      <c r="S678" t="n">
        <v>0</v>
      </c>
      <c r="T678" t="n">
        <v>0</v>
      </c>
      <c r="U678" t="n">
        <v>0</v>
      </c>
      <c r="V678" s="2" t="inlineStr"/>
    </row>
    <row r="679" ht="15" customHeight="1">
      <c r="A679" t="inlineStr">
        <is>
          <t>A 7301-2026</t>
        </is>
      </c>
      <c r="B679" t="inlineStr">
        <is>
          <t>avverkningsanmälan</t>
        </is>
      </c>
      <c r="C679" t="inlineStr">
        <is>
          <t>Föryngringsavverkning</t>
        </is>
      </c>
      <c r="D679" s="1" t="n">
        <v>46058</v>
      </c>
      <c r="E679" s="1" t="n">
        <v>46272</v>
      </c>
      <c r="F679" t="inlineStr">
        <is>
          <t>GÄVLEBORGS LÄN</t>
        </is>
      </c>
      <c r="G679" t="inlineStr">
        <is>
          <t>HUDIKSVALL</t>
        </is>
      </c>
      <c r="I679" t="n">
        <v>1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t="n">
        <v>0</v>
      </c>
      <c r="S679" t="n">
        <v>0</v>
      </c>
      <c r="T679" t="n">
        <v>0</v>
      </c>
      <c r="U679" t="n">
        <v>0</v>
      </c>
      <c r="V679" s="2" t="inlineStr"/>
    </row>
    <row r="680" ht="15" customHeight="1">
      <c r="A680" t="inlineStr">
        <is>
          <t>A 63643-2023</t>
        </is>
      </c>
      <c r="B680" t="inlineStr">
        <is>
          <t>avverkningsanmälan</t>
        </is>
      </c>
      <c r="C680" t="inlineStr">
        <is>
          <t>Föryngringsavverkning</t>
        </is>
      </c>
      <c r="D680" s="1" t="n">
        <v>45275</v>
      </c>
      <c r="E680" s="1" t="n">
        <v>46272</v>
      </c>
      <c r="F680" t="inlineStr">
        <is>
          <t>GÄVLEBORGS LÄN</t>
        </is>
      </c>
      <c r="G680" t="inlineStr">
        <is>
          <t>HUDIKSVALL</t>
        </is>
      </c>
      <c r="I680" t="n">
        <v>2.3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t="n">
        <v>0</v>
      </c>
      <c r="S680" t="n">
        <v>0</v>
      </c>
      <c r="T680" t="n">
        <v>0</v>
      </c>
      <c r="U680" t="n">
        <v>0</v>
      </c>
      <c r="V680" s="2" t="inlineStr"/>
    </row>
    <row r="681" ht="15" customHeight="1">
      <c r="A681" t="inlineStr">
        <is>
          <t>A 34284-2024</t>
        </is>
      </c>
      <c r="B681" t="inlineStr">
        <is>
          <t>avverkningsanmälan</t>
        </is>
      </c>
      <c r="C681" t="inlineStr">
        <is>
          <t>Föryngringsavverkning</t>
        </is>
      </c>
      <c r="D681" s="1" t="n">
        <v>45524</v>
      </c>
      <c r="E681" s="1" t="n">
        <v>46272</v>
      </c>
      <c r="F681" t="inlineStr">
        <is>
          <t>GÄVLEBORGS LÄN</t>
        </is>
      </c>
      <c r="G681" t="inlineStr">
        <is>
          <t>HUDIKSVALL</t>
        </is>
      </c>
      <c r="H681" t="inlineStr">
        <is>
          <t>Holmen skog AB</t>
        </is>
      </c>
      <c r="I681" t="n">
        <v>4.6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t="n">
        <v>0</v>
      </c>
      <c r="S681" t="n">
        <v>0</v>
      </c>
      <c r="T681" t="n">
        <v>0</v>
      </c>
      <c r="U681" t="n">
        <v>0</v>
      </c>
      <c r="V681" s="2" t="inlineStr"/>
    </row>
    <row r="682" ht="15" customHeight="1">
      <c r="A682" t="inlineStr">
        <is>
          <t>A 59773-2023</t>
        </is>
      </c>
      <c r="B682" t="inlineStr">
        <is>
          <t>avverkningsanmälan</t>
        </is>
      </c>
      <c r="C682" t="inlineStr">
        <is>
          <t>Föryngringsavverkning</t>
        </is>
      </c>
      <c r="D682" s="1" t="n">
        <v>45257</v>
      </c>
      <c r="E682" s="1" t="n">
        <v>46272</v>
      </c>
      <c r="F682" t="inlineStr">
        <is>
          <t>GÄVLEBORGS LÄN</t>
        </is>
      </c>
      <c r="G682" t="inlineStr">
        <is>
          <t>HUDIKSVALL</t>
        </is>
      </c>
      <c r="I682" t="n">
        <v>1.8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t="n">
        <v>0</v>
      </c>
      <c r="S682" t="n">
        <v>0</v>
      </c>
      <c r="T682" t="n">
        <v>0</v>
      </c>
      <c r="U682" t="n">
        <v>0</v>
      </c>
      <c r="V682" s="2" t="inlineStr"/>
    </row>
    <row r="683" ht="15" customHeight="1">
      <c r="A683" t="inlineStr">
        <is>
          <t>A 7058-2026</t>
        </is>
      </c>
      <c r="B683" t="inlineStr">
        <is>
          <t>avverkningsanmälan</t>
        </is>
      </c>
      <c r="C683" t="inlineStr">
        <is>
          <t>Föryngringsavverkning</t>
        </is>
      </c>
      <c r="D683" s="1" t="n">
        <v>46057</v>
      </c>
      <c r="E683" s="1" t="n">
        <v>46272</v>
      </c>
      <c r="F683" t="inlineStr">
        <is>
          <t>GÄVLEBORGS LÄN</t>
        </is>
      </c>
      <c r="G683" t="inlineStr">
        <is>
          <t>HUDIKSVALL</t>
        </is>
      </c>
      <c r="I683" t="n">
        <v>0.5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t="n">
        <v>0</v>
      </c>
      <c r="S683" t="n">
        <v>0</v>
      </c>
      <c r="T683" t="n">
        <v>0</v>
      </c>
      <c r="U683" t="n">
        <v>0</v>
      </c>
      <c r="V683" s="2" t="inlineStr"/>
    </row>
    <row r="684" ht="15" customHeight="1">
      <c r="A684" t="inlineStr">
        <is>
          <t>A 35268-2022</t>
        </is>
      </c>
      <c r="B684" t="inlineStr">
        <is>
          <t>avverkningsanmälan</t>
        </is>
      </c>
      <c r="C684" t="inlineStr">
        <is>
          <t>Föryngringsavverkning</t>
        </is>
      </c>
      <c r="D684" s="1" t="n">
        <v>44798</v>
      </c>
      <c r="E684" s="1" t="n">
        <v>46272</v>
      </c>
      <c r="F684" t="inlineStr">
        <is>
          <t>GÄVLEBORGS LÄN</t>
        </is>
      </c>
      <c r="G684" t="inlineStr">
        <is>
          <t>HUDIKSVALL</t>
        </is>
      </c>
      <c r="H684" t="inlineStr">
        <is>
          <t>Holmen skog AB</t>
        </is>
      </c>
      <c r="I684" t="n">
        <v>1.8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t="n">
        <v>0</v>
      </c>
      <c r="S684" t="n">
        <v>0</v>
      </c>
      <c r="T684" t="n">
        <v>0</v>
      </c>
      <c r="U684" t="n">
        <v>0</v>
      </c>
      <c r="V684" s="2" t="inlineStr"/>
    </row>
    <row r="685" ht="15" customHeight="1">
      <c r="A685" t="inlineStr">
        <is>
          <t>A 7379-2026</t>
        </is>
      </c>
      <c r="B685" t="inlineStr">
        <is>
          <t>avverkningsanmälan</t>
        </is>
      </c>
      <c r="C685" t="inlineStr">
        <is>
          <t>Föryngringsavverkning</t>
        </is>
      </c>
      <c r="D685" s="1" t="n">
        <v>46059</v>
      </c>
      <c r="E685" s="1" t="n">
        <v>46272</v>
      </c>
      <c r="F685" t="inlineStr">
        <is>
          <t>GÄVLEBORGS LÄN</t>
        </is>
      </c>
      <c r="G685" t="inlineStr">
        <is>
          <t>HUDIKSVALL</t>
        </is>
      </c>
      <c r="I685" t="n">
        <v>1.6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t="n">
        <v>0</v>
      </c>
      <c r="S685" t="n">
        <v>0</v>
      </c>
      <c r="T685" t="n">
        <v>0</v>
      </c>
      <c r="U685" t="n">
        <v>0</v>
      </c>
      <c r="V685" s="2" t="inlineStr"/>
    </row>
    <row r="686" ht="15" customHeight="1">
      <c r="A686" t="inlineStr">
        <is>
          <t>A 7085-2026</t>
        </is>
      </c>
      <c r="B686" t="inlineStr">
        <is>
          <t>avverkningsanmälan</t>
        </is>
      </c>
      <c r="C686" t="inlineStr">
        <is>
          <t>Föryngringsavverkning</t>
        </is>
      </c>
      <c r="D686" s="1" t="n">
        <v>46058</v>
      </c>
      <c r="E686" s="1" t="n">
        <v>46272</v>
      </c>
      <c r="F686" t="inlineStr">
        <is>
          <t>GÄVLEBORGS LÄN</t>
        </is>
      </c>
      <c r="G686" t="inlineStr">
        <is>
          <t>HUDIKSVALL</t>
        </is>
      </c>
      <c r="I686" t="n">
        <v>41.1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t="n">
        <v>0</v>
      </c>
      <c r="S686" t="n">
        <v>0</v>
      </c>
      <c r="T686" t="n">
        <v>0</v>
      </c>
      <c r="U686" t="n">
        <v>0</v>
      </c>
      <c r="V686" s="2" t="inlineStr"/>
    </row>
    <row r="687" ht="15" customHeight="1">
      <c r="A687" t="inlineStr">
        <is>
          <t>A 44227-2024</t>
        </is>
      </c>
      <c r="B687" t="inlineStr">
        <is>
          <t>avverkningsanmälan</t>
        </is>
      </c>
      <c r="C687" t="inlineStr">
        <is>
          <t>Föryngringsavverkning</t>
        </is>
      </c>
      <c r="D687" s="1" t="n">
        <v>45573</v>
      </c>
      <c r="E687" s="1" t="n">
        <v>46272</v>
      </c>
      <c r="F687" t="inlineStr">
        <is>
          <t>GÄVLEBORGS LÄN</t>
        </is>
      </c>
      <c r="G687" t="inlineStr">
        <is>
          <t>HUDIKSVALL</t>
        </is>
      </c>
      <c r="I687" t="n">
        <v>2.7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t="n">
        <v>0</v>
      </c>
      <c r="S687" t="n">
        <v>0</v>
      </c>
      <c r="T687" t="n">
        <v>0</v>
      </c>
      <c r="U687" t="n">
        <v>0</v>
      </c>
      <c r="V687" s="2" t="inlineStr"/>
    </row>
    <row r="688" ht="15" customHeight="1">
      <c r="A688" t="inlineStr">
        <is>
          <t>A 54864-2025</t>
        </is>
      </c>
      <c r="B688" t="inlineStr">
        <is>
          <t>avverkningsanmälan</t>
        </is>
      </c>
      <c r="C688" t="inlineStr">
        <is>
          <t>Föryngringsavverkning</t>
        </is>
      </c>
      <c r="D688" s="1" t="n">
        <v>45966</v>
      </c>
      <c r="E688" s="1" t="n">
        <v>46272</v>
      </c>
      <c r="F688" t="inlineStr">
        <is>
          <t>GÄVLEBORGS LÄN</t>
        </is>
      </c>
      <c r="G688" t="inlineStr">
        <is>
          <t>HUDIKSVALL</t>
        </is>
      </c>
      <c r="H688" t="inlineStr">
        <is>
          <t>Holmen skog AB</t>
        </is>
      </c>
      <c r="I688" t="n">
        <v>3.9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t="n">
        <v>0</v>
      </c>
      <c r="S688" t="n">
        <v>0</v>
      </c>
      <c r="T688" t="n">
        <v>0</v>
      </c>
      <c r="U688" t="n">
        <v>0</v>
      </c>
      <c r="V688" s="2" t="inlineStr"/>
    </row>
    <row r="689" ht="15" customHeight="1">
      <c r="A689" t="inlineStr">
        <is>
          <t>A 35433-2022</t>
        </is>
      </c>
      <c r="B689" t="inlineStr">
        <is>
          <t>avverkningsanmälan</t>
        </is>
      </c>
      <c r="C689" t="inlineStr">
        <is>
          <t>Föryngringsavverkning</t>
        </is>
      </c>
      <c r="D689" s="1" t="n">
        <v>44798</v>
      </c>
      <c r="E689" s="1" t="n">
        <v>46272</v>
      </c>
      <c r="F689" t="inlineStr">
        <is>
          <t>GÄVLEBORGS LÄN</t>
        </is>
      </c>
      <c r="G689" t="inlineStr">
        <is>
          <t>HUDIKSVALL</t>
        </is>
      </c>
      <c r="I689" t="n">
        <v>2.5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t="n">
        <v>0</v>
      </c>
      <c r="S689" t="n">
        <v>0</v>
      </c>
      <c r="T689" t="n">
        <v>0</v>
      </c>
      <c r="U689" t="n">
        <v>0</v>
      </c>
      <c r="V689" s="2" t="inlineStr"/>
    </row>
    <row r="690" ht="15" customHeight="1">
      <c r="A690" t="inlineStr">
        <is>
          <t>A 7092-2026</t>
        </is>
      </c>
      <c r="B690" t="inlineStr">
        <is>
          <t>avverkningsanmälan</t>
        </is>
      </c>
      <c r="C690" t="inlineStr">
        <is>
          <t>Föryngringsavverkning</t>
        </is>
      </c>
      <c r="D690" s="1" t="n">
        <v>46058</v>
      </c>
      <c r="E690" s="1" t="n">
        <v>46272</v>
      </c>
      <c r="F690" t="inlineStr">
        <is>
          <t>GÄVLEBORGS LÄN</t>
        </is>
      </c>
      <c r="G690" t="inlineStr">
        <is>
          <t>HUDIKSVALL</t>
        </is>
      </c>
      <c r="I690" t="n">
        <v>1.9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t="n">
        <v>0</v>
      </c>
      <c r="S690" t="n">
        <v>0</v>
      </c>
      <c r="T690" t="n">
        <v>0</v>
      </c>
      <c r="U690" t="n">
        <v>0</v>
      </c>
      <c r="V690" s="2" t="inlineStr"/>
    </row>
    <row r="691" ht="15" customHeight="1">
      <c r="A691" t="inlineStr">
        <is>
          <t>A 24445-2023</t>
        </is>
      </c>
      <c r="B691" t="inlineStr">
        <is>
          <t>avverkningsanmälan</t>
        </is>
      </c>
      <c r="C691" t="inlineStr">
        <is>
          <t>Föryngringsavverkning</t>
        </is>
      </c>
      <c r="D691" s="1" t="n">
        <v>45082</v>
      </c>
      <c r="E691" s="1" t="n">
        <v>46272</v>
      </c>
      <c r="F691" t="inlineStr">
        <is>
          <t>GÄVLEBORGS LÄN</t>
        </is>
      </c>
      <c r="G691" t="inlineStr">
        <is>
          <t>HUDIKSVALL</t>
        </is>
      </c>
      <c r="H691" t="inlineStr">
        <is>
          <t>Holmen skog AB</t>
        </is>
      </c>
      <c r="I691" t="n">
        <v>1.5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t="n">
        <v>0</v>
      </c>
      <c r="S691" t="n">
        <v>0</v>
      </c>
      <c r="T691" t="n">
        <v>0</v>
      </c>
      <c r="U691" t="n">
        <v>0</v>
      </c>
      <c r="V691" s="2" t="inlineStr"/>
    </row>
    <row r="692" ht="15" customHeight="1">
      <c r="A692" t="inlineStr">
        <is>
          <t>A 55330-2025</t>
        </is>
      </c>
      <c r="B692" t="inlineStr">
        <is>
          <t>avverkningsanmälan</t>
        </is>
      </c>
      <c r="C692" t="inlineStr">
        <is>
          <t>Föryngringsavverkning</t>
        </is>
      </c>
      <c r="D692" s="1" t="n">
        <v>45971</v>
      </c>
      <c r="E692" s="1" t="n">
        <v>46272</v>
      </c>
      <c r="F692" t="inlineStr">
        <is>
          <t>GÄVLEBORGS LÄN</t>
        </is>
      </c>
      <c r="G692" t="inlineStr">
        <is>
          <t>HUDIKSVALL</t>
        </is>
      </c>
      <c r="H692" t="inlineStr">
        <is>
          <t>Holmen skog AB</t>
        </is>
      </c>
      <c r="I692" t="n">
        <v>2.9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t="n">
        <v>0</v>
      </c>
      <c r="S692" t="n">
        <v>0</v>
      </c>
      <c r="T692" t="n">
        <v>0</v>
      </c>
      <c r="U692" t="n">
        <v>0</v>
      </c>
      <c r="V692" s="2" t="inlineStr"/>
    </row>
    <row r="693" ht="15" customHeight="1">
      <c r="A693" t="inlineStr">
        <is>
          <t>A 55481-2025</t>
        </is>
      </c>
      <c r="B693" t="inlineStr">
        <is>
          <t>avverkningsanmälan</t>
        </is>
      </c>
      <c r="C693" t="inlineStr">
        <is>
          <t>Föryngringsavverkning</t>
        </is>
      </c>
      <c r="D693" s="1" t="n">
        <v>45971</v>
      </c>
      <c r="E693" s="1" t="n">
        <v>46272</v>
      </c>
      <c r="F693" t="inlineStr">
        <is>
          <t>GÄVLEBORGS LÄN</t>
        </is>
      </c>
      <c r="G693" t="inlineStr">
        <is>
          <t>HUDIKSVALL</t>
        </is>
      </c>
      <c r="H693" t="inlineStr">
        <is>
          <t>Holmen skog AB</t>
        </is>
      </c>
      <c r="I693" t="n">
        <v>4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t="n">
        <v>0</v>
      </c>
      <c r="S693" t="n">
        <v>0</v>
      </c>
      <c r="T693" t="n">
        <v>0</v>
      </c>
      <c r="U693" t="n">
        <v>0</v>
      </c>
      <c r="V693" s="2" t="inlineStr"/>
    </row>
    <row r="694" ht="15" customHeight="1">
      <c r="A694" t="inlineStr">
        <is>
          <t>A 55404-2025</t>
        </is>
      </c>
      <c r="B694" t="inlineStr">
        <is>
          <t>avverkningsanmälan</t>
        </is>
      </c>
      <c r="C694" t="inlineStr">
        <is>
          <t>Föryngringsavverkning</t>
        </is>
      </c>
      <c r="D694" s="1" t="n">
        <v>45971</v>
      </c>
      <c r="E694" s="1" t="n">
        <v>46272</v>
      </c>
      <c r="F694" t="inlineStr">
        <is>
          <t>GÄVLEBORGS LÄN</t>
        </is>
      </c>
      <c r="G694" t="inlineStr">
        <is>
          <t>HUDIKSVALL</t>
        </is>
      </c>
      <c r="H694" t="inlineStr">
        <is>
          <t>Holmen skog AB</t>
        </is>
      </c>
      <c r="I694" t="n">
        <v>0.8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t="n">
        <v>0</v>
      </c>
      <c r="S694" t="n">
        <v>0</v>
      </c>
      <c r="T694" t="n">
        <v>0</v>
      </c>
      <c r="U694" t="n">
        <v>0</v>
      </c>
      <c r="V694" s="2" t="inlineStr"/>
    </row>
    <row r="695" ht="15" customHeight="1">
      <c r="A695" t="inlineStr">
        <is>
          <t>A 55375-2025</t>
        </is>
      </c>
      <c r="B695" t="inlineStr">
        <is>
          <t>avverkningsanmälan</t>
        </is>
      </c>
      <c r="C695" t="inlineStr">
        <is>
          <t>Föryngringsavverkning</t>
        </is>
      </c>
      <c r="D695" s="1" t="n">
        <v>45971</v>
      </c>
      <c r="E695" s="1" t="n">
        <v>46272</v>
      </c>
      <c r="F695" t="inlineStr">
        <is>
          <t>GÄVLEBORGS LÄN</t>
        </is>
      </c>
      <c r="G695" t="inlineStr">
        <is>
          <t>HUDIKSVALL</t>
        </is>
      </c>
      <c r="H695" t="inlineStr">
        <is>
          <t>Holmen skog AB</t>
        </is>
      </c>
      <c r="I695" t="n">
        <v>2.4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t="n">
        <v>0</v>
      </c>
      <c r="S695" t="n">
        <v>0</v>
      </c>
      <c r="T695" t="n">
        <v>0</v>
      </c>
      <c r="U695" t="n">
        <v>0</v>
      </c>
      <c r="V695" s="2" t="inlineStr"/>
    </row>
    <row r="696" ht="15" customHeight="1">
      <c r="A696" t="inlineStr">
        <is>
          <t>A 7781-2026</t>
        </is>
      </c>
      <c r="B696" t="inlineStr">
        <is>
          <t>avverkningsanmälan</t>
        </is>
      </c>
      <c r="C696" t="inlineStr">
        <is>
          <t>Föryngringsavverkning</t>
        </is>
      </c>
      <c r="D696" s="1" t="n">
        <v>46062</v>
      </c>
      <c r="E696" s="1" t="n">
        <v>46272</v>
      </c>
      <c r="F696" t="inlineStr">
        <is>
          <t>GÄVLEBORGS LÄN</t>
        </is>
      </c>
      <c r="G696" t="inlineStr">
        <is>
          <t>HUDIKSVALL</t>
        </is>
      </c>
      <c r="I696" t="n">
        <v>10.9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t="n">
        <v>0</v>
      </c>
      <c r="S696" t="n">
        <v>0</v>
      </c>
      <c r="T696" t="n">
        <v>0</v>
      </c>
      <c r="U696" t="n">
        <v>0</v>
      </c>
      <c r="V696" s="2" t="inlineStr"/>
    </row>
    <row r="697" ht="15" customHeight="1">
      <c r="A697" t="inlineStr">
        <is>
          <t>A 8001-2026</t>
        </is>
      </c>
      <c r="B697" t="inlineStr">
        <is>
          <t>avverkningsanmälan</t>
        </is>
      </c>
      <c r="C697" t="inlineStr">
        <is>
          <t>Föryngringsavverkning</t>
        </is>
      </c>
      <c r="D697" s="1" t="n">
        <v>46063</v>
      </c>
      <c r="E697" s="1" t="n">
        <v>46272</v>
      </c>
      <c r="F697" t="inlineStr">
        <is>
          <t>GÄVLEBORGS LÄN</t>
        </is>
      </c>
      <c r="G697" t="inlineStr">
        <is>
          <t>HUDIKSVALL</t>
        </is>
      </c>
      <c r="I697" t="n">
        <v>5.6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t="n">
        <v>0</v>
      </c>
      <c r="S697" t="n">
        <v>0</v>
      </c>
      <c r="T697" t="n">
        <v>0</v>
      </c>
      <c r="U697" t="n">
        <v>0</v>
      </c>
      <c r="V697" s="2" t="inlineStr"/>
    </row>
    <row r="698" ht="15" customHeight="1">
      <c r="A698" t="inlineStr">
        <is>
          <t>A 55072-2025</t>
        </is>
      </c>
      <c r="B698" t="inlineStr">
        <is>
          <t>avverkningsanmälan</t>
        </is>
      </c>
      <c r="C698" t="inlineStr">
        <is>
          <t>Föryngringsavverkning</t>
        </is>
      </c>
      <c r="D698" s="1" t="n">
        <v>45967</v>
      </c>
      <c r="E698" s="1" t="n">
        <v>46272</v>
      </c>
      <c r="F698" t="inlineStr">
        <is>
          <t>GÄVLEBORGS LÄN</t>
        </is>
      </c>
      <c r="G698" t="inlineStr">
        <is>
          <t>HUDIKSVALL</t>
        </is>
      </c>
      <c r="I698" t="n">
        <v>1.4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t="n">
        <v>0</v>
      </c>
      <c r="S698" t="n">
        <v>0</v>
      </c>
      <c r="T698" t="n">
        <v>0</v>
      </c>
      <c r="U698" t="n">
        <v>0</v>
      </c>
      <c r="V698" s="2" t="inlineStr"/>
    </row>
    <row r="699" ht="15" customHeight="1">
      <c r="A699" t="inlineStr">
        <is>
          <t>A 55340-2025</t>
        </is>
      </c>
      <c r="B699" t="inlineStr">
        <is>
          <t>avverkningsanmälan</t>
        </is>
      </c>
      <c r="C699" t="inlineStr">
        <is>
          <t>Föryngringsavverkning</t>
        </is>
      </c>
      <c r="D699" s="1" t="n">
        <v>45971</v>
      </c>
      <c r="E699" s="1" t="n">
        <v>46272</v>
      </c>
      <c r="F699" t="inlineStr">
        <is>
          <t>GÄVLEBORGS LÄN</t>
        </is>
      </c>
      <c r="G699" t="inlineStr">
        <is>
          <t>HUDIKSVALL</t>
        </is>
      </c>
      <c r="H699" t="inlineStr">
        <is>
          <t>Holmen skog AB</t>
        </is>
      </c>
      <c r="I699" t="n">
        <v>6.5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t="n">
        <v>0</v>
      </c>
      <c r="S699" t="n">
        <v>0</v>
      </c>
      <c r="T699" t="n">
        <v>0</v>
      </c>
      <c r="U699" t="n">
        <v>0</v>
      </c>
      <c r="V699" s="2" t="inlineStr"/>
    </row>
    <row r="700" ht="15" customHeight="1">
      <c r="A700" t="inlineStr">
        <is>
          <t>A 55370-2025</t>
        </is>
      </c>
      <c r="B700" t="inlineStr">
        <is>
          <t>avverkningsanmälan</t>
        </is>
      </c>
      <c r="C700" t="inlineStr">
        <is>
          <t>Föryngringsavverkning</t>
        </is>
      </c>
      <c r="D700" s="1" t="n">
        <v>45971</v>
      </c>
      <c r="E700" s="1" t="n">
        <v>46272</v>
      </c>
      <c r="F700" t="inlineStr">
        <is>
          <t>GÄVLEBORGS LÄN</t>
        </is>
      </c>
      <c r="G700" t="inlineStr">
        <is>
          <t>HUDIKSVALL</t>
        </is>
      </c>
      <c r="I700" t="n">
        <v>4.1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t="n">
        <v>0</v>
      </c>
      <c r="S700" t="n">
        <v>0</v>
      </c>
      <c r="T700" t="n">
        <v>0</v>
      </c>
      <c r="U700" t="n">
        <v>0</v>
      </c>
      <c r="V700" s="2" t="inlineStr"/>
    </row>
    <row r="701" ht="15" customHeight="1">
      <c r="A701" t="inlineStr">
        <is>
          <t>A 3162-2023</t>
        </is>
      </c>
      <c r="B701" t="inlineStr">
        <is>
          <t>avverkningsanmälan</t>
        </is>
      </c>
      <c r="C701" t="inlineStr">
        <is>
          <t>Föryngringsavverkning</t>
        </is>
      </c>
      <c r="D701" s="1" t="n">
        <v>44946</v>
      </c>
      <c r="E701" s="1" t="n">
        <v>46272</v>
      </c>
      <c r="F701" t="inlineStr">
        <is>
          <t>GÄVLEBORGS LÄN</t>
        </is>
      </c>
      <c r="G701" t="inlineStr">
        <is>
          <t>HUDIKSVALL</t>
        </is>
      </c>
      <c r="I701" t="n">
        <v>2.9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t="n">
        <v>0</v>
      </c>
      <c r="S701" t="n">
        <v>0</v>
      </c>
      <c r="T701" t="n">
        <v>0</v>
      </c>
      <c r="U701" t="n">
        <v>0</v>
      </c>
      <c r="V701" s="2" t="inlineStr"/>
    </row>
    <row r="702" ht="15" customHeight="1">
      <c r="A702" t="inlineStr">
        <is>
          <t>A 8441-2023</t>
        </is>
      </c>
      <c r="B702" t="inlineStr">
        <is>
          <t>avverkningsanmälan</t>
        </is>
      </c>
      <c r="C702" t="inlineStr">
        <is>
          <t>Föryngringsavverkning</t>
        </is>
      </c>
      <c r="D702" s="1" t="n">
        <v>44977</v>
      </c>
      <c r="E702" s="1" t="n">
        <v>46272</v>
      </c>
      <c r="F702" t="inlineStr">
        <is>
          <t>GÄVLEBORGS LÄN</t>
        </is>
      </c>
      <c r="G702" t="inlineStr">
        <is>
          <t>HUDIKSVALL</t>
        </is>
      </c>
      <c r="H702" t="inlineStr">
        <is>
          <t>Holmen skog AB</t>
        </is>
      </c>
      <c r="I702" t="n">
        <v>10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t="n">
        <v>0</v>
      </c>
      <c r="S702" t="n">
        <v>0</v>
      </c>
      <c r="T702" t="n">
        <v>0</v>
      </c>
      <c r="U702" t="n">
        <v>0</v>
      </c>
      <c r="V702" s="2" t="inlineStr"/>
    </row>
    <row r="703" ht="15" customHeight="1">
      <c r="A703" t="inlineStr">
        <is>
          <t>A 55395-2025</t>
        </is>
      </c>
      <c r="B703" t="inlineStr">
        <is>
          <t>avverkningsanmälan</t>
        </is>
      </c>
      <c r="C703" t="inlineStr">
        <is>
          <t>Föryngringsavverkning</t>
        </is>
      </c>
      <c r="D703" s="1" t="n">
        <v>45971</v>
      </c>
      <c r="E703" s="1" t="n">
        <v>46272</v>
      </c>
      <c r="F703" t="inlineStr">
        <is>
          <t>GÄVLEBORGS LÄN</t>
        </is>
      </c>
      <c r="G703" t="inlineStr">
        <is>
          <t>HUDIKSVALL</t>
        </is>
      </c>
      <c r="I703" t="n">
        <v>1.4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t="n">
        <v>0</v>
      </c>
      <c r="S703" t="n">
        <v>0</v>
      </c>
      <c r="T703" t="n">
        <v>0</v>
      </c>
      <c r="U703" t="n">
        <v>0</v>
      </c>
      <c r="V703" s="2" t="inlineStr"/>
    </row>
    <row r="704" ht="15" customHeight="1">
      <c r="A704" t="inlineStr">
        <is>
          <t>A 54225-2023</t>
        </is>
      </c>
      <c r="B704" t="inlineStr">
        <is>
          <t>avverkningsanmälan</t>
        </is>
      </c>
      <c r="C704" t="inlineStr">
        <is>
          <t>Föryngringsavverkning</t>
        </is>
      </c>
      <c r="D704" s="1" t="n">
        <v>45232</v>
      </c>
      <c r="E704" s="1" t="n">
        <v>46272</v>
      </c>
      <c r="F704" t="inlineStr">
        <is>
          <t>GÄVLEBORGS LÄN</t>
        </is>
      </c>
      <c r="G704" t="inlineStr">
        <is>
          <t>HUDIKSVALL</t>
        </is>
      </c>
      <c r="I704" t="n">
        <v>1.7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t="n">
        <v>0</v>
      </c>
      <c r="S704" t="n">
        <v>0</v>
      </c>
      <c r="T704" t="n">
        <v>0</v>
      </c>
      <c r="U704" t="n">
        <v>0</v>
      </c>
      <c r="V704" s="2" t="inlineStr"/>
    </row>
    <row r="705" ht="15" customHeight="1">
      <c r="A705" t="inlineStr">
        <is>
          <t>A 7702-2026</t>
        </is>
      </c>
      <c r="B705" t="inlineStr">
        <is>
          <t>avverkningsanmälan</t>
        </is>
      </c>
      <c r="C705" t="inlineStr">
        <is>
          <t>Föryngringsavverkning</t>
        </is>
      </c>
      <c r="D705" s="1" t="n">
        <v>46062</v>
      </c>
      <c r="E705" s="1" t="n">
        <v>46272</v>
      </c>
      <c r="F705" t="inlineStr">
        <is>
          <t>GÄVLEBORGS LÄN</t>
        </is>
      </c>
      <c r="G705" t="inlineStr">
        <is>
          <t>HUDIKSVALL</t>
        </is>
      </c>
      <c r="I705" t="n">
        <v>1.6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t="n">
        <v>0</v>
      </c>
      <c r="S705" t="n">
        <v>0</v>
      </c>
      <c r="T705" t="n">
        <v>0</v>
      </c>
      <c r="U705" t="n">
        <v>0</v>
      </c>
      <c r="V705" s="2" t="inlineStr"/>
    </row>
    <row r="706" ht="15" customHeight="1">
      <c r="A706" t="inlineStr">
        <is>
          <t>A 56021-2025</t>
        </is>
      </c>
      <c r="B706" t="inlineStr">
        <is>
          <t>avverkningsanmälan</t>
        </is>
      </c>
      <c r="C706" t="inlineStr">
        <is>
          <t>Föryngringsavverkning</t>
        </is>
      </c>
      <c r="D706" s="1" t="n">
        <v>45973</v>
      </c>
      <c r="E706" s="1" t="n">
        <v>46272</v>
      </c>
      <c r="F706" t="inlineStr">
        <is>
          <t>GÄVLEBORGS LÄN</t>
        </is>
      </c>
      <c r="G706" t="inlineStr">
        <is>
          <t>HUDIKSVALL</t>
        </is>
      </c>
      <c r="I706" t="n">
        <v>0.9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t="n">
        <v>0</v>
      </c>
      <c r="S706" t="n">
        <v>0</v>
      </c>
      <c r="T706" t="n">
        <v>0</v>
      </c>
      <c r="U706" t="n">
        <v>0</v>
      </c>
      <c r="V706" s="2" t="inlineStr"/>
    </row>
    <row r="707" ht="15" customHeight="1">
      <c r="A707" t="inlineStr">
        <is>
          <t>A 450-2025</t>
        </is>
      </c>
      <c r="B707" t="inlineStr">
        <is>
          <t>avverkningsanmälan</t>
        </is>
      </c>
      <c r="C707" t="inlineStr">
        <is>
          <t>Föryngringsavverkning</t>
        </is>
      </c>
      <c r="D707" s="1" t="n">
        <v>45664</v>
      </c>
      <c r="E707" s="1" t="n">
        <v>46272</v>
      </c>
      <c r="F707" t="inlineStr">
        <is>
          <t>GÄVLEBORGS LÄN</t>
        </is>
      </c>
      <c r="G707" t="inlineStr">
        <is>
          <t>HUDIKSVALL</t>
        </is>
      </c>
      <c r="I707" t="n">
        <v>3.4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t="n">
        <v>0</v>
      </c>
      <c r="S707" t="n">
        <v>0</v>
      </c>
      <c r="T707" t="n">
        <v>0</v>
      </c>
      <c r="U707" t="n">
        <v>0</v>
      </c>
      <c r="V707" s="2" t="inlineStr"/>
    </row>
    <row r="708" ht="15" customHeight="1">
      <c r="A708" t="inlineStr">
        <is>
          <t>A 30562-2023</t>
        </is>
      </c>
      <c r="B708" t="inlineStr">
        <is>
          <t>avverkningsanmälan</t>
        </is>
      </c>
      <c r="C708" t="inlineStr">
        <is>
          <t>Föryngringsavverkning</t>
        </is>
      </c>
      <c r="D708" s="1" t="n">
        <v>45111</v>
      </c>
      <c r="E708" s="1" t="n">
        <v>46272</v>
      </c>
      <c r="F708" t="inlineStr">
        <is>
          <t>GÄVLEBORGS LÄN</t>
        </is>
      </c>
      <c r="G708" t="inlineStr">
        <is>
          <t>HUDIKSVALL</t>
        </is>
      </c>
      <c r="I708" t="n">
        <v>11.5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t="n">
        <v>0</v>
      </c>
      <c r="S708" t="n">
        <v>0</v>
      </c>
      <c r="T708" t="n">
        <v>0</v>
      </c>
      <c r="U708" t="n">
        <v>0</v>
      </c>
      <c r="V708" s="2" t="inlineStr"/>
    </row>
    <row r="709" ht="15" customHeight="1">
      <c r="A709" t="inlineStr">
        <is>
          <t>A 8440-2026</t>
        </is>
      </c>
      <c r="B709" t="inlineStr">
        <is>
          <t>avverkningsanmälan</t>
        </is>
      </c>
      <c r="C709" t="inlineStr">
        <is>
          <t>Föryngringsavverkning</t>
        </is>
      </c>
      <c r="D709" s="1" t="n">
        <v>46065</v>
      </c>
      <c r="E709" s="1" t="n">
        <v>46272</v>
      </c>
      <c r="F709" t="inlineStr">
        <is>
          <t>GÄVLEBORGS LÄN</t>
        </is>
      </c>
      <c r="G709" t="inlineStr">
        <is>
          <t>HUDIKSVALL</t>
        </is>
      </c>
      <c r="I709" t="n">
        <v>2.4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t="n">
        <v>0</v>
      </c>
      <c r="S709" t="n">
        <v>0</v>
      </c>
      <c r="T709" t="n">
        <v>0</v>
      </c>
      <c r="U709" t="n">
        <v>0</v>
      </c>
      <c r="V709" s="2" t="inlineStr"/>
    </row>
    <row r="710" ht="15" customHeight="1">
      <c r="A710" t="inlineStr">
        <is>
          <t>A 8480-2026</t>
        </is>
      </c>
      <c r="B710" t="inlineStr">
        <is>
          <t>avverkningsanmälan</t>
        </is>
      </c>
      <c r="C710" t="inlineStr">
        <is>
          <t>Föryngringsavverkning</t>
        </is>
      </c>
      <c r="D710" s="1" t="n">
        <v>46065</v>
      </c>
      <c r="E710" s="1" t="n">
        <v>46272</v>
      </c>
      <c r="F710" t="inlineStr">
        <is>
          <t>GÄVLEBORGS LÄN</t>
        </is>
      </c>
      <c r="G710" t="inlineStr">
        <is>
          <t>HUDIKSVALL</t>
        </is>
      </c>
      <c r="I710" t="n">
        <v>2.9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t="n">
        <v>0</v>
      </c>
      <c r="S710" t="n">
        <v>0</v>
      </c>
      <c r="T710" t="n">
        <v>0</v>
      </c>
      <c r="U710" t="n">
        <v>0</v>
      </c>
      <c r="V710" s="2" t="inlineStr"/>
    </row>
    <row r="711" ht="15" customHeight="1">
      <c r="A711" t="inlineStr">
        <is>
          <t>A 60904-2024</t>
        </is>
      </c>
      <c r="B711" t="inlineStr">
        <is>
          <t>avverkningsanmälan</t>
        </is>
      </c>
      <c r="C711" t="inlineStr">
        <is>
          <t>Föryngringsavverkning</t>
        </is>
      </c>
      <c r="D711" s="1" t="n">
        <v>45645</v>
      </c>
      <c r="E711" s="1" t="n">
        <v>46272</v>
      </c>
      <c r="F711" t="inlineStr">
        <is>
          <t>GÄVLEBORGS LÄN</t>
        </is>
      </c>
      <c r="G711" t="inlineStr">
        <is>
          <t>HUDIKSVALL</t>
        </is>
      </c>
      <c r="I711" t="n">
        <v>1.5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t="n">
        <v>0</v>
      </c>
      <c r="S711" t="n">
        <v>0</v>
      </c>
      <c r="T711" t="n">
        <v>0</v>
      </c>
      <c r="U711" t="n">
        <v>0</v>
      </c>
      <c r="V711" s="2" t="inlineStr"/>
    </row>
    <row r="712" ht="15" customHeight="1">
      <c r="A712" t="inlineStr">
        <is>
          <t>A 8522-2024</t>
        </is>
      </c>
      <c r="B712" t="inlineStr">
        <is>
          <t>avverkningsanmälan</t>
        </is>
      </c>
      <c r="C712" t="inlineStr">
        <is>
          <t>Föryngringsavverkning</t>
        </is>
      </c>
      <c r="D712" s="1" t="n">
        <v>45355</v>
      </c>
      <c r="E712" s="1" t="n">
        <v>46272</v>
      </c>
      <c r="F712" t="inlineStr">
        <is>
          <t>GÄVLEBORGS LÄN</t>
        </is>
      </c>
      <c r="G712" t="inlineStr">
        <is>
          <t>HUDIKSVALL</t>
        </is>
      </c>
      <c r="I712" t="n">
        <v>2.3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t="n">
        <v>0</v>
      </c>
      <c r="S712" t="n">
        <v>0</v>
      </c>
      <c r="T712" t="n">
        <v>0</v>
      </c>
      <c r="U712" t="n">
        <v>0</v>
      </c>
      <c r="V712" s="2" t="inlineStr"/>
    </row>
    <row r="713" ht="15" customHeight="1">
      <c r="A713" t="inlineStr">
        <is>
          <t>A 8370-2026</t>
        </is>
      </c>
      <c r="B713" t="inlineStr">
        <is>
          <t>avverkningsanmälan</t>
        </is>
      </c>
      <c r="C713" t="inlineStr">
        <is>
          <t>Föryngringsavverkning</t>
        </is>
      </c>
      <c r="D713" s="1" t="n">
        <v>46064</v>
      </c>
      <c r="E713" s="1" t="n">
        <v>46272</v>
      </c>
      <c r="F713" t="inlineStr">
        <is>
          <t>GÄVLEBORGS LÄN</t>
        </is>
      </c>
      <c r="G713" t="inlineStr">
        <is>
          <t>HUDIKSVALL</t>
        </is>
      </c>
      <c r="I713" t="n">
        <v>2.8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t="n">
        <v>0</v>
      </c>
      <c r="S713" t="n">
        <v>0</v>
      </c>
      <c r="T713" t="n">
        <v>0</v>
      </c>
      <c r="U713" t="n">
        <v>0</v>
      </c>
      <c r="V713" s="2" t="inlineStr"/>
    </row>
    <row r="714" ht="15" customHeight="1">
      <c r="A714" t="inlineStr">
        <is>
          <t>A 8307-2026</t>
        </is>
      </c>
      <c r="B714" t="inlineStr">
        <is>
          <t>avverkningsanmälan</t>
        </is>
      </c>
      <c r="C714" t="inlineStr">
        <is>
          <t>Föryngringsavverkning</t>
        </is>
      </c>
      <c r="D714" s="1" t="n">
        <v>46064</v>
      </c>
      <c r="E714" s="1" t="n">
        <v>46272</v>
      </c>
      <c r="F714" t="inlineStr">
        <is>
          <t>GÄVLEBORGS LÄN</t>
        </is>
      </c>
      <c r="G714" t="inlineStr">
        <is>
          <t>HUDIKSVALL</t>
        </is>
      </c>
      <c r="I714" t="n">
        <v>5.6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t="n">
        <v>0</v>
      </c>
      <c r="S714" t="n">
        <v>0</v>
      </c>
      <c r="T714" t="n">
        <v>0</v>
      </c>
      <c r="U714" t="n">
        <v>0</v>
      </c>
      <c r="V714" s="2" t="inlineStr"/>
    </row>
    <row r="715" ht="15" customHeight="1">
      <c r="A715" t="inlineStr">
        <is>
          <t>A 59798-2022</t>
        </is>
      </c>
      <c r="B715" t="inlineStr">
        <is>
          <t>avverkningsanmälan</t>
        </is>
      </c>
      <c r="C715" t="inlineStr">
        <is>
          <t>Föryngringsavverkning</t>
        </is>
      </c>
      <c r="D715" s="1" t="n">
        <v>44908</v>
      </c>
      <c r="E715" s="1" t="n">
        <v>46272</v>
      </c>
      <c r="F715" t="inlineStr">
        <is>
          <t>GÄVLEBORGS LÄN</t>
        </is>
      </c>
      <c r="G715" t="inlineStr">
        <is>
          <t>HUDIKSVALL</t>
        </is>
      </c>
      <c r="I715" t="n">
        <v>0.4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t="n">
        <v>0</v>
      </c>
      <c r="S715" t="n">
        <v>0</v>
      </c>
      <c r="T715" t="n">
        <v>0</v>
      </c>
      <c r="U715" t="n">
        <v>0</v>
      </c>
      <c r="V715" s="2" t="inlineStr"/>
    </row>
    <row r="716" ht="15" customHeight="1">
      <c r="A716" t="inlineStr">
        <is>
          <t>A 8214-2026</t>
        </is>
      </c>
      <c r="B716" t="inlineStr">
        <is>
          <t>avverkningsanmälan</t>
        </is>
      </c>
      <c r="C716" t="inlineStr">
        <is>
          <t>Föryngringsavverkning</t>
        </is>
      </c>
      <c r="D716" s="1" t="n">
        <v>46064</v>
      </c>
      <c r="E716" s="1" t="n">
        <v>46272</v>
      </c>
      <c r="F716" t="inlineStr">
        <is>
          <t>GÄVLEBORGS LÄN</t>
        </is>
      </c>
      <c r="G716" t="inlineStr">
        <is>
          <t>HUDIKSVALL</t>
        </is>
      </c>
      <c r="I716" t="n">
        <v>1.1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t="n">
        <v>0</v>
      </c>
      <c r="S716" t="n">
        <v>0</v>
      </c>
      <c r="T716" t="n">
        <v>0</v>
      </c>
      <c r="U716" t="n">
        <v>0</v>
      </c>
      <c r="V716" s="2" t="inlineStr"/>
    </row>
    <row r="717" ht="15" customHeight="1">
      <c r="A717" t="inlineStr">
        <is>
          <t>A 8471-2026</t>
        </is>
      </c>
      <c r="B717" t="inlineStr">
        <is>
          <t>avverkningsanmälan</t>
        </is>
      </c>
      <c r="C717" t="inlineStr">
        <is>
          <t>Föryngringsavverkning</t>
        </is>
      </c>
      <c r="D717" s="1" t="n">
        <v>46065</v>
      </c>
      <c r="E717" s="1" t="n">
        <v>46272</v>
      </c>
      <c r="F717" t="inlineStr">
        <is>
          <t>GÄVLEBORGS LÄN</t>
        </is>
      </c>
      <c r="G717" t="inlineStr">
        <is>
          <t>HUDIKSVALL</t>
        </is>
      </c>
      <c r="I717" t="n">
        <v>2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t="n">
        <v>0</v>
      </c>
      <c r="S717" t="n">
        <v>0</v>
      </c>
      <c r="T717" t="n">
        <v>0</v>
      </c>
      <c r="U717" t="n">
        <v>0</v>
      </c>
      <c r="V717" s="2" t="inlineStr"/>
    </row>
    <row r="718" ht="15" customHeight="1">
      <c r="A718" t="inlineStr">
        <is>
          <t>A 6425-2024</t>
        </is>
      </c>
      <c r="B718" t="inlineStr">
        <is>
          <t>avverkningsanmälan</t>
        </is>
      </c>
      <c r="C718" t="inlineStr">
        <is>
          <t>Föryngringsavverkning</t>
        </is>
      </c>
      <c r="D718" s="1" t="n">
        <v>45338</v>
      </c>
      <c r="E718" s="1" t="n">
        <v>46272</v>
      </c>
      <c r="F718" t="inlineStr">
        <is>
          <t>GÄVLEBORGS LÄN</t>
        </is>
      </c>
      <c r="G718" t="inlineStr">
        <is>
          <t>HUDIKSVALL</t>
        </is>
      </c>
      <c r="H718" t="inlineStr">
        <is>
          <t>Holmen skog AB</t>
        </is>
      </c>
      <c r="I718" t="n">
        <v>2.8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t="n">
        <v>0</v>
      </c>
      <c r="S718" t="n">
        <v>0</v>
      </c>
      <c r="T718" t="n">
        <v>0</v>
      </c>
      <c r="U718" t="n">
        <v>0</v>
      </c>
      <c r="V718" s="2" t="inlineStr"/>
    </row>
    <row r="719" ht="15" customHeight="1">
      <c r="A719" t="inlineStr">
        <is>
          <t>A 8512-2026</t>
        </is>
      </c>
      <c r="B719" t="inlineStr">
        <is>
          <t>avverkningsanmälan</t>
        </is>
      </c>
      <c r="C719" t="inlineStr">
        <is>
          <t>Föryngringsavverkning</t>
        </is>
      </c>
      <c r="D719" s="1" t="n">
        <v>46065</v>
      </c>
      <c r="E719" s="1" t="n">
        <v>46272</v>
      </c>
      <c r="F719" t="inlineStr">
        <is>
          <t>GÄVLEBORGS LÄN</t>
        </is>
      </c>
      <c r="G719" t="inlineStr">
        <is>
          <t>HUDIKSVALL</t>
        </is>
      </c>
      <c r="I719" t="n">
        <v>1.6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t="n">
        <v>0</v>
      </c>
      <c r="S719" t="n">
        <v>0</v>
      </c>
      <c r="T719" t="n">
        <v>0</v>
      </c>
      <c r="U719" t="n">
        <v>0</v>
      </c>
      <c r="V719" s="2" t="inlineStr"/>
    </row>
    <row r="720" ht="15" customHeight="1">
      <c r="A720" t="inlineStr">
        <is>
          <t>A 9601-2025</t>
        </is>
      </c>
      <c r="B720" t="inlineStr">
        <is>
          <t>avverkningsanmälan</t>
        </is>
      </c>
      <c r="C720" t="inlineStr">
        <is>
          <t>Föryngringsavverkning</t>
        </is>
      </c>
      <c r="D720" s="1" t="n">
        <v>45715</v>
      </c>
      <c r="E720" s="1" t="n">
        <v>46272</v>
      </c>
      <c r="F720" t="inlineStr">
        <is>
          <t>GÄVLEBORGS LÄN</t>
        </is>
      </c>
      <c r="G720" t="inlineStr">
        <is>
          <t>HUDIKSVALL</t>
        </is>
      </c>
      <c r="H720" t="inlineStr">
        <is>
          <t>Holmen skog AB</t>
        </is>
      </c>
      <c r="I720" t="n">
        <v>55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t="n">
        <v>0</v>
      </c>
      <c r="S720" t="n">
        <v>0</v>
      </c>
      <c r="T720" t="n">
        <v>0</v>
      </c>
      <c r="U720" t="n">
        <v>0</v>
      </c>
      <c r="V720" s="2" t="inlineStr"/>
    </row>
    <row r="721" ht="15" customHeight="1">
      <c r="A721" t="inlineStr">
        <is>
          <t>A 8369-2026</t>
        </is>
      </c>
      <c r="B721" t="inlineStr">
        <is>
          <t>avverkningsanmälan</t>
        </is>
      </c>
      <c r="C721" t="inlineStr">
        <is>
          <t>Föryngringsavverkning</t>
        </is>
      </c>
      <c r="D721" s="1" t="n">
        <v>46064</v>
      </c>
      <c r="E721" s="1" t="n">
        <v>46272</v>
      </c>
      <c r="F721" t="inlineStr">
        <is>
          <t>GÄVLEBORGS LÄN</t>
        </is>
      </c>
      <c r="G721" t="inlineStr">
        <is>
          <t>HUDIKSVALL</t>
        </is>
      </c>
      <c r="I721" t="n">
        <v>4.4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t="n">
        <v>0</v>
      </c>
      <c r="S721" t="n">
        <v>0</v>
      </c>
      <c r="T721" t="n">
        <v>0</v>
      </c>
      <c r="U721" t="n">
        <v>0</v>
      </c>
      <c r="V721" s="2" t="inlineStr"/>
    </row>
    <row r="722" ht="15" customHeight="1">
      <c r="A722" t="inlineStr">
        <is>
          <t>A 8561-2026</t>
        </is>
      </c>
      <c r="B722" t="inlineStr">
        <is>
          <t>avverkningsanmälan</t>
        </is>
      </c>
      <c r="C722" t="inlineStr">
        <is>
          <t>Föryngringsavverkning</t>
        </is>
      </c>
      <c r="D722" s="1" t="n">
        <v>46065</v>
      </c>
      <c r="E722" s="1" t="n">
        <v>46272</v>
      </c>
      <c r="F722" t="inlineStr">
        <is>
          <t>GÄVLEBORGS LÄN</t>
        </is>
      </c>
      <c r="G722" t="inlineStr">
        <is>
          <t>HUDIKSVALL</t>
        </is>
      </c>
      <c r="I722" t="n">
        <v>0.8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t="n">
        <v>0</v>
      </c>
      <c r="S722" t="n">
        <v>0</v>
      </c>
      <c r="T722" t="n">
        <v>0</v>
      </c>
      <c r="U722" t="n">
        <v>0</v>
      </c>
      <c r="V722" s="2" t="inlineStr"/>
    </row>
    <row r="723" ht="15" customHeight="1">
      <c r="A723" t="inlineStr">
        <is>
          <t>A 56637-2025</t>
        </is>
      </c>
      <c r="B723" t="inlineStr">
        <is>
          <t>avverkningsanmälan</t>
        </is>
      </c>
      <c r="C723" t="inlineStr">
        <is>
          <t>Föryngringsavverkning</t>
        </is>
      </c>
      <c r="D723" s="1" t="n">
        <v>45975</v>
      </c>
      <c r="E723" s="1" t="n">
        <v>46272</v>
      </c>
      <c r="F723" t="inlineStr">
        <is>
          <t>GÄVLEBORGS LÄN</t>
        </is>
      </c>
      <c r="G723" t="inlineStr">
        <is>
          <t>HUDIKSVALL</t>
        </is>
      </c>
      <c r="I723" t="n">
        <v>1.9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t="n">
        <v>0</v>
      </c>
      <c r="S723" t="n">
        <v>0</v>
      </c>
      <c r="T723" t="n">
        <v>0</v>
      </c>
      <c r="U723" t="n">
        <v>0</v>
      </c>
      <c r="V723" s="2" t="inlineStr"/>
    </row>
    <row r="724" ht="15" customHeight="1">
      <c r="A724" t="inlineStr">
        <is>
          <t>A 43216-2024</t>
        </is>
      </c>
      <c r="B724" t="inlineStr">
        <is>
          <t>avverkningsanmälan</t>
        </is>
      </c>
      <c r="C724" t="inlineStr">
        <is>
          <t>Föryngringsavverkning</t>
        </is>
      </c>
      <c r="D724" s="1" t="n">
        <v>45567</v>
      </c>
      <c r="E724" s="1" t="n">
        <v>46272</v>
      </c>
      <c r="F724" t="inlineStr">
        <is>
          <t>GÄVLEBORGS LÄN</t>
        </is>
      </c>
      <c r="G724" t="inlineStr">
        <is>
          <t>HUDIKSVALL</t>
        </is>
      </c>
      <c r="H724" t="inlineStr">
        <is>
          <t>Holmen skog AB</t>
        </is>
      </c>
      <c r="I724" t="n">
        <v>22.4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t="n">
        <v>0</v>
      </c>
      <c r="S724" t="n">
        <v>0</v>
      </c>
      <c r="T724" t="n">
        <v>0</v>
      </c>
      <c r="U724" t="n">
        <v>0</v>
      </c>
      <c r="V724" s="2" t="inlineStr"/>
    </row>
    <row r="725" ht="15" customHeight="1">
      <c r="A725" t="inlineStr">
        <is>
          <t>A 56250-2025</t>
        </is>
      </c>
      <c r="B725" t="inlineStr">
        <is>
          <t>avverkningsanmälan</t>
        </is>
      </c>
      <c r="C725" t="inlineStr">
        <is>
          <t>Föryngringsavverkning</t>
        </is>
      </c>
      <c r="D725" s="1" t="n">
        <v>45974</v>
      </c>
      <c r="E725" s="1" t="n">
        <v>46272</v>
      </c>
      <c r="F725" t="inlineStr">
        <is>
          <t>GÄVLEBORGS LÄN</t>
        </is>
      </c>
      <c r="G725" t="inlineStr">
        <is>
          <t>HUDIKSVALL</t>
        </is>
      </c>
      <c r="H725" t="inlineStr">
        <is>
          <t>Holmen skog AB</t>
        </is>
      </c>
      <c r="I725" t="n">
        <v>2.1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t="n">
        <v>0</v>
      </c>
      <c r="S725" t="n">
        <v>0</v>
      </c>
      <c r="T725" t="n">
        <v>0</v>
      </c>
      <c r="U725" t="n">
        <v>0</v>
      </c>
      <c r="V725" s="2" t="inlineStr"/>
    </row>
    <row r="726" ht="15" customHeight="1">
      <c r="A726" t="inlineStr">
        <is>
          <t>A 56663-2025</t>
        </is>
      </c>
      <c r="B726" t="inlineStr">
        <is>
          <t>avverkningsanmälan</t>
        </is>
      </c>
      <c r="C726" t="inlineStr">
        <is>
          <t>Föryngringsavverkning</t>
        </is>
      </c>
      <c r="D726" s="1" t="n">
        <v>45975</v>
      </c>
      <c r="E726" s="1" t="n">
        <v>46272</v>
      </c>
      <c r="F726" t="inlineStr">
        <is>
          <t>GÄVLEBORGS LÄN</t>
        </is>
      </c>
      <c r="G726" t="inlineStr">
        <is>
          <t>HUDIKSVALL</t>
        </is>
      </c>
      <c r="I726" t="n">
        <v>1.4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t="n">
        <v>0</v>
      </c>
      <c r="S726" t="n">
        <v>0</v>
      </c>
      <c r="T726" t="n">
        <v>0</v>
      </c>
      <c r="U726" t="n">
        <v>0</v>
      </c>
      <c r="V726" s="2" t="inlineStr"/>
    </row>
    <row r="727" ht="15" customHeight="1">
      <c r="A727" t="inlineStr">
        <is>
          <t>A 8685-2026</t>
        </is>
      </c>
      <c r="B727" t="inlineStr">
        <is>
          <t>avverkningsanmälan</t>
        </is>
      </c>
      <c r="C727" t="inlineStr">
        <is>
          <t>Föryngringsavverkning</t>
        </is>
      </c>
      <c r="D727" s="1" t="n">
        <v>46066</v>
      </c>
      <c r="E727" s="1" t="n">
        <v>46272</v>
      </c>
      <c r="F727" t="inlineStr">
        <is>
          <t>GÄVLEBORGS LÄN</t>
        </is>
      </c>
      <c r="G727" t="inlineStr">
        <is>
          <t>HUDIKSVALL</t>
        </is>
      </c>
      <c r="I727" t="n">
        <v>2.3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t="n">
        <v>0</v>
      </c>
      <c r="S727" t="n">
        <v>0</v>
      </c>
      <c r="T727" t="n">
        <v>0</v>
      </c>
      <c r="U727" t="n">
        <v>0</v>
      </c>
      <c r="V727" s="2" t="inlineStr"/>
    </row>
    <row r="728" ht="15" customHeight="1">
      <c r="A728" t="inlineStr">
        <is>
          <t>A 56151-2025</t>
        </is>
      </c>
      <c r="B728" t="inlineStr">
        <is>
          <t>avverkningsanmälan</t>
        </is>
      </c>
      <c r="C728" t="inlineStr">
        <is>
          <t>Föryngringsavverkning</t>
        </is>
      </c>
      <c r="D728" s="1" t="n">
        <v>45974</v>
      </c>
      <c r="E728" s="1" t="n">
        <v>46272</v>
      </c>
      <c r="F728" t="inlineStr">
        <is>
          <t>GÄVLEBORGS LÄN</t>
        </is>
      </c>
      <c r="G728" t="inlineStr">
        <is>
          <t>HUDIKSVALL</t>
        </is>
      </c>
      <c r="I728" t="n">
        <v>3.9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t="n">
        <v>0</v>
      </c>
      <c r="S728" t="n">
        <v>0</v>
      </c>
      <c r="T728" t="n">
        <v>0</v>
      </c>
      <c r="U728" t="n">
        <v>0</v>
      </c>
      <c r="V728" s="2" t="inlineStr"/>
    </row>
    <row r="729" ht="15" customHeight="1">
      <c r="A729" t="inlineStr">
        <is>
          <t>A 56244-2025</t>
        </is>
      </c>
      <c r="B729" t="inlineStr">
        <is>
          <t>avverkningsanmälan</t>
        </is>
      </c>
      <c r="C729" t="inlineStr">
        <is>
          <t>Föryngringsavverkning</t>
        </is>
      </c>
      <c r="D729" s="1" t="n">
        <v>45974</v>
      </c>
      <c r="E729" s="1" t="n">
        <v>46272</v>
      </c>
      <c r="F729" t="inlineStr">
        <is>
          <t>GÄVLEBORGS LÄN</t>
        </is>
      </c>
      <c r="G729" t="inlineStr">
        <is>
          <t>HUDIKSVALL</t>
        </is>
      </c>
      <c r="H729" t="inlineStr">
        <is>
          <t>Holmen skog AB</t>
        </is>
      </c>
      <c r="I729" t="n">
        <v>5.5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t="n">
        <v>0</v>
      </c>
      <c r="S729" t="n">
        <v>0</v>
      </c>
      <c r="T729" t="n">
        <v>0</v>
      </c>
      <c r="U729" t="n">
        <v>0</v>
      </c>
      <c r="V729" s="2" t="inlineStr"/>
    </row>
    <row r="730" ht="15" customHeight="1">
      <c r="A730" t="inlineStr">
        <is>
          <t>A 8763-2026</t>
        </is>
      </c>
      <c r="B730" t="inlineStr">
        <is>
          <t>avverkningsanmälan</t>
        </is>
      </c>
      <c r="C730" t="inlineStr">
        <is>
          <t>Föryngringsavverkning</t>
        </is>
      </c>
      <c r="D730" s="1" t="n">
        <v>46066</v>
      </c>
      <c r="E730" s="1" t="n">
        <v>46272</v>
      </c>
      <c r="F730" t="inlineStr">
        <is>
          <t>GÄVLEBORGS LÄN</t>
        </is>
      </c>
      <c r="G730" t="inlineStr">
        <is>
          <t>HUDIKSVALL</t>
        </is>
      </c>
      <c r="I730" t="n">
        <v>7.2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t="n">
        <v>0</v>
      </c>
      <c r="S730" t="n">
        <v>0</v>
      </c>
      <c r="T730" t="n">
        <v>0</v>
      </c>
      <c r="U730" t="n">
        <v>0</v>
      </c>
      <c r="V730" s="2" t="inlineStr"/>
    </row>
    <row r="731" ht="15" customHeight="1">
      <c r="A731" t="inlineStr">
        <is>
          <t>A 56698-2025</t>
        </is>
      </c>
      <c r="B731" t="inlineStr">
        <is>
          <t>avverkningsanmälan</t>
        </is>
      </c>
      <c r="C731" t="inlineStr">
        <is>
          <t>Föryngringsavverkning</t>
        </is>
      </c>
      <c r="D731" s="1" t="n">
        <v>45976</v>
      </c>
      <c r="E731" s="1" t="n">
        <v>46272</v>
      </c>
      <c r="F731" t="inlineStr">
        <is>
          <t>GÄVLEBORGS LÄN</t>
        </is>
      </c>
      <c r="G731" t="inlineStr">
        <is>
          <t>HUDIKSVALL</t>
        </is>
      </c>
      <c r="I731" t="n">
        <v>2.4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t="n">
        <v>0</v>
      </c>
      <c r="S731" t="n">
        <v>0</v>
      </c>
      <c r="T731" t="n">
        <v>0</v>
      </c>
      <c r="U731" t="n">
        <v>0</v>
      </c>
      <c r="V731" s="2" t="inlineStr"/>
    </row>
    <row r="732" ht="15" customHeight="1">
      <c r="A732" t="inlineStr">
        <is>
          <t>A 56694-2025</t>
        </is>
      </c>
      <c r="B732" t="inlineStr">
        <is>
          <t>avverkningsanmälan</t>
        </is>
      </c>
      <c r="C732" t="inlineStr">
        <is>
          <t>Föryngringsavverkning</t>
        </is>
      </c>
      <c r="D732" s="1" t="n">
        <v>45976</v>
      </c>
      <c r="E732" s="1" t="n">
        <v>46272</v>
      </c>
      <c r="F732" t="inlineStr">
        <is>
          <t>GÄVLEBORGS LÄN</t>
        </is>
      </c>
      <c r="G732" t="inlineStr">
        <is>
          <t>HUDIKSVALL</t>
        </is>
      </c>
      <c r="I732" t="n">
        <v>0.9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t="n">
        <v>0</v>
      </c>
      <c r="S732" t="n">
        <v>0</v>
      </c>
      <c r="T732" t="n">
        <v>0</v>
      </c>
      <c r="U732" t="n">
        <v>0</v>
      </c>
      <c r="V732" s="2" t="inlineStr"/>
    </row>
    <row r="733" ht="15" customHeight="1">
      <c r="A733" t="inlineStr">
        <is>
          <t>A 56695-2025</t>
        </is>
      </c>
      <c r="B733" t="inlineStr">
        <is>
          <t>avverkningsanmälan</t>
        </is>
      </c>
      <c r="C733" t="inlineStr">
        <is>
          <t>Föryngringsavverkning</t>
        </is>
      </c>
      <c r="D733" s="1" t="n">
        <v>45976</v>
      </c>
      <c r="E733" s="1" t="n">
        <v>46272</v>
      </c>
      <c r="F733" t="inlineStr">
        <is>
          <t>GÄVLEBORGS LÄN</t>
        </is>
      </c>
      <c r="G733" t="inlineStr">
        <is>
          <t>HUDIKSVALL</t>
        </is>
      </c>
      <c r="I733" t="n">
        <v>3.3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t="n">
        <v>0</v>
      </c>
      <c r="S733" t="n">
        <v>0</v>
      </c>
      <c r="T733" t="n">
        <v>0</v>
      </c>
      <c r="U733" t="n">
        <v>0</v>
      </c>
      <c r="V733" s="2" t="inlineStr"/>
    </row>
    <row r="734" ht="15" customHeight="1">
      <c r="A734" t="inlineStr">
        <is>
          <t>A 8775-2026</t>
        </is>
      </c>
      <c r="B734" t="inlineStr">
        <is>
          <t>avverkningsanmälan</t>
        </is>
      </c>
      <c r="C734" t="inlineStr">
        <is>
          <t>Föryngringsavverkning</t>
        </is>
      </c>
      <c r="D734" s="1" t="n">
        <v>46066</v>
      </c>
      <c r="E734" s="1" t="n">
        <v>46272</v>
      </c>
      <c r="F734" t="inlineStr">
        <is>
          <t>GÄVLEBORGS LÄN</t>
        </is>
      </c>
      <c r="G734" t="inlineStr">
        <is>
          <t>HUDIKSVALL</t>
        </is>
      </c>
      <c r="I734" t="n">
        <v>1.2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t="n">
        <v>0</v>
      </c>
      <c r="S734" t="n">
        <v>0</v>
      </c>
      <c r="T734" t="n">
        <v>0</v>
      </c>
      <c r="U734" t="n">
        <v>0</v>
      </c>
      <c r="V734" s="2" t="inlineStr"/>
    </row>
    <row r="735" ht="15" customHeight="1">
      <c r="A735" t="inlineStr">
        <is>
          <t>A 57210-2025</t>
        </is>
      </c>
      <c r="B735" t="inlineStr">
        <is>
          <t>avverkningsanmälan</t>
        </is>
      </c>
      <c r="C735" t="inlineStr">
        <is>
          <t>Föryngringsavverkning</t>
        </is>
      </c>
      <c r="D735" s="1" t="n">
        <v>45979</v>
      </c>
      <c r="E735" s="1" t="n">
        <v>46272</v>
      </c>
      <c r="F735" t="inlineStr">
        <is>
          <t>GÄVLEBORGS LÄN</t>
        </is>
      </c>
      <c r="G735" t="inlineStr">
        <is>
          <t>HUDIKSVALL</t>
        </is>
      </c>
      <c r="I735" t="n">
        <v>3.1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t="n">
        <v>0</v>
      </c>
      <c r="S735" t="n">
        <v>0</v>
      </c>
      <c r="T735" t="n">
        <v>0</v>
      </c>
      <c r="U735" t="n">
        <v>0</v>
      </c>
      <c r="V735" s="2" t="inlineStr"/>
    </row>
    <row r="736" ht="15" customHeight="1">
      <c r="A736" t="inlineStr">
        <is>
          <t>A 57213-2025</t>
        </is>
      </c>
      <c r="B736" t="inlineStr">
        <is>
          <t>avverkningsanmälan</t>
        </is>
      </c>
      <c r="C736" t="inlineStr">
        <is>
          <t>Föryngringsavverkning</t>
        </is>
      </c>
      <c r="D736" s="1" t="n">
        <v>45979</v>
      </c>
      <c r="E736" s="1" t="n">
        <v>46272</v>
      </c>
      <c r="F736" t="inlineStr">
        <is>
          <t>GÄVLEBORGS LÄN</t>
        </is>
      </c>
      <c r="G736" t="inlineStr">
        <is>
          <t>HUDIKSVALL</t>
        </is>
      </c>
      <c r="I736" t="n">
        <v>2.1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t="n">
        <v>0</v>
      </c>
      <c r="S736" t="n">
        <v>0</v>
      </c>
      <c r="T736" t="n">
        <v>0</v>
      </c>
      <c r="U736" t="n">
        <v>0</v>
      </c>
      <c r="V736" s="2" t="inlineStr"/>
    </row>
    <row r="737" ht="15" customHeight="1">
      <c r="A737" t="inlineStr">
        <is>
          <t>A 32632-2024</t>
        </is>
      </c>
      <c r="B737" t="inlineStr">
        <is>
          <t>avverkningsanmälan</t>
        </is>
      </c>
      <c r="C737" t="inlineStr">
        <is>
          <t>Föryngringsavverkning</t>
        </is>
      </c>
      <c r="D737" s="1" t="n">
        <v>45513</v>
      </c>
      <c r="E737" s="1" t="n">
        <v>46272</v>
      </c>
      <c r="F737" t="inlineStr">
        <is>
          <t>GÄVLEBORGS LÄN</t>
        </is>
      </c>
      <c r="G737" t="inlineStr">
        <is>
          <t>HUDIKSVALL</t>
        </is>
      </c>
      <c r="H737" t="inlineStr">
        <is>
          <t>Holmen skog AB</t>
        </is>
      </c>
      <c r="I737" t="n">
        <v>6.6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t="n">
        <v>0</v>
      </c>
      <c r="S737" t="n">
        <v>0</v>
      </c>
      <c r="T737" t="n">
        <v>0</v>
      </c>
      <c r="U737" t="n">
        <v>0</v>
      </c>
      <c r="V737" s="2" t="inlineStr"/>
    </row>
    <row r="738" ht="15" customHeight="1">
      <c r="A738" t="inlineStr">
        <is>
          <t>A 56818-2025</t>
        </is>
      </c>
      <c r="B738" t="inlineStr">
        <is>
          <t>avverkningsanmälan</t>
        </is>
      </c>
      <c r="C738" t="inlineStr">
        <is>
          <t>Föryngringsavverkning</t>
        </is>
      </c>
      <c r="D738" s="1" t="n">
        <v>45978</v>
      </c>
      <c r="E738" s="1" t="n">
        <v>46272</v>
      </c>
      <c r="F738" t="inlineStr">
        <is>
          <t>GÄVLEBORGS LÄN</t>
        </is>
      </c>
      <c r="G738" t="inlineStr">
        <is>
          <t>HUDIKSVALL</t>
        </is>
      </c>
      <c r="I738" t="n">
        <v>1.9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t="n">
        <v>0</v>
      </c>
      <c r="S738" t="n">
        <v>0</v>
      </c>
      <c r="T738" t="n">
        <v>0</v>
      </c>
      <c r="U738" t="n">
        <v>0</v>
      </c>
      <c r="V738" s="2" t="inlineStr"/>
    </row>
    <row r="739" ht="15" customHeight="1">
      <c r="A739" t="inlineStr">
        <is>
          <t>A 57191-2025</t>
        </is>
      </c>
      <c r="B739" t="inlineStr">
        <is>
          <t>avverkningsanmälan</t>
        </is>
      </c>
      <c r="C739" t="inlineStr">
        <is>
          <t>Föryngringsavverkning</t>
        </is>
      </c>
      <c r="D739" s="1" t="n">
        <v>45979</v>
      </c>
      <c r="E739" s="1" t="n">
        <v>46272</v>
      </c>
      <c r="F739" t="inlineStr">
        <is>
          <t>GÄVLEBORGS LÄN</t>
        </is>
      </c>
      <c r="G739" t="inlineStr">
        <is>
          <t>HUDIKSVALL</t>
        </is>
      </c>
      <c r="I739" t="n">
        <v>1.5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t="n">
        <v>0</v>
      </c>
      <c r="S739" t="n">
        <v>0</v>
      </c>
      <c r="T739" t="n">
        <v>0</v>
      </c>
      <c r="U739" t="n">
        <v>0</v>
      </c>
      <c r="V739" s="2" t="inlineStr"/>
    </row>
    <row r="740" ht="15" customHeight="1">
      <c r="A740" t="inlineStr">
        <is>
          <t>A 56834-2025</t>
        </is>
      </c>
      <c r="B740" t="inlineStr">
        <is>
          <t>avverkningsanmälan</t>
        </is>
      </c>
      <c r="C740" t="inlineStr">
        <is>
          <t>Föryngringsavverkning</t>
        </is>
      </c>
      <c r="D740" s="1" t="n">
        <v>45978</v>
      </c>
      <c r="E740" s="1" t="n">
        <v>46272</v>
      </c>
      <c r="F740" t="inlineStr">
        <is>
          <t>GÄVLEBORGS LÄN</t>
        </is>
      </c>
      <c r="G740" t="inlineStr">
        <is>
          <t>HUDIKSVALL</t>
        </is>
      </c>
      <c r="I740" t="n">
        <v>4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t="n">
        <v>0</v>
      </c>
      <c r="S740" t="n">
        <v>0</v>
      </c>
      <c r="T740" t="n">
        <v>0</v>
      </c>
      <c r="U740" t="n">
        <v>0</v>
      </c>
      <c r="V740" s="2" t="inlineStr"/>
    </row>
    <row r="741" ht="15" customHeight="1">
      <c r="A741" t="inlineStr">
        <is>
          <t>A 56820-2025</t>
        </is>
      </c>
      <c r="B741" t="inlineStr">
        <is>
          <t>avverkningsanmälan</t>
        </is>
      </c>
      <c r="C741" t="inlineStr">
        <is>
          <t>Föryngringsavverkning</t>
        </is>
      </c>
      <c r="D741" s="1" t="n">
        <v>45978</v>
      </c>
      <c r="E741" s="1" t="n">
        <v>46272</v>
      </c>
      <c r="F741" t="inlineStr">
        <is>
          <t>GÄVLEBORGS LÄN</t>
        </is>
      </c>
      <c r="G741" t="inlineStr">
        <is>
          <t>HUDIKSVALL</t>
        </is>
      </c>
      <c r="I741" t="n">
        <v>1.9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t="n">
        <v>0</v>
      </c>
      <c r="S741" t="n">
        <v>0</v>
      </c>
      <c r="T741" t="n">
        <v>0</v>
      </c>
      <c r="U741" t="n">
        <v>0</v>
      </c>
      <c r="V741" s="2" t="inlineStr"/>
    </row>
    <row r="742" ht="15" customHeight="1">
      <c r="A742" t="inlineStr">
        <is>
          <t>A 6083-2025</t>
        </is>
      </c>
      <c r="B742" t="inlineStr">
        <is>
          <t>avverkningsanmälan</t>
        </is>
      </c>
      <c r="C742" t="inlineStr">
        <is>
          <t>Föryngringsavverkning</t>
        </is>
      </c>
      <c r="D742" s="1" t="n">
        <v>45697</v>
      </c>
      <c r="E742" s="1" t="n">
        <v>46272</v>
      </c>
      <c r="F742" t="inlineStr">
        <is>
          <t>GÄVLEBORGS LÄN</t>
        </is>
      </c>
      <c r="G742" t="inlineStr">
        <is>
          <t>HUDIKSVALL</t>
        </is>
      </c>
      <c r="I742" t="n">
        <v>0.9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t="n">
        <v>0</v>
      </c>
      <c r="S742" t="n">
        <v>0</v>
      </c>
      <c r="T742" t="n">
        <v>0</v>
      </c>
      <c r="U742" t="n">
        <v>0</v>
      </c>
      <c r="V742" s="2" t="inlineStr"/>
    </row>
    <row r="743" ht="15" customHeight="1">
      <c r="A743" t="inlineStr">
        <is>
          <t>A 57322-2025</t>
        </is>
      </c>
      <c r="B743" t="inlineStr">
        <is>
          <t>avverkningsanmälan</t>
        </is>
      </c>
      <c r="C743" t="inlineStr">
        <is>
          <t>Avverkning för annat ändamål</t>
        </is>
      </c>
      <c r="D743" s="1" t="n">
        <v>45980</v>
      </c>
      <c r="E743" s="1" t="n">
        <v>46272</v>
      </c>
      <c r="F743" t="inlineStr">
        <is>
          <t>GÄVLEBORGS LÄN</t>
        </is>
      </c>
      <c r="G743" t="inlineStr">
        <is>
          <t>HUDIKSVALL</t>
        </is>
      </c>
      <c r="I743" t="n">
        <v>0.2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t="n">
        <v>0</v>
      </c>
      <c r="S743" t="n">
        <v>0</v>
      </c>
      <c r="T743" t="n">
        <v>0</v>
      </c>
      <c r="U743" t="n">
        <v>0</v>
      </c>
      <c r="V743" s="2" t="inlineStr"/>
    </row>
    <row r="744" ht="15" customHeight="1">
      <c r="A744" t="inlineStr">
        <is>
          <t>A 9581-2026</t>
        </is>
      </c>
      <c r="B744" t="inlineStr">
        <is>
          <t>avverkningsanmälan</t>
        </is>
      </c>
      <c r="C744" t="inlineStr">
        <is>
          <t>Föryngringsavverkning</t>
        </is>
      </c>
      <c r="D744" s="1" t="n">
        <v>46071</v>
      </c>
      <c r="E744" s="1" t="n">
        <v>46272</v>
      </c>
      <c r="F744" t="inlineStr">
        <is>
          <t>GÄVLEBORGS LÄN</t>
        </is>
      </c>
      <c r="G744" t="inlineStr">
        <is>
          <t>HUDIKSVALL</t>
        </is>
      </c>
      <c r="I744" t="n">
        <v>1.2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t="n">
        <v>0</v>
      </c>
      <c r="S744" t="n">
        <v>0</v>
      </c>
      <c r="T744" t="n">
        <v>0</v>
      </c>
      <c r="U744" t="n">
        <v>0</v>
      </c>
      <c r="V744" s="2" t="inlineStr"/>
    </row>
    <row r="745" ht="15" customHeight="1">
      <c r="A745" t="inlineStr">
        <is>
          <t>A 9583-2026</t>
        </is>
      </c>
      <c r="B745" t="inlineStr">
        <is>
          <t>avverkningsanmälan</t>
        </is>
      </c>
      <c r="C745" t="inlineStr">
        <is>
          <t>Föryngringsavverkning</t>
        </is>
      </c>
      <c r="D745" s="1" t="n">
        <v>46071</v>
      </c>
      <c r="E745" s="1" t="n">
        <v>46272</v>
      </c>
      <c r="F745" t="inlineStr">
        <is>
          <t>GÄVLEBORGS LÄN</t>
        </is>
      </c>
      <c r="G745" t="inlineStr">
        <is>
          <t>HUDIKSVALL</t>
        </is>
      </c>
      <c r="I745" t="n">
        <v>4.5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t="n">
        <v>0</v>
      </c>
      <c r="S745" t="n">
        <v>0</v>
      </c>
      <c r="T745" t="n">
        <v>0</v>
      </c>
      <c r="U745" t="n">
        <v>0</v>
      </c>
      <c r="V745" s="2" t="inlineStr"/>
    </row>
    <row r="746" ht="15" customHeight="1">
      <c r="A746" t="inlineStr">
        <is>
          <t>A 6019-2025</t>
        </is>
      </c>
      <c r="B746" t="inlineStr">
        <is>
          <t>avverkningsanmälan</t>
        </is>
      </c>
      <c r="C746" t="inlineStr">
        <is>
          <t>Föryngringsavverkning</t>
        </is>
      </c>
      <c r="D746" s="1" t="n">
        <v>45695</v>
      </c>
      <c r="E746" s="1" t="n">
        <v>46272</v>
      </c>
      <c r="F746" t="inlineStr">
        <is>
          <t>GÄVLEBORGS LÄN</t>
        </is>
      </c>
      <c r="G746" t="inlineStr">
        <is>
          <t>HUDIKSVALL</t>
        </is>
      </c>
      <c r="I746" t="n">
        <v>1.4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t="n">
        <v>0</v>
      </c>
      <c r="S746" t="n">
        <v>0</v>
      </c>
      <c r="T746" t="n">
        <v>0</v>
      </c>
      <c r="U746" t="n">
        <v>0</v>
      </c>
      <c r="V746" s="2" t="inlineStr"/>
    </row>
    <row r="747" ht="15" customHeight="1">
      <c r="A747" t="inlineStr">
        <is>
          <t>A 9396-2026</t>
        </is>
      </c>
      <c r="B747" t="inlineStr">
        <is>
          <t>avverkningsanmälan</t>
        </is>
      </c>
      <c r="C747" t="inlineStr">
        <is>
          <t>Föryngringsavverkning</t>
        </is>
      </c>
      <c r="D747" s="1" t="n">
        <v>46071</v>
      </c>
      <c r="E747" s="1" t="n">
        <v>46272</v>
      </c>
      <c r="F747" t="inlineStr">
        <is>
          <t>GÄVLEBORGS LÄN</t>
        </is>
      </c>
      <c r="G747" t="inlineStr">
        <is>
          <t>HUDIKSVALL</t>
        </is>
      </c>
      <c r="I747" t="n">
        <v>2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t="n">
        <v>0</v>
      </c>
      <c r="S747" t="n">
        <v>0</v>
      </c>
      <c r="T747" t="n">
        <v>0</v>
      </c>
      <c r="U747" t="n">
        <v>0</v>
      </c>
      <c r="V747" s="2" t="inlineStr"/>
    </row>
    <row r="748" ht="15" customHeight="1">
      <c r="A748" t="inlineStr">
        <is>
          <t>A 9585-2026</t>
        </is>
      </c>
      <c r="B748" t="inlineStr">
        <is>
          <t>avverkningsanmälan</t>
        </is>
      </c>
      <c r="C748" t="inlineStr">
        <is>
          <t>Föryngringsavverkning</t>
        </is>
      </c>
      <c r="D748" s="1" t="n">
        <v>46071</v>
      </c>
      <c r="E748" s="1" t="n">
        <v>46272</v>
      </c>
      <c r="F748" t="inlineStr">
        <is>
          <t>GÄVLEBORGS LÄN</t>
        </is>
      </c>
      <c r="G748" t="inlineStr">
        <is>
          <t>HUDIKSVALL</t>
        </is>
      </c>
      <c r="I748" t="n">
        <v>5.7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t="n">
        <v>0</v>
      </c>
      <c r="S748" t="n">
        <v>0</v>
      </c>
      <c r="T748" t="n">
        <v>0</v>
      </c>
      <c r="U748" t="n">
        <v>0</v>
      </c>
      <c r="V748" s="2" t="inlineStr"/>
    </row>
    <row r="749" ht="15" customHeight="1">
      <c r="A749" t="inlineStr">
        <is>
          <t>A 9560-2026</t>
        </is>
      </c>
      <c r="B749" t="inlineStr">
        <is>
          <t>avverkningsanmälan</t>
        </is>
      </c>
      <c r="C749" t="inlineStr">
        <is>
          <t>Föryngringsavverkning</t>
        </is>
      </c>
      <c r="D749" s="1" t="n">
        <v>46071</v>
      </c>
      <c r="E749" s="1" t="n">
        <v>46272</v>
      </c>
      <c r="F749" t="inlineStr">
        <is>
          <t>GÄVLEBORGS LÄN</t>
        </is>
      </c>
      <c r="G749" t="inlineStr">
        <is>
          <t>HUDIKSVALL</t>
        </is>
      </c>
      <c r="I749" t="n">
        <v>2.1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t="n">
        <v>0</v>
      </c>
      <c r="S749" t="n">
        <v>0</v>
      </c>
      <c r="T749" t="n">
        <v>0</v>
      </c>
      <c r="U749" t="n">
        <v>0</v>
      </c>
      <c r="V749" s="2" t="inlineStr"/>
    </row>
    <row r="750" ht="15" customHeight="1">
      <c r="A750" t="inlineStr">
        <is>
          <t>A 22136-2022</t>
        </is>
      </c>
      <c r="B750" t="inlineStr">
        <is>
          <t>avverkningsanmälan</t>
        </is>
      </c>
      <c r="C750" t="inlineStr">
        <is>
          <t>Föryngringsavverkning</t>
        </is>
      </c>
      <c r="D750" s="1" t="n">
        <v>44712</v>
      </c>
      <c r="E750" s="1" t="n">
        <v>46272</v>
      </c>
      <c r="F750" t="inlineStr">
        <is>
          <t>GÄVLEBORGS LÄN</t>
        </is>
      </c>
      <c r="G750" t="inlineStr">
        <is>
          <t>HUDIKSVALL</t>
        </is>
      </c>
      <c r="H750" t="inlineStr">
        <is>
          <t>Holmen skog AB</t>
        </is>
      </c>
      <c r="I750" t="n">
        <v>3.4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t="n">
        <v>0</v>
      </c>
      <c r="S750" t="n">
        <v>0</v>
      </c>
      <c r="T750" t="n">
        <v>0</v>
      </c>
      <c r="U750" t="n">
        <v>0</v>
      </c>
      <c r="V750" s="2" t="inlineStr"/>
    </row>
    <row r="751" ht="15" customHeight="1">
      <c r="A751" t="inlineStr">
        <is>
          <t>A 9916-2026</t>
        </is>
      </c>
      <c r="B751" t="inlineStr">
        <is>
          <t>avverkningsanmälan</t>
        </is>
      </c>
      <c r="C751" t="inlineStr">
        <is>
          <t>Föryngringsavverkning</t>
        </is>
      </c>
      <c r="D751" s="1" t="n">
        <v>46073</v>
      </c>
      <c r="E751" s="1" t="n">
        <v>46272</v>
      </c>
      <c r="F751" t="inlineStr">
        <is>
          <t>GÄVLEBORGS LÄN</t>
        </is>
      </c>
      <c r="G751" t="inlineStr">
        <is>
          <t>HUDIKSVALL</t>
        </is>
      </c>
      <c r="I751" t="n">
        <v>5.3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t="n">
        <v>0</v>
      </c>
      <c r="S751" t="n">
        <v>0</v>
      </c>
      <c r="T751" t="n">
        <v>0</v>
      </c>
      <c r="U751" t="n">
        <v>0</v>
      </c>
      <c r="V751" s="2" t="inlineStr"/>
    </row>
    <row r="752" ht="15" customHeight="1">
      <c r="A752" t="inlineStr">
        <is>
          <t>A 10073-2026</t>
        </is>
      </c>
      <c r="B752" t="inlineStr">
        <is>
          <t>avverkningsanmälan</t>
        </is>
      </c>
      <c r="C752" t="inlineStr">
        <is>
          <t>Föryngringsavverkning</t>
        </is>
      </c>
      <c r="D752" s="1" t="n">
        <v>46073</v>
      </c>
      <c r="E752" s="1" t="n">
        <v>46272</v>
      </c>
      <c r="F752" t="inlineStr">
        <is>
          <t>GÄVLEBORGS LÄN</t>
        </is>
      </c>
      <c r="G752" t="inlineStr">
        <is>
          <t>HUDIKSVALL</t>
        </is>
      </c>
      <c r="I752" t="n">
        <v>1.4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t="n">
        <v>0</v>
      </c>
      <c r="S752" t="n">
        <v>0</v>
      </c>
      <c r="T752" t="n">
        <v>0</v>
      </c>
      <c r="U752" t="n">
        <v>0</v>
      </c>
      <c r="V752" s="2" t="inlineStr"/>
    </row>
    <row r="753" ht="15" customHeight="1">
      <c r="A753" t="inlineStr">
        <is>
          <t>A 9763-2026</t>
        </is>
      </c>
      <c r="B753" t="inlineStr">
        <is>
          <t>avverkningsanmälan</t>
        </is>
      </c>
      <c r="C753" t="inlineStr">
        <is>
          <t>Föryngringsavverkning</t>
        </is>
      </c>
      <c r="D753" s="1" t="n">
        <v>46072</v>
      </c>
      <c r="E753" s="1" t="n">
        <v>46272</v>
      </c>
      <c r="F753" t="inlineStr">
        <is>
          <t>GÄVLEBORGS LÄN</t>
        </is>
      </c>
      <c r="G753" t="inlineStr">
        <is>
          <t>HUDIKSVALL</t>
        </is>
      </c>
      <c r="I753" t="n">
        <v>1.2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t="n">
        <v>0</v>
      </c>
      <c r="S753" t="n">
        <v>0</v>
      </c>
      <c r="T753" t="n">
        <v>0</v>
      </c>
      <c r="U753" t="n">
        <v>0</v>
      </c>
      <c r="V753" s="2" t="inlineStr"/>
    </row>
    <row r="754" ht="15" customHeight="1">
      <c r="A754" t="inlineStr">
        <is>
          <t>A 104-2023</t>
        </is>
      </c>
      <c r="B754" t="inlineStr">
        <is>
          <t>avverkningsanmälan</t>
        </is>
      </c>
      <c r="C754" t="inlineStr">
        <is>
          <t>Föryngringsavverkning</t>
        </is>
      </c>
      <c r="D754" s="1" t="n">
        <v>44928</v>
      </c>
      <c r="E754" s="1" t="n">
        <v>46272</v>
      </c>
      <c r="F754" t="inlineStr">
        <is>
          <t>GÄVLEBORGS LÄN</t>
        </is>
      </c>
      <c r="G754" t="inlineStr">
        <is>
          <t>HUDIKSVALL</t>
        </is>
      </c>
      <c r="I754" t="n">
        <v>1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t="n">
        <v>0</v>
      </c>
      <c r="S754" t="n">
        <v>0</v>
      </c>
      <c r="T754" t="n">
        <v>0</v>
      </c>
      <c r="U754" t="n">
        <v>0</v>
      </c>
      <c r="V754" s="2" t="inlineStr"/>
    </row>
    <row r="755" ht="15" customHeight="1">
      <c r="A755" t="inlineStr">
        <is>
          <t>A 8005-2022</t>
        </is>
      </c>
      <c r="B755" t="inlineStr">
        <is>
          <t>avverkningsanmälan</t>
        </is>
      </c>
      <c r="C755" t="inlineStr">
        <is>
          <t>Föryngringsavverkning</t>
        </is>
      </c>
      <c r="D755" s="1" t="n">
        <v>44609</v>
      </c>
      <c r="E755" s="1" t="n">
        <v>46272</v>
      </c>
      <c r="F755" t="inlineStr">
        <is>
          <t>GÄVLEBORGS LÄN</t>
        </is>
      </c>
      <c r="G755" t="inlineStr">
        <is>
          <t>HUDIKSVALL</t>
        </is>
      </c>
      <c r="H755" t="inlineStr">
        <is>
          <t>Holmen skog AB</t>
        </is>
      </c>
      <c r="I755" t="n">
        <v>1.2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t="n">
        <v>0</v>
      </c>
      <c r="S755" t="n">
        <v>0</v>
      </c>
      <c r="T755" t="n">
        <v>0</v>
      </c>
      <c r="U755" t="n">
        <v>0</v>
      </c>
      <c r="V755" s="2" t="inlineStr"/>
    </row>
    <row r="756" ht="15" customHeight="1">
      <c r="A756" t="inlineStr">
        <is>
          <t>A 58254-2025</t>
        </is>
      </c>
      <c r="B756" t="inlineStr">
        <is>
          <t>avverkningsanmälan</t>
        </is>
      </c>
      <c r="C756" t="inlineStr">
        <is>
          <t>Föryngringsavverkning</t>
        </is>
      </c>
      <c r="D756" s="1" t="n">
        <v>45985</v>
      </c>
      <c r="E756" s="1" t="n">
        <v>46272</v>
      </c>
      <c r="F756" t="inlineStr">
        <is>
          <t>GÄVLEBORGS LÄN</t>
        </is>
      </c>
      <c r="G756" t="inlineStr">
        <is>
          <t>HUDIKSVALL</t>
        </is>
      </c>
      <c r="H756" t="inlineStr">
        <is>
          <t>Holmen skog AB</t>
        </is>
      </c>
      <c r="I756" t="n">
        <v>15.5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t="n">
        <v>0</v>
      </c>
      <c r="S756" t="n">
        <v>0</v>
      </c>
      <c r="T756" t="n">
        <v>0</v>
      </c>
      <c r="U756" t="n">
        <v>0</v>
      </c>
      <c r="V756" s="2" t="inlineStr"/>
    </row>
    <row r="757" ht="15" customHeight="1">
      <c r="A757" t="inlineStr">
        <is>
          <t>A 10010-2026</t>
        </is>
      </c>
      <c r="B757" t="inlineStr">
        <is>
          <t>avverkningsanmälan</t>
        </is>
      </c>
      <c r="C757" t="inlineStr">
        <is>
          <t>Föryngringsavverkning</t>
        </is>
      </c>
      <c r="D757" s="1" t="n">
        <v>46073</v>
      </c>
      <c r="E757" s="1" t="n">
        <v>46272</v>
      </c>
      <c r="F757" t="inlineStr">
        <is>
          <t>GÄVLEBORGS LÄN</t>
        </is>
      </c>
      <c r="G757" t="inlineStr">
        <is>
          <t>HUDIKSVALL</t>
        </is>
      </c>
      <c r="I757" t="n">
        <v>18.2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t="n">
        <v>0</v>
      </c>
      <c r="S757" t="n">
        <v>0</v>
      </c>
      <c r="T757" t="n">
        <v>0</v>
      </c>
      <c r="U757" t="n">
        <v>0</v>
      </c>
      <c r="V757" s="2" t="inlineStr"/>
    </row>
    <row r="758" ht="15" customHeight="1">
      <c r="A758" t="inlineStr">
        <is>
          <t>A 9800-2026</t>
        </is>
      </c>
      <c r="B758" t="inlineStr">
        <is>
          <t>avverkningsanmälan</t>
        </is>
      </c>
      <c r="C758" t="inlineStr">
        <is>
          <t>Föryngringsavverkning</t>
        </is>
      </c>
      <c r="D758" s="1" t="n">
        <v>46072</v>
      </c>
      <c r="E758" s="1" t="n">
        <v>46272</v>
      </c>
      <c r="F758" t="inlineStr">
        <is>
          <t>GÄVLEBORGS LÄN</t>
        </is>
      </c>
      <c r="G758" t="inlineStr">
        <is>
          <t>HUDIKSVALL</t>
        </is>
      </c>
      <c r="I758" t="n">
        <v>1.1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t="n">
        <v>0</v>
      </c>
      <c r="S758" t="n">
        <v>0</v>
      </c>
      <c r="T758" t="n">
        <v>0</v>
      </c>
      <c r="U758" t="n">
        <v>0</v>
      </c>
      <c r="V758" s="2" t="inlineStr"/>
    </row>
    <row r="759" ht="15" customHeight="1">
      <c r="A759" t="inlineStr">
        <is>
          <t>A 58035-2025</t>
        </is>
      </c>
      <c r="B759" t="inlineStr">
        <is>
          <t>avverkningsanmälan</t>
        </is>
      </c>
      <c r="C759" t="inlineStr">
        <is>
          <t>Föryngringsavverkning</t>
        </is>
      </c>
      <c r="D759" s="1" t="n">
        <v>45982</v>
      </c>
      <c r="E759" s="1" t="n">
        <v>46272</v>
      </c>
      <c r="F759" t="inlineStr">
        <is>
          <t>GÄVLEBORGS LÄN</t>
        </is>
      </c>
      <c r="G759" t="inlineStr">
        <is>
          <t>HUDIKSVALL</t>
        </is>
      </c>
      <c r="I759" t="n">
        <v>1.5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t="n">
        <v>0</v>
      </c>
      <c r="S759" t="n">
        <v>0</v>
      </c>
      <c r="T759" t="n">
        <v>0</v>
      </c>
      <c r="U759" t="n">
        <v>0</v>
      </c>
      <c r="V759" s="2" t="inlineStr"/>
    </row>
    <row r="760" ht="15" customHeight="1">
      <c r="A760" t="inlineStr">
        <is>
          <t>A 58038-2025</t>
        </is>
      </c>
      <c r="B760" t="inlineStr">
        <is>
          <t>avverkningsanmälan</t>
        </is>
      </c>
      <c r="C760" t="inlineStr">
        <is>
          <t>Föryngringsavverkning</t>
        </is>
      </c>
      <c r="D760" s="1" t="n">
        <v>45982</v>
      </c>
      <c r="E760" s="1" t="n">
        <v>46272</v>
      </c>
      <c r="F760" t="inlineStr">
        <is>
          <t>GÄVLEBORGS LÄN</t>
        </is>
      </c>
      <c r="G760" t="inlineStr">
        <is>
          <t>HUDIKSVALL</t>
        </is>
      </c>
      <c r="I760" t="n">
        <v>0.8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t="n">
        <v>0</v>
      </c>
      <c r="S760" t="n">
        <v>0</v>
      </c>
      <c r="T760" t="n">
        <v>0</v>
      </c>
      <c r="U760" t="n">
        <v>0</v>
      </c>
      <c r="V760" s="2" t="inlineStr"/>
    </row>
    <row r="761" ht="15" customHeight="1">
      <c r="A761" t="inlineStr">
        <is>
          <t>A 10059-2026</t>
        </is>
      </c>
      <c r="B761" t="inlineStr">
        <is>
          <t>avverkningsanmälan</t>
        </is>
      </c>
      <c r="C761" t="inlineStr">
        <is>
          <t>Föryngringsavverkning</t>
        </is>
      </c>
      <c r="D761" s="1" t="n">
        <v>46073</v>
      </c>
      <c r="E761" s="1" t="n">
        <v>46272</v>
      </c>
      <c r="F761" t="inlineStr">
        <is>
          <t>GÄVLEBORGS LÄN</t>
        </is>
      </c>
      <c r="G761" t="inlineStr">
        <is>
          <t>HUDIKSVALL</t>
        </is>
      </c>
      <c r="I761" t="n">
        <v>1.2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t="n">
        <v>0</v>
      </c>
      <c r="S761" t="n">
        <v>0</v>
      </c>
      <c r="T761" t="n">
        <v>0</v>
      </c>
      <c r="U761" t="n">
        <v>0</v>
      </c>
      <c r="V761" s="2" t="inlineStr"/>
    </row>
    <row r="762" ht="15" customHeight="1">
      <c r="A762" t="inlineStr">
        <is>
          <t>A 57999-2025</t>
        </is>
      </c>
      <c r="B762" t="inlineStr">
        <is>
          <t>avverkningsanmälan</t>
        </is>
      </c>
      <c r="C762" t="inlineStr">
        <is>
          <t>Föryngringsavverkning</t>
        </is>
      </c>
      <c r="D762" s="1" t="n">
        <v>45982</v>
      </c>
      <c r="E762" s="1" t="n">
        <v>46272</v>
      </c>
      <c r="F762" t="inlineStr">
        <is>
          <t>GÄVLEBORGS LÄN</t>
        </is>
      </c>
      <c r="G762" t="inlineStr">
        <is>
          <t>HUDIKSVALL</t>
        </is>
      </c>
      <c r="I762" t="n">
        <v>0.9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t="n">
        <v>0</v>
      </c>
      <c r="S762" t="n">
        <v>0</v>
      </c>
      <c r="T762" t="n">
        <v>0</v>
      </c>
      <c r="U762" t="n">
        <v>0</v>
      </c>
      <c r="V762" s="2" t="inlineStr"/>
    </row>
    <row r="763" ht="15" customHeight="1">
      <c r="A763" t="inlineStr">
        <is>
          <t>A 10235-2026</t>
        </is>
      </c>
      <c r="B763" t="inlineStr">
        <is>
          <t>avverkningsanmälan</t>
        </is>
      </c>
      <c r="C763" t="inlineStr">
        <is>
          <t>Föryngringsavverkning</t>
        </is>
      </c>
      <c r="D763" s="1" t="n">
        <v>46076</v>
      </c>
      <c r="E763" s="1" t="n">
        <v>46272</v>
      </c>
      <c r="F763" t="inlineStr">
        <is>
          <t>GÄVLEBORGS LÄN</t>
        </is>
      </c>
      <c r="G763" t="inlineStr">
        <is>
          <t>HUDIKSVALL</t>
        </is>
      </c>
      <c r="I763" t="n">
        <v>7.7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t="n">
        <v>0</v>
      </c>
      <c r="S763" t="n">
        <v>0</v>
      </c>
      <c r="T763" t="n">
        <v>0</v>
      </c>
      <c r="U763" t="n">
        <v>0</v>
      </c>
      <c r="V763" s="2" t="inlineStr"/>
    </row>
    <row r="764" ht="15" customHeight="1">
      <c r="A764" t="inlineStr">
        <is>
          <t>A 10378-2026</t>
        </is>
      </c>
      <c r="B764" t="inlineStr">
        <is>
          <t>avverkningsanmälan</t>
        </is>
      </c>
      <c r="C764" t="inlineStr">
        <is>
          <t>Föryngringsavverkning</t>
        </is>
      </c>
      <c r="D764" s="1" t="n">
        <v>46076</v>
      </c>
      <c r="E764" s="1" t="n">
        <v>46272</v>
      </c>
      <c r="F764" t="inlineStr">
        <is>
          <t>GÄVLEBORGS LÄN</t>
        </is>
      </c>
      <c r="G764" t="inlineStr">
        <is>
          <t>HUDIKSVALL</t>
        </is>
      </c>
      <c r="H764" t="inlineStr">
        <is>
          <t>Holmen skog AB</t>
        </is>
      </c>
      <c r="I764" t="n">
        <v>1.9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t="n">
        <v>0</v>
      </c>
      <c r="S764" t="n">
        <v>0</v>
      </c>
      <c r="T764" t="n">
        <v>0</v>
      </c>
      <c r="U764" t="n">
        <v>0</v>
      </c>
      <c r="V764" s="2" t="inlineStr"/>
    </row>
    <row r="765" ht="15" customHeight="1">
      <c r="A765" t="inlineStr">
        <is>
          <t>A 10372-2026</t>
        </is>
      </c>
      <c r="B765" t="inlineStr">
        <is>
          <t>avverkningsanmälan</t>
        </is>
      </c>
      <c r="C765" t="inlineStr">
        <is>
          <t>Föryngringsavverkning</t>
        </is>
      </c>
      <c r="D765" s="1" t="n">
        <v>46076</v>
      </c>
      <c r="E765" s="1" t="n">
        <v>46272</v>
      </c>
      <c r="F765" t="inlineStr">
        <is>
          <t>GÄVLEBORGS LÄN</t>
        </is>
      </c>
      <c r="G765" t="inlineStr">
        <is>
          <t>HUDIKSVALL</t>
        </is>
      </c>
      <c r="H765" t="inlineStr">
        <is>
          <t>Holmen skog AB</t>
        </is>
      </c>
      <c r="I765" t="n">
        <v>0.6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t="n">
        <v>0</v>
      </c>
      <c r="S765" t="n">
        <v>0</v>
      </c>
      <c r="T765" t="n">
        <v>0</v>
      </c>
      <c r="U765" t="n">
        <v>0</v>
      </c>
      <c r="V765" s="2" t="inlineStr"/>
    </row>
    <row r="766" ht="15" customHeight="1">
      <c r="A766" t="inlineStr">
        <is>
          <t>A 58257-2025</t>
        </is>
      </c>
      <c r="B766" t="inlineStr">
        <is>
          <t>avverkningsanmälan</t>
        </is>
      </c>
      <c r="C766" t="inlineStr">
        <is>
          <t>Föryngringsavverkning</t>
        </is>
      </c>
      <c r="D766" s="1" t="n">
        <v>45985</v>
      </c>
      <c r="E766" s="1" t="n">
        <v>46272</v>
      </c>
      <c r="F766" t="inlineStr">
        <is>
          <t>GÄVLEBORGS LÄN</t>
        </is>
      </c>
      <c r="G766" t="inlineStr">
        <is>
          <t>HUDIKSVALL</t>
        </is>
      </c>
      <c r="H766" t="inlineStr">
        <is>
          <t>Holmen skog AB</t>
        </is>
      </c>
      <c r="I766" t="n">
        <v>1.3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t="n">
        <v>0</v>
      </c>
      <c r="S766" t="n">
        <v>0</v>
      </c>
      <c r="T766" t="n">
        <v>0</v>
      </c>
      <c r="U766" t="n">
        <v>0</v>
      </c>
      <c r="V766" s="2" t="inlineStr"/>
    </row>
    <row r="767" ht="15" customHeight="1">
      <c r="A767" t="inlineStr">
        <is>
          <t>A 58481-2025</t>
        </is>
      </c>
      <c r="B767" t="inlineStr">
        <is>
          <t>avverkningsanmälan</t>
        </is>
      </c>
      <c r="C767" t="inlineStr">
        <is>
          <t>Föryngringsavverkning</t>
        </is>
      </c>
      <c r="D767" s="1" t="n">
        <v>45985</v>
      </c>
      <c r="E767" s="1" t="n">
        <v>46272</v>
      </c>
      <c r="F767" t="inlineStr">
        <is>
          <t>GÄVLEBORGS LÄN</t>
        </is>
      </c>
      <c r="G767" t="inlineStr">
        <is>
          <t>HUDIKSVALL</t>
        </is>
      </c>
      <c r="I767" t="n">
        <v>2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t="n">
        <v>0</v>
      </c>
      <c r="S767" t="n">
        <v>0</v>
      </c>
      <c r="T767" t="n">
        <v>0</v>
      </c>
      <c r="U767" t="n">
        <v>0</v>
      </c>
      <c r="V767" s="2" t="inlineStr"/>
    </row>
    <row r="768" ht="15" customHeight="1">
      <c r="A768" t="inlineStr">
        <is>
          <t>A 10534-2026</t>
        </is>
      </c>
      <c r="B768" t="inlineStr">
        <is>
          <t>avverkningsanmälan</t>
        </is>
      </c>
      <c r="C768" t="inlineStr">
        <is>
          <t>Föryngringsavverkning</t>
        </is>
      </c>
      <c r="D768" s="1" t="n">
        <v>46077</v>
      </c>
      <c r="E768" s="1" t="n">
        <v>46272</v>
      </c>
      <c r="F768" t="inlineStr">
        <is>
          <t>GÄVLEBORGS LÄN</t>
        </is>
      </c>
      <c r="G768" t="inlineStr">
        <is>
          <t>HUDIKSVALL</t>
        </is>
      </c>
      <c r="I768" t="n">
        <v>1.6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t="n">
        <v>0</v>
      </c>
      <c r="S768" t="n">
        <v>0</v>
      </c>
      <c r="T768" t="n">
        <v>0</v>
      </c>
      <c r="U768" t="n">
        <v>0</v>
      </c>
      <c r="V768" s="2" t="inlineStr"/>
    </row>
    <row r="769" ht="15" customHeight="1">
      <c r="A769" t="inlineStr">
        <is>
          <t>A 10308-2026</t>
        </is>
      </c>
      <c r="B769" t="inlineStr">
        <is>
          <t>avverkningsanmälan</t>
        </is>
      </c>
      <c r="C769" t="inlineStr">
        <is>
          <t>Föryngringsavverkning</t>
        </is>
      </c>
      <c r="D769" s="1" t="n">
        <v>46076</v>
      </c>
      <c r="E769" s="1" t="n">
        <v>46272</v>
      </c>
      <c r="F769" t="inlineStr">
        <is>
          <t>GÄVLEBORGS LÄN</t>
        </is>
      </c>
      <c r="G769" t="inlineStr">
        <is>
          <t>HUDIKSVALL</t>
        </is>
      </c>
      <c r="H769" t="inlineStr">
        <is>
          <t>Sveaskog</t>
        </is>
      </c>
      <c r="I769" t="n">
        <v>5.4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t="n">
        <v>0</v>
      </c>
      <c r="S769" t="n">
        <v>0</v>
      </c>
      <c r="T769" t="n">
        <v>0</v>
      </c>
      <c r="U769" t="n">
        <v>0</v>
      </c>
      <c r="V769" s="2" t="inlineStr"/>
    </row>
    <row r="770" ht="15" customHeight="1">
      <c r="A770" t="inlineStr">
        <is>
          <t>A 44687-2024</t>
        </is>
      </c>
      <c r="B770" t="inlineStr">
        <is>
          <t>avverkningsanmälan</t>
        </is>
      </c>
      <c r="C770" t="inlineStr">
        <is>
          <t>Föryngringsavverkning</t>
        </is>
      </c>
      <c r="D770" s="1" t="n">
        <v>45574</v>
      </c>
      <c r="E770" s="1" t="n">
        <v>46272</v>
      </c>
      <c r="F770" t="inlineStr">
        <is>
          <t>GÄVLEBORGS LÄN</t>
        </is>
      </c>
      <c r="G770" t="inlineStr">
        <is>
          <t>HUDIKSVALL</t>
        </is>
      </c>
      <c r="I770" t="n">
        <v>17.3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t="n">
        <v>0</v>
      </c>
      <c r="S770" t="n">
        <v>0</v>
      </c>
      <c r="T770" t="n">
        <v>0</v>
      </c>
      <c r="U770" t="n">
        <v>0</v>
      </c>
      <c r="V770" s="2" t="inlineStr"/>
    </row>
    <row r="771" ht="15" customHeight="1">
      <c r="A771" t="inlineStr">
        <is>
          <t>A 58243-2025</t>
        </is>
      </c>
      <c r="B771" t="inlineStr">
        <is>
          <t>avverkningsanmälan</t>
        </is>
      </c>
      <c r="C771" t="inlineStr">
        <is>
          <t>Föryngringsavverkning</t>
        </is>
      </c>
      <c r="D771" s="1" t="n">
        <v>45985</v>
      </c>
      <c r="E771" s="1" t="n">
        <v>46272</v>
      </c>
      <c r="F771" t="inlineStr">
        <is>
          <t>GÄVLEBORGS LÄN</t>
        </is>
      </c>
      <c r="G771" t="inlineStr">
        <is>
          <t>HUDIKSVALL</t>
        </is>
      </c>
      <c r="H771" t="inlineStr">
        <is>
          <t>Holmen skog AB</t>
        </is>
      </c>
      <c r="I771" t="n">
        <v>3.9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t="n">
        <v>0</v>
      </c>
      <c r="S771" t="n">
        <v>0</v>
      </c>
      <c r="T771" t="n">
        <v>0</v>
      </c>
      <c r="U771" t="n">
        <v>0</v>
      </c>
      <c r="V771" s="2" t="inlineStr"/>
    </row>
    <row r="772" ht="15" customHeight="1">
      <c r="A772" t="inlineStr">
        <is>
          <t>A 58529-2025</t>
        </is>
      </c>
      <c r="B772" t="inlineStr">
        <is>
          <t>avverkningsanmälan</t>
        </is>
      </c>
      <c r="C772" t="inlineStr">
        <is>
          <t>Föryngringsavverkning</t>
        </is>
      </c>
      <c r="D772" s="1" t="n">
        <v>45985</v>
      </c>
      <c r="E772" s="1" t="n">
        <v>46272</v>
      </c>
      <c r="F772" t="inlineStr">
        <is>
          <t>GÄVLEBORGS LÄN</t>
        </is>
      </c>
      <c r="G772" t="inlineStr">
        <is>
          <t>HUDIKSVALL</t>
        </is>
      </c>
      <c r="H772" t="inlineStr">
        <is>
          <t>Holmen skog AB</t>
        </is>
      </c>
      <c r="I772" t="n">
        <v>1.2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t="n">
        <v>0</v>
      </c>
      <c r="S772" t="n">
        <v>0</v>
      </c>
      <c r="T772" t="n">
        <v>0</v>
      </c>
      <c r="U772" t="n">
        <v>0</v>
      </c>
      <c r="V772" s="2" t="inlineStr"/>
    </row>
    <row r="773" ht="15" customHeight="1">
      <c r="A773" t="inlineStr">
        <is>
          <t>A 58561-2025</t>
        </is>
      </c>
      <c r="B773" t="inlineStr">
        <is>
          <t>avverkningsanmälan</t>
        </is>
      </c>
      <c r="C773" t="inlineStr">
        <is>
          <t>Föryngringsavverkning</t>
        </is>
      </c>
      <c r="D773" s="1" t="n">
        <v>45986</v>
      </c>
      <c r="E773" s="1" t="n">
        <v>46272</v>
      </c>
      <c r="F773" t="inlineStr">
        <is>
          <t>GÄVLEBORGS LÄN</t>
        </is>
      </c>
      <c r="G773" t="inlineStr">
        <is>
          <t>HUDIKSVALL</t>
        </is>
      </c>
      <c r="I773" t="n">
        <v>0.7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t="n">
        <v>0</v>
      </c>
      <c r="S773" t="n">
        <v>0</v>
      </c>
      <c r="T773" t="n">
        <v>0</v>
      </c>
      <c r="U773" t="n">
        <v>0</v>
      </c>
      <c r="V773" s="2" t="inlineStr"/>
    </row>
    <row r="774" ht="15" customHeight="1">
      <c r="A774" t="inlineStr">
        <is>
          <t>A 10374-2026</t>
        </is>
      </c>
      <c r="B774" t="inlineStr">
        <is>
          <t>avverkningsanmälan</t>
        </is>
      </c>
      <c r="C774" t="inlineStr">
        <is>
          <t>Föryngringsavverkning</t>
        </is>
      </c>
      <c r="D774" s="1" t="n">
        <v>46076</v>
      </c>
      <c r="E774" s="1" t="n">
        <v>46272</v>
      </c>
      <c r="F774" t="inlineStr">
        <is>
          <t>GÄVLEBORGS LÄN</t>
        </is>
      </c>
      <c r="G774" t="inlineStr">
        <is>
          <t>HUDIKSVALL</t>
        </is>
      </c>
      <c r="H774" t="inlineStr">
        <is>
          <t>Holmen skog AB</t>
        </is>
      </c>
      <c r="I774" t="n">
        <v>1.7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t="n">
        <v>0</v>
      </c>
      <c r="S774" t="n">
        <v>0</v>
      </c>
      <c r="T774" t="n">
        <v>0</v>
      </c>
      <c r="U774" t="n">
        <v>0</v>
      </c>
      <c r="V774" s="2" t="inlineStr"/>
    </row>
    <row r="775" ht="15" customHeight="1">
      <c r="A775" t="inlineStr">
        <is>
          <t>A 33959-2023</t>
        </is>
      </c>
      <c r="B775" t="inlineStr">
        <is>
          <t>avverkningsanmälan</t>
        </is>
      </c>
      <c r="C775" t="inlineStr">
        <is>
          <t>Föryngringsavverkning</t>
        </is>
      </c>
      <c r="D775" s="1" t="n">
        <v>45124</v>
      </c>
      <c r="E775" s="1" t="n">
        <v>46272</v>
      </c>
      <c r="F775" t="inlineStr">
        <is>
          <t>GÄVLEBORGS LÄN</t>
        </is>
      </c>
      <c r="G775" t="inlineStr">
        <is>
          <t>HUDIKSVALL</t>
        </is>
      </c>
      <c r="I775" t="n">
        <v>2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t="n">
        <v>0</v>
      </c>
      <c r="S775" t="n">
        <v>0</v>
      </c>
      <c r="T775" t="n">
        <v>0</v>
      </c>
      <c r="U775" t="n">
        <v>0</v>
      </c>
      <c r="V775" s="2" t="inlineStr"/>
    </row>
    <row r="776" ht="15" customHeight="1">
      <c r="A776" t="inlineStr">
        <is>
          <t>A 10839-2026</t>
        </is>
      </c>
      <c r="B776" t="inlineStr">
        <is>
          <t>avverkningsanmälan</t>
        </is>
      </c>
      <c r="C776" t="inlineStr">
        <is>
          <t>Föryngringsavverkning</t>
        </is>
      </c>
      <c r="D776" s="1" t="n">
        <v>46078</v>
      </c>
      <c r="E776" s="1" t="n">
        <v>46272</v>
      </c>
      <c r="F776" t="inlineStr">
        <is>
          <t>GÄVLEBORGS LÄN</t>
        </is>
      </c>
      <c r="G776" t="inlineStr">
        <is>
          <t>HUDIKSVALL</t>
        </is>
      </c>
      <c r="H776" t="inlineStr">
        <is>
          <t>Holmen skog AB</t>
        </is>
      </c>
      <c r="I776" t="n">
        <v>5.4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t="n">
        <v>0</v>
      </c>
      <c r="S776" t="n">
        <v>0</v>
      </c>
      <c r="T776" t="n">
        <v>0</v>
      </c>
      <c r="U776" t="n">
        <v>0</v>
      </c>
      <c r="V776" s="2" t="inlineStr"/>
    </row>
    <row r="777" ht="15" customHeight="1">
      <c r="A777" t="inlineStr">
        <is>
          <t>A 9366-2024</t>
        </is>
      </c>
      <c r="B777" t="inlineStr">
        <is>
          <t>avverkningsanmälan</t>
        </is>
      </c>
      <c r="C777" t="inlineStr">
        <is>
          <t>Föryngringsavverkning</t>
        </is>
      </c>
      <c r="D777" s="1" t="n">
        <v>45359</v>
      </c>
      <c r="E777" s="1" t="n">
        <v>46272</v>
      </c>
      <c r="F777" t="inlineStr">
        <is>
          <t>GÄVLEBORGS LÄN</t>
        </is>
      </c>
      <c r="G777" t="inlineStr">
        <is>
          <t>HUDIKSVALL</t>
        </is>
      </c>
      <c r="H777" t="inlineStr">
        <is>
          <t>Holmen skog AB</t>
        </is>
      </c>
      <c r="I777" t="n">
        <v>13.6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t="n">
        <v>0</v>
      </c>
      <c r="S777" t="n">
        <v>0</v>
      </c>
      <c r="T777" t="n">
        <v>0</v>
      </c>
      <c r="U777" t="n">
        <v>0</v>
      </c>
      <c r="V777" s="2" t="inlineStr"/>
    </row>
    <row r="778" ht="15" customHeight="1">
      <c r="A778" t="inlineStr">
        <is>
          <t>A 9824-2026</t>
        </is>
      </c>
      <c r="B778" t="inlineStr">
        <is>
          <t>avverkningsanmälan</t>
        </is>
      </c>
      <c r="C778" t="inlineStr">
        <is>
          <t>Föryngringsavverkning</t>
        </is>
      </c>
      <c r="D778" s="1" t="n">
        <v>46072</v>
      </c>
      <c r="E778" s="1" t="n">
        <v>46272</v>
      </c>
      <c r="F778" t="inlineStr">
        <is>
          <t>GÄVLEBORGS LÄN</t>
        </is>
      </c>
      <c r="G778" t="inlineStr">
        <is>
          <t>HUDIKSVALL</t>
        </is>
      </c>
      <c r="I778" t="n">
        <v>1.4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t="n">
        <v>0</v>
      </c>
      <c r="S778" t="n">
        <v>0</v>
      </c>
      <c r="T778" t="n">
        <v>0</v>
      </c>
      <c r="U778" t="n">
        <v>0</v>
      </c>
      <c r="V778" s="2" t="inlineStr"/>
    </row>
    <row r="779" ht="15" customHeight="1">
      <c r="A779" t="inlineStr">
        <is>
          <t>A 58562-2025</t>
        </is>
      </c>
      <c r="B779" t="inlineStr">
        <is>
          <t>avverkningsanmälan</t>
        </is>
      </c>
      <c r="C779" t="inlineStr">
        <is>
          <t>Föryngringsavverkning</t>
        </is>
      </c>
      <c r="D779" s="1" t="n">
        <v>45986</v>
      </c>
      <c r="E779" s="1" t="n">
        <v>46272</v>
      </c>
      <c r="F779" t="inlineStr">
        <is>
          <t>GÄVLEBORGS LÄN</t>
        </is>
      </c>
      <c r="G779" t="inlineStr">
        <is>
          <t>HUDIKSVALL</t>
        </is>
      </c>
      <c r="I779" t="n">
        <v>0.7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t="n">
        <v>0</v>
      </c>
      <c r="S779" t="n">
        <v>0</v>
      </c>
      <c r="T779" t="n">
        <v>0</v>
      </c>
      <c r="U779" t="n">
        <v>0</v>
      </c>
      <c r="V779" s="2" t="inlineStr"/>
    </row>
    <row r="780" ht="15" customHeight="1">
      <c r="A780" t="inlineStr">
        <is>
          <t>A 58843-2025</t>
        </is>
      </c>
      <c r="B780" t="inlineStr">
        <is>
          <t>avverkningsanmälan</t>
        </is>
      </c>
      <c r="C780" t="inlineStr">
        <is>
          <t>Avverkning för annat ändamål</t>
        </is>
      </c>
      <c r="D780" s="1" t="n">
        <v>45987</v>
      </c>
      <c r="E780" s="1" t="n">
        <v>46272</v>
      </c>
      <c r="F780" t="inlineStr">
        <is>
          <t>GÄVLEBORGS LÄN</t>
        </is>
      </c>
      <c r="G780" t="inlineStr">
        <is>
          <t>HUDIKSVALL</t>
        </is>
      </c>
      <c r="I780" t="n">
        <v>1.5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t="n">
        <v>0</v>
      </c>
      <c r="S780" t="n">
        <v>0</v>
      </c>
      <c r="T780" t="n">
        <v>0</v>
      </c>
      <c r="U780" t="n">
        <v>0</v>
      </c>
      <c r="V780" s="2" t="inlineStr"/>
    </row>
    <row r="781" ht="15" customHeight="1">
      <c r="A781" t="inlineStr">
        <is>
          <t>A 58560-2025</t>
        </is>
      </c>
      <c r="B781" t="inlineStr">
        <is>
          <t>avverkningsanmälan</t>
        </is>
      </c>
      <c r="C781" t="inlineStr">
        <is>
          <t>Föryngringsavverkning</t>
        </is>
      </c>
      <c r="D781" s="1" t="n">
        <v>45986</v>
      </c>
      <c r="E781" s="1" t="n">
        <v>46272</v>
      </c>
      <c r="F781" t="inlineStr">
        <is>
          <t>GÄVLEBORGS LÄN</t>
        </is>
      </c>
      <c r="G781" t="inlineStr">
        <is>
          <t>HUDIKSVALL</t>
        </is>
      </c>
      <c r="I781" t="n">
        <v>2.1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t="n">
        <v>0</v>
      </c>
      <c r="S781" t="n">
        <v>0</v>
      </c>
      <c r="T781" t="n">
        <v>0</v>
      </c>
      <c r="U781" t="n">
        <v>0</v>
      </c>
      <c r="V781" s="2" t="inlineStr"/>
    </row>
    <row r="782" ht="15" customHeight="1">
      <c r="A782" t="inlineStr">
        <is>
          <t>A 40876-2022</t>
        </is>
      </c>
      <c r="B782" t="inlineStr">
        <is>
          <t>avverkningsanmälan</t>
        </is>
      </c>
      <c r="C782" t="inlineStr">
        <is>
          <t>Föryngringsavverkning</t>
        </is>
      </c>
      <c r="D782" s="1" t="n">
        <v>44825</v>
      </c>
      <c r="E782" s="1" t="n">
        <v>46272</v>
      </c>
      <c r="F782" t="inlineStr">
        <is>
          <t>GÄVLEBORGS LÄN</t>
        </is>
      </c>
      <c r="G782" t="inlineStr">
        <is>
          <t>HUDIKSVALL</t>
        </is>
      </c>
      <c r="I782" t="n">
        <v>1.2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t="n">
        <v>0</v>
      </c>
      <c r="S782" t="n">
        <v>0</v>
      </c>
      <c r="T782" t="n">
        <v>0</v>
      </c>
      <c r="U782" t="n">
        <v>0</v>
      </c>
      <c r="V782" s="2" t="inlineStr"/>
    </row>
    <row r="783" ht="15" customHeight="1">
      <c r="A783" t="inlineStr">
        <is>
          <t>A 58782-2025</t>
        </is>
      </c>
      <c r="B783" t="inlineStr">
        <is>
          <t>avverkningsanmälan</t>
        </is>
      </c>
      <c r="C783" t="inlineStr">
        <is>
          <t>Föryngringsavverkning</t>
        </is>
      </c>
      <c r="D783" s="1" t="n">
        <v>45986</v>
      </c>
      <c r="E783" s="1" t="n">
        <v>46272</v>
      </c>
      <c r="F783" t="inlineStr">
        <is>
          <t>GÄVLEBORGS LÄN</t>
        </is>
      </c>
      <c r="G783" t="inlineStr">
        <is>
          <t>HUDIKSVALL</t>
        </is>
      </c>
      <c r="I783" t="n">
        <v>8.9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t="n">
        <v>0</v>
      </c>
      <c r="S783" t="n">
        <v>0</v>
      </c>
      <c r="T783" t="n">
        <v>0</v>
      </c>
      <c r="U783" t="n">
        <v>0</v>
      </c>
      <c r="V783" s="2" t="inlineStr"/>
    </row>
    <row r="784" ht="15" customHeight="1">
      <c r="A784" t="inlineStr">
        <is>
          <t>A 58530-2025</t>
        </is>
      </c>
      <c r="B784" t="inlineStr">
        <is>
          <t>avverkningsanmälan</t>
        </is>
      </c>
      <c r="C784" t="inlineStr">
        <is>
          <t>Föryngringsavverkning</t>
        </is>
      </c>
      <c r="D784" s="1" t="n">
        <v>45985</v>
      </c>
      <c r="E784" s="1" t="n">
        <v>46272</v>
      </c>
      <c r="F784" t="inlineStr">
        <is>
          <t>GÄVLEBORGS LÄN</t>
        </is>
      </c>
      <c r="G784" t="inlineStr">
        <is>
          <t>HUDIKSVALL</t>
        </is>
      </c>
      <c r="H784" t="inlineStr">
        <is>
          <t>Holmen skog AB</t>
        </is>
      </c>
      <c r="I784" t="n">
        <v>0.5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t="n">
        <v>0</v>
      </c>
      <c r="S784" t="n">
        <v>0</v>
      </c>
      <c r="T784" t="n">
        <v>0</v>
      </c>
      <c r="U784" t="n">
        <v>0</v>
      </c>
      <c r="V784" s="2" t="inlineStr"/>
    </row>
    <row r="785" ht="15" customHeight="1">
      <c r="A785" t="inlineStr">
        <is>
          <t>A 59325-2025</t>
        </is>
      </c>
      <c r="B785" t="inlineStr">
        <is>
          <t>avverkningsanmälan</t>
        </is>
      </c>
      <c r="C785" t="inlineStr">
        <is>
          <t>Föryngringsavverkning</t>
        </is>
      </c>
      <c r="D785" s="1" t="n">
        <v>45989</v>
      </c>
      <c r="E785" s="1" t="n">
        <v>46272</v>
      </c>
      <c r="F785" t="inlineStr">
        <is>
          <t>GÄVLEBORGS LÄN</t>
        </is>
      </c>
      <c r="G785" t="inlineStr">
        <is>
          <t>HUDIKSVALL</t>
        </is>
      </c>
      <c r="I785" t="n">
        <v>4.5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t="n">
        <v>0</v>
      </c>
      <c r="S785" t="n">
        <v>0</v>
      </c>
      <c r="T785" t="n">
        <v>0</v>
      </c>
      <c r="U785" t="n">
        <v>0</v>
      </c>
      <c r="V785" s="2" t="inlineStr"/>
    </row>
    <row r="786" ht="15" customHeight="1">
      <c r="A786" t="inlineStr">
        <is>
          <t>A 32308-2024</t>
        </is>
      </c>
      <c r="B786" t="inlineStr">
        <is>
          <t>avverkningsanmälan</t>
        </is>
      </c>
      <c r="C786" t="inlineStr">
        <is>
          <t>Föryngringsavverkning</t>
        </is>
      </c>
      <c r="D786" s="1" t="n">
        <v>45512</v>
      </c>
      <c r="E786" s="1" t="n">
        <v>46272</v>
      </c>
      <c r="F786" t="inlineStr">
        <is>
          <t>GÄVLEBORGS LÄN</t>
        </is>
      </c>
      <c r="G786" t="inlineStr">
        <is>
          <t>HUDIKSVALL</t>
        </is>
      </c>
      <c r="H786" t="inlineStr">
        <is>
          <t>Holmen skog AB</t>
        </is>
      </c>
      <c r="I786" t="n">
        <v>6.8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t="n">
        <v>0</v>
      </c>
      <c r="S786" t="n">
        <v>0</v>
      </c>
      <c r="T786" t="n">
        <v>0</v>
      </c>
      <c r="U786" t="n">
        <v>0</v>
      </c>
      <c r="V786" s="2" t="inlineStr"/>
    </row>
    <row r="787" ht="15" customHeight="1">
      <c r="A787" t="inlineStr">
        <is>
          <t>A 11373-2024</t>
        </is>
      </c>
      <c r="B787" t="inlineStr">
        <is>
          <t>avverkningsanmälan</t>
        </is>
      </c>
      <c r="C787" t="inlineStr">
        <is>
          <t>Föryngringsavverkning</t>
        </is>
      </c>
      <c r="D787" s="1" t="n">
        <v>45372</v>
      </c>
      <c r="E787" s="1" t="n">
        <v>46272</v>
      </c>
      <c r="F787" t="inlineStr">
        <is>
          <t>GÄVLEBORGS LÄN</t>
        </is>
      </c>
      <c r="G787" t="inlineStr">
        <is>
          <t>HUDIKSVALL</t>
        </is>
      </c>
      <c r="H787" t="inlineStr">
        <is>
          <t>Holmen skog AB</t>
        </is>
      </c>
      <c r="I787" t="n">
        <v>5.3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t="n">
        <v>0</v>
      </c>
      <c r="S787" t="n">
        <v>0</v>
      </c>
      <c r="T787" t="n">
        <v>0</v>
      </c>
      <c r="U787" t="n">
        <v>0</v>
      </c>
      <c r="V787" s="2" t="inlineStr"/>
    </row>
    <row r="788" ht="15" customHeight="1">
      <c r="A788" t="inlineStr">
        <is>
          <t>A 59096-2025</t>
        </is>
      </c>
      <c r="B788" t="inlineStr">
        <is>
          <t>avverkningsanmälan</t>
        </is>
      </c>
      <c r="C788" t="inlineStr">
        <is>
          <t>Föryngringsavverkning</t>
        </is>
      </c>
      <c r="D788" s="1" t="n">
        <v>45988</v>
      </c>
      <c r="E788" s="1" t="n">
        <v>46272</v>
      </c>
      <c r="F788" t="inlineStr">
        <is>
          <t>GÄVLEBORGS LÄN</t>
        </is>
      </c>
      <c r="G788" t="inlineStr">
        <is>
          <t>HUDIKSVALL</t>
        </is>
      </c>
      <c r="I788" t="n">
        <v>12.9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t="n">
        <v>0</v>
      </c>
      <c r="S788" t="n">
        <v>0</v>
      </c>
      <c r="T788" t="n">
        <v>0</v>
      </c>
      <c r="U788" t="n">
        <v>0</v>
      </c>
      <c r="V788" s="2" t="inlineStr"/>
    </row>
    <row r="789" ht="15" customHeight="1">
      <c r="A789" t="inlineStr">
        <is>
          <t>A 15486-2024</t>
        </is>
      </c>
      <c r="B789" t="inlineStr">
        <is>
          <t>avverkningsanmälan</t>
        </is>
      </c>
      <c r="C789" t="inlineStr">
        <is>
          <t>Föryngringsavverkning</t>
        </is>
      </c>
      <c r="D789" s="1" t="n">
        <v>45401</v>
      </c>
      <c r="E789" s="1" t="n">
        <v>46272</v>
      </c>
      <c r="F789" t="inlineStr">
        <is>
          <t>GÄVLEBORGS LÄN</t>
        </is>
      </c>
      <c r="G789" t="inlineStr">
        <is>
          <t>HUDIKSVALL</t>
        </is>
      </c>
      <c r="I789" t="n">
        <v>2.8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t="n">
        <v>0</v>
      </c>
      <c r="S789" t="n">
        <v>0</v>
      </c>
      <c r="T789" t="n">
        <v>0</v>
      </c>
      <c r="U789" t="n">
        <v>0</v>
      </c>
      <c r="V789" s="2" t="inlineStr"/>
    </row>
    <row r="790" ht="15" customHeight="1">
      <c r="A790" t="inlineStr">
        <is>
          <t>A 59488-2025</t>
        </is>
      </c>
      <c r="B790" t="inlineStr">
        <is>
          <t>avverkningsanmälan</t>
        </is>
      </c>
      <c r="C790" t="inlineStr">
        <is>
          <t>Föryngringsavverkning</t>
        </is>
      </c>
      <c r="D790" s="1" t="n">
        <v>45989</v>
      </c>
      <c r="E790" s="1" t="n">
        <v>46272</v>
      </c>
      <c r="F790" t="inlineStr">
        <is>
          <t>GÄVLEBORGS LÄN</t>
        </is>
      </c>
      <c r="G790" t="inlineStr">
        <is>
          <t>HUDIKSVALL</t>
        </is>
      </c>
      <c r="H790" t="inlineStr">
        <is>
          <t>Holmen skog AB</t>
        </is>
      </c>
      <c r="I790" t="n">
        <v>3.4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t="n">
        <v>0</v>
      </c>
      <c r="S790" t="n">
        <v>0</v>
      </c>
      <c r="T790" t="n">
        <v>0</v>
      </c>
      <c r="U790" t="n">
        <v>0</v>
      </c>
      <c r="V790" s="2" t="inlineStr"/>
    </row>
    <row r="791" ht="15" customHeight="1">
      <c r="A791" t="inlineStr">
        <is>
          <t>A 60066-2025</t>
        </is>
      </c>
      <c r="B791" t="inlineStr">
        <is>
          <t>avverkningsanmälan</t>
        </is>
      </c>
      <c r="C791" t="inlineStr">
        <is>
          <t>Föryngringsavverkning</t>
        </is>
      </c>
      <c r="D791" s="1" t="n">
        <v>45993</v>
      </c>
      <c r="E791" s="1" t="n">
        <v>46272</v>
      </c>
      <c r="F791" t="inlineStr">
        <is>
          <t>GÄVLEBORGS LÄN</t>
        </is>
      </c>
      <c r="G791" t="inlineStr">
        <is>
          <t>HUDIKSVALL</t>
        </is>
      </c>
      <c r="I791" t="n">
        <v>1.2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t="n">
        <v>0</v>
      </c>
      <c r="S791" t="n">
        <v>0</v>
      </c>
      <c r="T791" t="n">
        <v>0</v>
      </c>
      <c r="U791" t="n">
        <v>0</v>
      </c>
      <c r="V791" s="2" t="inlineStr"/>
    </row>
    <row r="792" ht="15" customHeight="1">
      <c r="A792" t="inlineStr">
        <is>
          <t>A 60073-2025</t>
        </is>
      </c>
      <c r="B792" t="inlineStr">
        <is>
          <t>avverkningsanmälan</t>
        </is>
      </c>
      <c r="C792" t="inlineStr">
        <is>
          <t>Föryngringsavverkning</t>
        </is>
      </c>
      <c r="D792" s="1" t="n">
        <v>45993</v>
      </c>
      <c r="E792" s="1" t="n">
        <v>46272</v>
      </c>
      <c r="F792" t="inlineStr">
        <is>
          <t>GÄVLEBORGS LÄN</t>
        </is>
      </c>
      <c r="G792" t="inlineStr">
        <is>
          <t>HUDIKSVALL</t>
        </is>
      </c>
      <c r="I792" t="n">
        <v>3.9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t="n">
        <v>0</v>
      </c>
      <c r="S792" t="n">
        <v>0</v>
      </c>
      <c r="T792" t="n">
        <v>0</v>
      </c>
      <c r="U792" t="n">
        <v>0</v>
      </c>
      <c r="V792" s="2" t="inlineStr"/>
    </row>
    <row r="793" ht="15" customHeight="1">
      <c r="A793" t="inlineStr">
        <is>
          <t>A 59781-2025</t>
        </is>
      </c>
      <c r="B793" t="inlineStr">
        <is>
          <t>avverkningsanmälan</t>
        </is>
      </c>
      <c r="C793" t="inlineStr">
        <is>
          <t>Föryngringsavverkning</t>
        </is>
      </c>
      <c r="D793" s="1" t="n">
        <v>45992</v>
      </c>
      <c r="E793" s="1" t="n">
        <v>46272</v>
      </c>
      <c r="F793" t="inlineStr">
        <is>
          <t>GÄVLEBORGS LÄN</t>
        </is>
      </c>
      <c r="G793" t="inlineStr">
        <is>
          <t>HUDIKSVALL</t>
        </is>
      </c>
      <c r="I793" t="n">
        <v>1.3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t="n">
        <v>0</v>
      </c>
      <c r="S793" t="n">
        <v>0</v>
      </c>
      <c r="T793" t="n">
        <v>0</v>
      </c>
      <c r="U793" t="n">
        <v>0</v>
      </c>
      <c r="V793" s="2" t="inlineStr"/>
    </row>
    <row r="794" ht="15" customHeight="1">
      <c r="A794" t="inlineStr">
        <is>
          <t>A 39858-2023</t>
        </is>
      </c>
      <c r="B794" t="inlineStr">
        <is>
          <t>avverkningsanmälan</t>
        </is>
      </c>
      <c r="C794" t="inlineStr">
        <is>
          <t>Föryngringsavverkning</t>
        </is>
      </c>
      <c r="D794" s="1" t="n">
        <v>45168</v>
      </c>
      <c r="E794" s="1" t="n">
        <v>46272</v>
      </c>
      <c r="F794" t="inlineStr">
        <is>
          <t>GÄVLEBORGS LÄN</t>
        </is>
      </c>
      <c r="G794" t="inlineStr">
        <is>
          <t>HUDIKSVALL</t>
        </is>
      </c>
      <c r="H794" t="inlineStr">
        <is>
          <t>Holmen skog AB</t>
        </is>
      </c>
      <c r="I794" t="n">
        <v>2.1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t="n">
        <v>0</v>
      </c>
      <c r="S794" t="n">
        <v>0</v>
      </c>
      <c r="T794" t="n">
        <v>0</v>
      </c>
      <c r="U794" t="n">
        <v>0</v>
      </c>
      <c r="V794" s="2" t="inlineStr"/>
    </row>
    <row r="795" ht="15" customHeight="1">
      <c r="A795" t="inlineStr">
        <is>
          <t>A 15242-2023</t>
        </is>
      </c>
      <c r="B795" t="inlineStr">
        <is>
          <t>avverkningsanmälan</t>
        </is>
      </c>
      <c r="C795" t="inlineStr">
        <is>
          <t>Föryngringsavverkning</t>
        </is>
      </c>
      <c r="D795" s="1" t="n">
        <v>45019</v>
      </c>
      <c r="E795" s="1" t="n">
        <v>46272</v>
      </c>
      <c r="F795" t="inlineStr">
        <is>
          <t>GÄVLEBORGS LÄN</t>
        </is>
      </c>
      <c r="G795" t="inlineStr">
        <is>
          <t>HUDIKSVALL</t>
        </is>
      </c>
      <c r="I795" t="n">
        <v>2.7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t="n">
        <v>0</v>
      </c>
      <c r="S795" t="n">
        <v>0</v>
      </c>
      <c r="T795" t="n">
        <v>0</v>
      </c>
      <c r="U795" t="n">
        <v>0</v>
      </c>
      <c r="V795" s="2" t="inlineStr"/>
    </row>
    <row r="796" ht="15" customHeight="1">
      <c r="A796" t="inlineStr">
        <is>
          <t>A 59595-2025</t>
        </is>
      </c>
      <c r="B796" t="inlineStr">
        <is>
          <t>avverkningsanmälan</t>
        </is>
      </c>
      <c r="C796" t="inlineStr">
        <is>
          <t>Avverkning för annat ändamål</t>
        </is>
      </c>
      <c r="D796" s="1" t="n">
        <v>45992</v>
      </c>
      <c r="E796" s="1" t="n">
        <v>46272</v>
      </c>
      <c r="F796" t="inlineStr">
        <is>
          <t>GÄVLEBORGS LÄN</t>
        </is>
      </c>
      <c r="G796" t="inlineStr">
        <is>
          <t>HUDIKSVALL</t>
        </is>
      </c>
      <c r="I796" t="n">
        <v>2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t="n">
        <v>0</v>
      </c>
      <c r="S796" t="n">
        <v>0</v>
      </c>
      <c r="T796" t="n">
        <v>0</v>
      </c>
      <c r="U796" t="n">
        <v>0</v>
      </c>
      <c r="V796" s="2" t="inlineStr"/>
    </row>
    <row r="797" ht="15" customHeight="1">
      <c r="A797" t="inlineStr">
        <is>
          <t>A 23964-2025</t>
        </is>
      </c>
      <c r="B797" t="inlineStr">
        <is>
          <t>avverkningsanmälan</t>
        </is>
      </c>
      <c r="C797" t="inlineStr">
        <is>
          <t>Föryngringsavverkning</t>
        </is>
      </c>
      <c r="D797" s="1" t="n">
        <v>45796</v>
      </c>
      <c r="E797" s="1" t="n">
        <v>46272</v>
      </c>
      <c r="F797" t="inlineStr">
        <is>
          <t>GÄVLEBORGS LÄN</t>
        </is>
      </c>
      <c r="G797" t="inlineStr">
        <is>
          <t>HUDIKSVALL</t>
        </is>
      </c>
      <c r="H797" t="inlineStr">
        <is>
          <t>Holmen skog AB</t>
        </is>
      </c>
      <c r="I797" t="n">
        <v>9.5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t="n">
        <v>0</v>
      </c>
      <c r="S797" t="n">
        <v>0</v>
      </c>
      <c r="T797" t="n">
        <v>0</v>
      </c>
      <c r="U797" t="n">
        <v>0</v>
      </c>
      <c r="V797" s="2" t="inlineStr"/>
    </row>
    <row r="798" ht="15" customHeight="1">
      <c r="A798" t="inlineStr">
        <is>
          <t>A 60319-2025</t>
        </is>
      </c>
      <c r="B798" t="inlineStr">
        <is>
          <t>avverkningsanmälan</t>
        </is>
      </c>
      <c r="C798" t="inlineStr">
        <is>
          <t>Föryngringsavverkning</t>
        </is>
      </c>
      <c r="D798" s="1" t="n">
        <v>45994</v>
      </c>
      <c r="E798" s="1" t="n">
        <v>46272</v>
      </c>
      <c r="F798" t="inlineStr">
        <is>
          <t>GÄVLEBORGS LÄN</t>
        </is>
      </c>
      <c r="G798" t="inlineStr">
        <is>
          <t>HUDIKSVALL</t>
        </is>
      </c>
      <c r="I798" t="n">
        <v>1.1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t="n">
        <v>0</v>
      </c>
      <c r="S798" t="n">
        <v>0</v>
      </c>
      <c r="T798" t="n">
        <v>0</v>
      </c>
      <c r="U798" t="n">
        <v>0</v>
      </c>
      <c r="V798" s="2" t="inlineStr"/>
    </row>
    <row r="799" ht="15" customHeight="1">
      <c r="A799" t="inlineStr">
        <is>
          <t>A 45221-2023</t>
        </is>
      </c>
      <c r="B799" t="inlineStr">
        <is>
          <t>avverkningsanmälan</t>
        </is>
      </c>
      <c r="C799" t="inlineStr">
        <is>
          <t>Föryngringsavverkning</t>
        </is>
      </c>
      <c r="D799" s="1" t="n">
        <v>45191</v>
      </c>
      <c r="E799" s="1" t="n">
        <v>46272</v>
      </c>
      <c r="F799" t="inlineStr">
        <is>
          <t>GÄVLEBORGS LÄN</t>
        </is>
      </c>
      <c r="G799" t="inlineStr">
        <is>
          <t>HUDIKSVALL</t>
        </is>
      </c>
      <c r="H799" t="inlineStr">
        <is>
          <t>Holmen skog AB</t>
        </is>
      </c>
      <c r="I799" t="n">
        <v>1.2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t="n">
        <v>0</v>
      </c>
      <c r="S799" t="n">
        <v>0</v>
      </c>
      <c r="T799" t="n">
        <v>0</v>
      </c>
      <c r="U799" t="n">
        <v>0</v>
      </c>
      <c r="V799" s="2" t="inlineStr"/>
    </row>
    <row r="800" ht="15" customHeight="1">
      <c r="A800" t="inlineStr">
        <is>
          <t>A 60427-2025</t>
        </is>
      </c>
      <c r="B800" t="inlineStr">
        <is>
          <t>avverkningsanmälan</t>
        </is>
      </c>
      <c r="C800" t="inlineStr">
        <is>
          <t>Föryngringsavverkning</t>
        </is>
      </c>
      <c r="D800" s="1" t="n">
        <v>45995</v>
      </c>
      <c r="E800" s="1" t="n">
        <v>46272</v>
      </c>
      <c r="F800" t="inlineStr">
        <is>
          <t>GÄVLEBORGS LÄN</t>
        </is>
      </c>
      <c r="G800" t="inlineStr">
        <is>
          <t>HUDIKSVALL</t>
        </is>
      </c>
      <c r="I800" t="n">
        <v>11.5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t="n">
        <v>0</v>
      </c>
      <c r="S800" t="n">
        <v>0</v>
      </c>
      <c r="T800" t="n">
        <v>0</v>
      </c>
      <c r="U800" t="n">
        <v>0</v>
      </c>
      <c r="V800" s="2" t="inlineStr"/>
    </row>
    <row r="801" ht="15" customHeight="1">
      <c r="A801" t="inlineStr">
        <is>
          <t>A 23663-2025</t>
        </is>
      </c>
      <c r="B801" t="inlineStr">
        <is>
          <t>avverkningsanmälan</t>
        </is>
      </c>
      <c r="C801" t="inlineStr">
        <is>
          <t>Föryngringsavverkning</t>
        </is>
      </c>
      <c r="D801" s="1" t="n">
        <v>45792</v>
      </c>
      <c r="E801" s="1" t="n">
        <v>46272</v>
      </c>
      <c r="F801" t="inlineStr">
        <is>
          <t>GÄVLEBORGS LÄN</t>
        </is>
      </c>
      <c r="G801" t="inlineStr">
        <is>
          <t>HUDIKSVALL</t>
        </is>
      </c>
      <c r="H801" t="inlineStr">
        <is>
          <t>Holmen skog AB</t>
        </is>
      </c>
      <c r="I801" t="n">
        <v>24.7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t="n">
        <v>0</v>
      </c>
      <c r="S801" t="n">
        <v>0</v>
      </c>
      <c r="T801" t="n">
        <v>0</v>
      </c>
      <c r="U801" t="n">
        <v>0</v>
      </c>
      <c r="V801" s="2" t="inlineStr"/>
    </row>
    <row r="802" ht="15" customHeight="1">
      <c r="A802" t="inlineStr">
        <is>
          <t>A 60431-2025</t>
        </is>
      </c>
      <c r="B802" t="inlineStr">
        <is>
          <t>avverkningsanmälan</t>
        </is>
      </c>
      <c r="C802" t="inlineStr">
        <is>
          <t>Föryngringsavverkning</t>
        </is>
      </c>
      <c r="D802" s="1" t="n">
        <v>45995</v>
      </c>
      <c r="E802" s="1" t="n">
        <v>46272</v>
      </c>
      <c r="F802" t="inlineStr">
        <is>
          <t>GÄVLEBORGS LÄN</t>
        </is>
      </c>
      <c r="G802" t="inlineStr">
        <is>
          <t>HUDIKSVALL</t>
        </is>
      </c>
      <c r="I802" t="n">
        <v>6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t="n">
        <v>0</v>
      </c>
      <c r="S802" t="n">
        <v>0</v>
      </c>
      <c r="T802" t="n">
        <v>0</v>
      </c>
      <c r="U802" t="n">
        <v>0</v>
      </c>
      <c r="V802" s="2" t="inlineStr"/>
    </row>
    <row r="803" ht="15" customHeight="1">
      <c r="A803" t="inlineStr">
        <is>
          <t>A 17322-2022</t>
        </is>
      </c>
      <c r="B803" t="inlineStr">
        <is>
          <t>avverkningsanmälan</t>
        </is>
      </c>
      <c r="C803" t="inlineStr">
        <is>
          <t>Föryngringsavverkning</t>
        </is>
      </c>
      <c r="D803" s="1" t="n">
        <v>44678</v>
      </c>
      <c r="E803" s="1" t="n">
        <v>46272</v>
      </c>
      <c r="F803" t="inlineStr">
        <is>
          <t>GÄVLEBORGS LÄN</t>
        </is>
      </c>
      <c r="G803" t="inlineStr">
        <is>
          <t>HUDIKSVALL</t>
        </is>
      </c>
      <c r="H803" t="inlineStr">
        <is>
          <t>Holmen skog AB</t>
        </is>
      </c>
      <c r="I803" t="n">
        <v>5.3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t="n">
        <v>0</v>
      </c>
      <c r="S803" t="n">
        <v>0</v>
      </c>
      <c r="T803" t="n">
        <v>0</v>
      </c>
      <c r="U803" t="n">
        <v>0</v>
      </c>
      <c r="V803" s="2" t="inlineStr"/>
    </row>
    <row r="804" ht="15" customHeight="1">
      <c r="A804" t="inlineStr">
        <is>
          <t>A 59759-2022</t>
        </is>
      </c>
      <c r="B804" t="inlineStr">
        <is>
          <t>avverkningsanmälan</t>
        </is>
      </c>
      <c r="C804" t="inlineStr">
        <is>
          <t>Föryngringsavverkning</t>
        </is>
      </c>
      <c r="D804" s="1" t="n">
        <v>44908</v>
      </c>
      <c r="E804" s="1" t="n">
        <v>46272</v>
      </c>
      <c r="F804" t="inlineStr">
        <is>
          <t>GÄVLEBORGS LÄN</t>
        </is>
      </c>
      <c r="G804" t="inlineStr">
        <is>
          <t>HUDIKSVALL</t>
        </is>
      </c>
      <c r="I804" t="n">
        <v>1.4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t="n">
        <v>0</v>
      </c>
      <c r="S804" t="n">
        <v>0</v>
      </c>
      <c r="T804" t="n">
        <v>0</v>
      </c>
      <c r="U804" t="n">
        <v>0</v>
      </c>
      <c r="V804" s="2" t="inlineStr"/>
    </row>
    <row r="805" ht="15" customHeight="1">
      <c r="A805" t="inlineStr">
        <is>
          <t>A 21229-2025</t>
        </is>
      </c>
      <c r="B805" t="inlineStr">
        <is>
          <t>avverkningsanmälan</t>
        </is>
      </c>
      <c r="C805" t="inlineStr">
        <is>
          <t>Föryngringsavverkning</t>
        </is>
      </c>
      <c r="D805" s="1" t="n">
        <v>45779</v>
      </c>
      <c r="E805" s="1" t="n">
        <v>46272</v>
      </c>
      <c r="F805" t="inlineStr">
        <is>
          <t>GÄVLEBORGS LÄN</t>
        </is>
      </c>
      <c r="G805" t="inlineStr">
        <is>
          <t>HUDIKSVALL</t>
        </is>
      </c>
      <c r="H805" t="inlineStr">
        <is>
          <t>Holmen skog AB</t>
        </is>
      </c>
      <c r="I805" t="n">
        <v>38.1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t="n">
        <v>0</v>
      </c>
      <c r="S805" t="n">
        <v>0</v>
      </c>
      <c r="T805" t="n">
        <v>0</v>
      </c>
      <c r="U805" t="n">
        <v>0</v>
      </c>
      <c r="V805" s="2" t="inlineStr"/>
    </row>
    <row r="806" ht="15" customHeight="1">
      <c r="A806" t="inlineStr">
        <is>
          <t>A 60366-2025</t>
        </is>
      </c>
      <c r="B806" t="inlineStr">
        <is>
          <t>avverkningsanmälan</t>
        </is>
      </c>
      <c r="C806" t="inlineStr">
        <is>
          <t>Föryngringsavverkning</t>
        </is>
      </c>
      <c r="D806" s="1" t="n">
        <v>45995</v>
      </c>
      <c r="E806" s="1" t="n">
        <v>46272</v>
      </c>
      <c r="F806" t="inlineStr">
        <is>
          <t>GÄVLEBORGS LÄN</t>
        </is>
      </c>
      <c r="G806" t="inlineStr">
        <is>
          <t>HUDIKSVALL</t>
        </is>
      </c>
      <c r="I806" t="n">
        <v>4.2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t="n">
        <v>0</v>
      </c>
      <c r="S806" t="n">
        <v>0</v>
      </c>
      <c r="T806" t="n">
        <v>0</v>
      </c>
      <c r="U806" t="n">
        <v>0</v>
      </c>
      <c r="V806" s="2" t="inlineStr"/>
    </row>
    <row r="807" ht="15" customHeight="1">
      <c r="A807" t="inlineStr">
        <is>
          <t>A 41254-2024</t>
        </is>
      </c>
      <c r="B807" t="inlineStr">
        <is>
          <t>avverkningsanmälan</t>
        </is>
      </c>
      <c r="C807" t="inlineStr">
        <is>
          <t>Föryngringsavverkning</t>
        </is>
      </c>
      <c r="D807" s="1" t="n">
        <v>45559</v>
      </c>
      <c r="E807" s="1" t="n">
        <v>46272</v>
      </c>
      <c r="F807" t="inlineStr">
        <is>
          <t>GÄVLEBORGS LÄN</t>
        </is>
      </c>
      <c r="G807" t="inlineStr">
        <is>
          <t>HUDIKSVALL</t>
        </is>
      </c>
      <c r="H807" t="inlineStr">
        <is>
          <t>Holmen skog AB</t>
        </is>
      </c>
      <c r="I807" t="n">
        <v>6.4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t="n">
        <v>0</v>
      </c>
      <c r="S807" t="n">
        <v>0</v>
      </c>
      <c r="T807" t="n">
        <v>0</v>
      </c>
      <c r="U807" t="n">
        <v>0</v>
      </c>
      <c r="V807" s="2" t="inlineStr"/>
    </row>
    <row r="808" ht="15" customHeight="1">
      <c r="A808" t="inlineStr">
        <is>
          <t>A 59856-2022</t>
        </is>
      </c>
      <c r="B808" t="inlineStr">
        <is>
          <t>avverkningsanmälan</t>
        </is>
      </c>
      <c r="C808" t="inlineStr">
        <is>
          <t>Föryngringsavverkning</t>
        </is>
      </c>
      <c r="D808" s="1" t="n">
        <v>44908</v>
      </c>
      <c r="E808" s="1" t="n">
        <v>46272</v>
      </c>
      <c r="F808" t="inlineStr">
        <is>
          <t>GÄVLEBORGS LÄN</t>
        </is>
      </c>
      <c r="G808" t="inlineStr">
        <is>
          <t>HUDIKSVALL</t>
        </is>
      </c>
      <c r="I808" t="n">
        <v>2.8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t="n">
        <v>0</v>
      </c>
      <c r="S808" t="n">
        <v>0</v>
      </c>
      <c r="T808" t="n">
        <v>0</v>
      </c>
      <c r="U808" t="n">
        <v>0</v>
      </c>
      <c r="V808" s="2" t="inlineStr"/>
    </row>
    <row r="809" ht="15" customHeight="1">
      <c r="A809" t="inlineStr">
        <is>
          <t>A 3328-2026</t>
        </is>
      </c>
      <c r="B809" t="inlineStr">
        <is>
          <t>avverkningsanmälan</t>
        </is>
      </c>
      <c r="C809" t="inlineStr">
        <is>
          <t>Föryngringsavverkning</t>
        </is>
      </c>
      <c r="D809" s="1" t="n">
        <v>46041</v>
      </c>
      <c r="E809" s="1" t="n">
        <v>46272</v>
      </c>
      <c r="F809" t="inlineStr">
        <is>
          <t>GÄVLEBORGS LÄN</t>
        </is>
      </c>
      <c r="G809" t="inlineStr">
        <is>
          <t>HUDIKSVALL</t>
        </is>
      </c>
      <c r="I809" t="n">
        <v>3.7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t="n">
        <v>0</v>
      </c>
      <c r="S809" t="n">
        <v>0</v>
      </c>
      <c r="T809" t="n">
        <v>0</v>
      </c>
      <c r="U809" t="n">
        <v>0</v>
      </c>
      <c r="V809" s="2" t="inlineStr"/>
    </row>
    <row r="810" ht="15" customHeight="1">
      <c r="A810" t="inlineStr">
        <is>
          <t>A 6331-2025</t>
        </is>
      </c>
      <c r="B810" t="inlineStr">
        <is>
          <t>avverkningsanmälan</t>
        </is>
      </c>
      <c r="C810" t="inlineStr">
        <is>
          <t>Föryngringsavverkning</t>
        </is>
      </c>
      <c r="D810" s="1" t="n">
        <v>45698</v>
      </c>
      <c r="E810" s="1" t="n">
        <v>46272</v>
      </c>
      <c r="F810" t="inlineStr">
        <is>
          <t>GÄVLEBORGS LÄN</t>
        </is>
      </c>
      <c r="G810" t="inlineStr">
        <is>
          <t>HUDIKSVALL</t>
        </is>
      </c>
      <c r="H810" t="inlineStr">
        <is>
          <t>Holmen skog AB</t>
        </is>
      </c>
      <c r="I810" t="n">
        <v>21.6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t="n">
        <v>0</v>
      </c>
      <c r="S810" t="n">
        <v>0</v>
      </c>
      <c r="T810" t="n">
        <v>0</v>
      </c>
      <c r="U810" t="n">
        <v>0</v>
      </c>
      <c r="V810" s="2" t="inlineStr"/>
    </row>
    <row r="811" ht="15" customHeight="1">
      <c r="A811" t="inlineStr">
        <is>
          <t>A 61546-2025</t>
        </is>
      </c>
      <c r="B811" t="inlineStr">
        <is>
          <t>avverkningsanmälan</t>
        </is>
      </c>
      <c r="C811" t="inlineStr">
        <is>
          <t>Föryngringsavverkning</t>
        </is>
      </c>
      <c r="D811" s="1" t="n">
        <v>46001</v>
      </c>
      <c r="E811" s="1" t="n">
        <v>46272</v>
      </c>
      <c r="F811" t="inlineStr">
        <is>
          <t>GÄVLEBORGS LÄN</t>
        </is>
      </c>
      <c r="G811" t="inlineStr">
        <is>
          <t>HUDIKSVALL</t>
        </is>
      </c>
      <c r="I811" t="n">
        <v>1.4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t="n">
        <v>0</v>
      </c>
      <c r="S811" t="n">
        <v>0</v>
      </c>
      <c r="T811" t="n">
        <v>0</v>
      </c>
      <c r="U811" t="n">
        <v>0</v>
      </c>
      <c r="V811" s="2" t="inlineStr"/>
    </row>
    <row r="812" ht="15" customHeight="1">
      <c r="A812" t="inlineStr">
        <is>
          <t>A 11605-2026</t>
        </is>
      </c>
      <c r="B812" t="inlineStr">
        <is>
          <t>avverkningsanmälan</t>
        </is>
      </c>
      <c r="C812" t="inlineStr">
        <is>
          <t>Föryngringsavverkning</t>
        </is>
      </c>
      <c r="D812" s="1" t="n">
        <v>46084</v>
      </c>
      <c r="E812" s="1" t="n">
        <v>46272</v>
      </c>
      <c r="F812" t="inlineStr">
        <is>
          <t>GÄVLEBORGS LÄN</t>
        </is>
      </c>
      <c r="G812" t="inlineStr">
        <is>
          <t>HUDIKSVALL</t>
        </is>
      </c>
      <c r="I812" t="n">
        <v>2.7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t="n">
        <v>0</v>
      </c>
      <c r="S812" t="n">
        <v>0</v>
      </c>
      <c r="T812" t="n">
        <v>0</v>
      </c>
      <c r="U812" t="n">
        <v>0</v>
      </c>
      <c r="V812" s="2" t="inlineStr"/>
    </row>
    <row r="813" ht="15" customHeight="1">
      <c r="A813" t="inlineStr">
        <is>
          <t>A 59244-2025</t>
        </is>
      </c>
      <c r="B813" t="inlineStr">
        <is>
          <t>avverkningsanmälan</t>
        </is>
      </c>
      <c r="C813" t="inlineStr">
        <is>
          <t>Föryngringsavverkning</t>
        </is>
      </c>
      <c r="D813" s="1" t="n">
        <v>45988</v>
      </c>
      <c r="E813" s="1" t="n">
        <v>46272</v>
      </c>
      <c r="F813" t="inlineStr">
        <is>
          <t>GÄVLEBORGS LÄN</t>
        </is>
      </c>
      <c r="G813" t="inlineStr">
        <is>
          <t>HUDIKSVALL</t>
        </is>
      </c>
      <c r="H813" t="inlineStr">
        <is>
          <t>Kommuner</t>
        </is>
      </c>
      <c r="I813" t="n">
        <v>1.4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t="n">
        <v>0</v>
      </c>
      <c r="S813" t="n">
        <v>0</v>
      </c>
      <c r="T813" t="n">
        <v>0</v>
      </c>
      <c r="U813" t="n">
        <v>0</v>
      </c>
      <c r="V813" s="2" t="inlineStr"/>
    </row>
    <row r="814" ht="15" customHeight="1">
      <c r="A814" t="inlineStr">
        <is>
          <t>A 22641-2024</t>
        </is>
      </c>
      <c r="B814" t="inlineStr">
        <is>
          <t>avverkningsanmälan</t>
        </is>
      </c>
      <c r="C814" t="inlineStr">
        <is>
          <t>Föryngringsavverkning</t>
        </is>
      </c>
      <c r="D814" s="1" t="n">
        <v>45447</v>
      </c>
      <c r="E814" s="1" t="n">
        <v>46272</v>
      </c>
      <c r="F814" t="inlineStr">
        <is>
          <t>GÄVLEBORGS LÄN</t>
        </is>
      </c>
      <c r="G814" t="inlineStr">
        <is>
          <t>HUDIKSVALL</t>
        </is>
      </c>
      <c r="I814" t="n">
        <v>0.6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t="n">
        <v>0</v>
      </c>
      <c r="S814" t="n">
        <v>0</v>
      </c>
      <c r="T814" t="n">
        <v>0</v>
      </c>
      <c r="U814" t="n">
        <v>0</v>
      </c>
      <c r="V814" s="2" t="inlineStr"/>
    </row>
    <row r="815" ht="15" customHeight="1">
      <c r="A815" t="inlineStr">
        <is>
          <t>A 1809-2023</t>
        </is>
      </c>
      <c r="B815" t="inlineStr">
        <is>
          <t>avverkningsanmälan</t>
        </is>
      </c>
      <c r="C815" t="inlineStr">
        <is>
          <t>Föryngringsavverkning</t>
        </is>
      </c>
      <c r="D815" s="1" t="n">
        <v>44938</v>
      </c>
      <c r="E815" s="1" t="n">
        <v>46272</v>
      </c>
      <c r="F815" t="inlineStr">
        <is>
          <t>GÄVLEBORGS LÄN</t>
        </is>
      </c>
      <c r="G815" t="inlineStr">
        <is>
          <t>HUDIKSVALL</t>
        </is>
      </c>
      <c r="H815" t="inlineStr">
        <is>
          <t>Holmen skog AB</t>
        </is>
      </c>
      <c r="I815" t="n">
        <v>3.3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t="n">
        <v>0</v>
      </c>
      <c r="S815" t="n">
        <v>0</v>
      </c>
      <c r="T815" t="n">
        <v>0</v>
      </c>
      <c r="U815" t="n">
        <v>0</v>
      </c>
      <c r="V815" s="2" t="inlineStr"/>
    </row>
    <row r="816" ht="15" customHeight="1">
      <c r="A816" t="inlineStr">
        <is>
          <t>A 58248-2025</t>
        </is>
      </c>
      <c r="B816" t="inlineStr">
        <is>
          <t>avverkningsanmälan</t>
        </is>
      </c>
      <c r="C816" t="inlineStr">
        <is>
          <t>Föryngringsavverkning</t>
        </is>
      </c>
      <c r="D816" s="1" t="n">
        <v>45985</v>
      </c>
      <c r="E816" s="1" t="n">
        <v>46272</v>
      </c>
      <c r="F816" t="inlineStr">
        <is>
          <t>GÄVLEBORGS LÄN</t>
        </is>
      </c>
      <c r="G816" t="inlineStr">
        <is>
          <t>HUDIKSVALL</t>
        </is>
      </c>
      <c r="H816" t="inlineStr">
        <is>
          <t>Holmen skog AB</t>
        </is>
      </c>
      <c r="I816" t="n">
        <v>13.3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t="n">
        <v>0</v>
      </c>
      <c r="S816" t="n">
        <v>0</v>
      </c>
      <c r="T816" t="n">
        <v>0</v>
      </c>
      <c r="U816" t="n">
        <v>0</v>
      </c>
      <c r="V816" s="2" t="inlineStr"/>
    </row>
    <row r="817" ht="15" customHeight="1">
      <c r="A817" t="inlineStr">
        <is>
          <t>A 61343-2025</t>
        </is>
      </c>
      <c r="B817" t="inlineStr">
        <is>
          <t>avverkningsanmälan</t>
        </is>
      </c>
      <c r="C817" t="inlineStr">
        <is>
          <t>Föryngringsavverkning</t>
        </is>
      </c>
      <c r="D817" s="1" t="n">
        <v>46001</v>
      </c>
      <c r="E817" s="1" t="n">
        <v>46272</v>
      </c>
      <c r="F817" t="inlineStr">
        <is>
          <t>GÄVLEBORGS LÄN</t>
        </is>
      </c>
      <c r="G817" t="inlineStr">
        <is>
          <t>HUDIKSVALL</t>
        </is>
      </c>
      <c r="I817" t="n">
        <v>2.5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t="n">
        <v>0</v>
      </c>
      <c r="S817" t="n">
        <v>0</v>
      </c>
      <c r="T817" t="n">
        <v>0</v>
      </c>
      <c r="U817" t="n">
        <v>0</v>
      </c>
      <c r="V817" s="2" t="inlineStr"/>
    </row>
    <row r="818" ht="15" customHeight="1">
      <c r="A818" t="inlineStr">
        <is>
          <t>A 35164-2023</t>
        </is>
      </c>
      <c r="B818" t="inlineStr">
        <is>
          <t>avverkningsanmälan</t>
        </is>
      </c>
      <c r="C818" t="inlineStr">
        <is>
          <t>Föryngringsavverkning</t>
        </is>
      </c>
      <c r="D818" s="1" t="n">
        <v>45145</v>
      </c>
      <c r="E818" s="1" t="n">
        <v>46272</v>
      </c>
      <c r="F818" t="inlineStr">
        <is>
          <t>GÄVLEBORGS LÄN</t>
        </is>
      </c>
      <c r="G818" t="inlineStr">
        <is>
          <t>HUDIKSVALL</t>
        </is>
      </c>
      <c r="H818" t="inlineStr">
        <is>
          <t>Holmen skog AB</t>
        </is>
      </c>
      <c r="I818" t="n">
        <v>8.800000000000001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t="n">
        <v>0</v>
      </c>
      <c r="S818" t="n">
        <v>0</v>
      </c>
      <c r="T818" t="n">
        <v>0</v>
      </c>
      <c r="U818" t="n">
        <v>0</v>
      </c>
      <c r="V818" s="2" t="inlineStr"/>
    </row>
    <row r="819" ht="15" customHeight="1">
      <c r="A819" t="inlineStr">
        <is>
          <t>A 8486-2024</t>
        </is>
      </c>
      <c r="B819" t="inlineStr">
        <is>
          <t>avverkningsanmälan</t>
        </is>
      </c>
      <c r="C819" t="inlineStr">
        <is>
          <t>Föryngringsavverkning</t>
        </is>
      </c>
      <c r="D819" s="1" t="n">
        <v>45355</v>
      </c>
      <c r="E819" s="1" t="n">
        <v>46272</v>
      </c>
      <c r="F819" t="inlineStr">
        <is>
          <t>GÄVLEBORGS LÄN</t>
        </is>
      </c>
      <c r="G819" t="inlineStr">
        <is>
          <t>HUDIKSVALL</t>
        </is>
      </c>
      <c r="I819" t="n">
        <v>4.7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t="n">
        <v>0</v>
      </c>
      <c r="S819" t="n">
        <v>0</v>
      </c>
      <c r="T819" t="n">
        <v>0</v>
      </c>
      <c r="U819" t="n">
        <v>0</v>
      </c>
      <c r="V819" s="2" t="inlineStr"/>
    </row>
    <row r="820" ht="15" customHeight="1">
      <c r="A820" t="inlineStr">
        <is>
          <t>A 14863-2024</t>
        </is>
      </c>
      <c r="B820" t="inlineStr">
        <is>
          <t>avverkningsanmälan</t>
        </is>
      </c>
      <c r="C820" t="inlineStr">
        <is>
          <t>Föryngringsavverkning</t>
        </is>
      </c>
      <c r="D820" s="1" t="n">
        <v>45398</v>
      </c>
      <c r="E820" s="1" t="n">
        <v>46272</v>
      </c>
      <c r="F820" t="inlineStr">
        <is>
          <t>GÄVLEBORGS LÄN</t>
        </is>
      </c>
      <c r="G820" t="inlineStr">
        <is>
          <t>HUDIKSVALL</t>
        </is>
      </c>
      <c r="H820" t="inlineStr">
        <is>
          <t>Holmen skog AB</t>
        </is>
      </c>
      <c r="I820" t="n">
        <v>2.9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t="n">
        <v>0</v>
      </c>
      <c r="S820" t="n">
        <v>0</v>
      </c>
      <c r="T820" t="n">
        <v>0</v>
      </c>
      <c r="U820" t="n">
        <v>0</v>
      </c>
      <c r="V820" s="2" t="inlineStr"/>
    </row>
    <row r="821" ht="15" customHeight="1">
      <c r="A821" t="inlineStr">
        <is>
          <t>A 61696-2025</t>
        </is>
      </c>
      <c r="B821" t="inlineStr">
        <is>
          <t>avverkningsanmälan</t>
        </is>
      </c>
      <c r="C821" t="inlineStr">
        <is>
          <t>Föryngringsavverkning</t>
        </is>
      </c>
      <c r="D821" s="1" t="n">
        <v>46002</v>
      </c>
      <c r="E821" s="1" t="n">
        <v>46272</v>
      </c>
      <c r="F821" t="inlineStr">
        <is>
          <t>GÄVLEBORGS LÄN</t>
        </is>
      </c>
      <c r="G821" t="inlineStr">
        <is>
          <t>HUDIKSVALL</t>
        </is>
      </c>
      <c r="I821" t="n">
        <v>0.9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t="n">
        <v>0</v>
      </c>
      <c r="S821" t="n">
        <v>0</v>
      </c>
      <c r="T821" t="n">
        <v>0</v>
      </c>
      <c r="U821" t="n">
        <v>0</v>
      </c>
      <c r="V821" s="2" t="inlineStr"/>
    </row>
    <row r="822" ht="15" customHeight="1">
      <c r="A822" t="inlineStr">
        <is>
          <t>A 61649-2025</t>
        </is>
      </c>
      <c r="B822" t="inlineStr">
        <is>
          <t>avverkningsanmälan</t>
        </is>
      </c>
      <c r="C822" t="inlineStr">
        <is>
          <t>Föryngringsavverkning</t>
        </is>
      </c>
      <c r="D822" s="1" t="n">
        <v>46002</v>
      </c>
      <c r="E822" s="1" t="n">
        <v>46272</v>
      </c>
      <c r="F822" t="inlineStr">
        <is>
          <t>GÄVLEBORGS LÄN</t>
        </is>
      </c>
      <c r="G822" t="inlineStr">
        <is>
          <t>HUDIKSVALL</t>
        </is>
      </c>
      <c r="I822" t="n">
        <v>1.6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t="n">
        <v>0</v>
      </c>
      <c r="S822" t="n">
        <v>0</v>
      </c>
      <c r="T822" t="n">
        <v>0</v>
      </c>
      <c r="U822" t="n">
        <v>0</v>
      </c>
      <c r="V822" s="2" t="inlineStr"/>
    </row>
    <row r="823" ht="15" customHeight="1">
      <c r="A823" t="inlineStr">
        <is>
          <t>A 11778-2026</t>
        </is>
      </c>
      <c r="B823" t="inlineStr">
        <is>
          <t>avverkningsanmälan</t>
        </is>
      </c>
      <c r="C823" t="inlineStr">
        <is>
          <t>Föryngringsavverkning</t>
        </is>
      </c>
      <c r="D823" s="1" t="n">
        <v>46084</v>
      </c>
      <c r="E823" s="1" t="n">
        <v>46272</v>
      </c>
      <c r="F823" t="inlineStr">
        <is>
          <t>GÄVLEBORGS LÄN</t>
        </is>
      </c>
      <c r="G823" t="inlineStr">
        <is>
          <t>HUDIKSVALL</t>
        </is>
      </c>
      <c r="I823" t="n">
        <v>1.3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t="n">
        <v>0</v>
      </c>
      <c r="S823" t="n">
        <v>0</v>
      </c>
      <c r="T823" t="n">
        <v>0</v>
      </c>
      <c r="U823" t="n">
        <v>0</v>
      </c>
      <c r="V823" s="2" t="inlineStr"/>
    </row>
    <row r="824" ht="15" customHeight="1">
      <c r="A824" t="inlineStr">
        <is>
          <t>A 60194-2023</t>
        </is>
      </c>
      <c r="B824" t="inlineStr">
        <is>
          <t>avverkningsanmälan</t>
        </is>
      </c>
      <c r="C824" t="inlineStr">
        <is>
          <t>Föryngringsavverkning</t>
        </is>
      </c>
      <c r="D824" s="1" t="n">
        <v>45258</v>
      </c>
      <c r="E824" s="1" t="n">
        <v>46272</v>
      </c>
      <c r="F824" t="inlineStr">
        <is>
          <t>GÄVLEBORGS LÄN</t>
        </is>
      </c>
      <c r="G824" t="inlineStr">
        <is>
          <t>HUDIKSVALL</t>
        </is>
      </c>
      <c r="H824" t="inlineStr">
        <is>
          <t>Holmen skog AB</t>
        </is>
      </c>
      <c r="I824" t="n">
        <v>5.8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t="n">
        <v>0</v>
      </c>
      <c r="S824" t="n">
        <v>0</v>
      </c>
      <c r="T824" t="n">
        <v>0</v>
      </c>
      <c r="U824" t="n">
        <v>0</v>
      </c>
      <c r="V824" s="2" t="inlineStr"/>
    </row>
    <row r="825" ht="15" customHeight="1">
      <c r="A825" t="inlineStr">
        <is>
          <t>A 11932-2026</t>
        </is>
      </c>
      <c r="B825" t="inlineStr">
        <is>
          <t>avverkningsanmälan</t>
        </is>
      </c>
      <c r="C825" t="inlineStr">
        <is>
          <t>Föryngringsavverkning</t>
        </is>
      </c>
      <c r="D825" s="1" t="n">
        <v>46085</v>
      </c>
      <c r="E825" s="1" t="n">
        <v>46272</v>
      </c>
      <c r="F825" t="inlineStr">
        <is>
          <t>GÄVLEBORGS LÄN</t>
        </is>
      </c>
      <c r="G825" t="inlineStr">
        <is>
          <t>HUDIKSVALL</t>
        </is>
      </c>
      <c r="I825" t="n">
        <v>1.2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t="n">
        <v>0</v>
      </c>
      <c r="S825" t="n">
        <v>0</v>
      </c>
      <c r="T825" t="n">
        <v>0</v>
      </c>
      <c r="U825" t="n">
        <v>0</v>
      </c>
      <c r="V825" s="2" t="inlineStr"/>
    </row>
    <row r="826" ht="15" customHeight="1">
      <c r="A826" t="inlineStr">
        <is>
          <t>A 62313-2025</t>
        </is>
      </c>
      <c r="B826" t="inlineStr">
        <is>
          <t>avverkningsanmälan</t>
        </is>
      </c>
      <c r="C826" t="inlineStr">
        <is>
          <t>Föryngringsavverkning</t>
        </is>
      </c>
      <c r="D826" s="1" t="n">
        <v>46006</v>
      </c>
      <c r="E826" s="1" t="n">
        <v>46272</v>
      </c>
      <c r="F826" t="inlineStr">
        <is>
          <t>GÄVLEBORGS LÄN</t>
        </is>
      </c>
      <c r="G826" t="inlineStr">
        <is>
          <t>HUDIKSVALL</t>
        </is>
      </c>
      <c r="I826" t="n">
        <v>0.6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t="n">
        <v>0</v>
      </c>
      <c r="S826" t="n">
        <v>0</v>
      </c>
      <c r="T826" t="n">
        <v>0</v>
      </c>
      <c r="U826" t="n">
        <v>0</v>
      </c>
      <c r="V826" s="2" t="inlineStr"/>
    </row>
    <row r="827" ht="15" customHeight="1">
      <c r="A827" t="inlineStr">
        <is>
          <t>A 62378-2025</t>
        </is>
      </c>
      <c r="B827" t="inlineStr">
        <is>
          <t>avverkningsanmälan</t>
        </is>
      </c>
      <c r="C827" t="inlineStr">
        <is>
          <t>Föryngringsavverkning</t>
        </is>
      </c>
      <c r="D827" s="1" t="n">
        <v>46007</v>
      </c>
      <c r="E827" s="1" t="n">
        <v>46272</v>
      </c>
      <c r="F827" t="inlineStr">
        <is>
          <t>GÄVLEBORGS LÄN</t>
        </is>
      </c>
      <c r="G827" t="inlineStr">
        <is>
          <t>HUDIKSVALL</t>
        </is>
      </c>
      <c r="I827" t="n">
        <v>2.3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t="n">
        <v>0</v>
      </c>
      <c r="S827" t="n">
        <v>0</v>
      </c>
      <c r="T827" t="n">
        <v>0</v>
      </c>
      <c r="U827" t="n">
        <v>0</v>
      </c>
      <c r="V827" s="2" t="inlineStr"/>
    </row>
    <row r="828" ht="15" customHeight="1">
      <c r="A828" t="inlineStr">
        <is>
          <t>A 42136-2024</t>
        </is>
      </c>
      <c r="B828" t="inlineStr">
        <is>
          <t>avverkningsanmälan</t>
        </is>
      </c>
      <c r="C828" t="inlineStr">
        <is>
          <t>Föryngringsavverkning</t>
        </is>
      </c>
      <c r="D828" s="1" t="n">
        <v>45562</v>
      </c>
      <c r="E828" s="1" t="n">
        <v>46272</v>
      </c>
      <c r="F828" t="inlineStr">
        <is>
          <t>GÄVLEBORGS LÄN</t>
        </is>
      </c>
      <c r="G828" t="inlineStr">
        <is>
          <t>HUDIKSVALL</t>
        </is>
      </c>
      <c r="H828" t="inlineStr">
        <is>
          <t>Holmen skog AB</t>
        </is>
      </c>
      <c r="I828" t="n">
        <v>0.7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t="n">
        <v>0</v>
      </c>
      <c r="S828" t="n">
        <v>0</v>
      </c>
      <c r="T828" t="n">
        <v>0</v>
      </c>
      <c r="U828" t="n">
        <v>0</v>
      </c>
      <c r="V828" s="2" t="inlineStr"/>
    </row>
    <row r="829" ht="15" customHeight="1">
      <c r="A829" t="inlineStr">
        <is>
          <t>A 62036-2025</t>
        </is>
      </c>
      <c r="B829" t="inlineStr">
        <is>
          <t>avverkningsanmälan</t>
        </is>
      </c>
      <c r="C829" t="inlineStr">
        <is>
          <t>Avverkning för att bevara och utveckla /försöksver</t>
        </is>
      </c>
      <c r="D829" s="1" t="n">
        <v>46004</v>
      </c>
      <c r="E829" s="1" t="n">
        <v>46272</v>
      </c>
      <c r="F829" t="inlineStr">
        <is>
          <t>GÄVLEBORGS LÄN</t>
        </is>
      </c>
      <c r="G829" t="inlineStr">
        <is>
          <t>HUDIKSVALL</t>
        </is>
      </c>
      <c r="I829" t="n">
        <v>4.9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t="n">
        <v>0</v>
      </c>
      <c r="S829" t="n">
        <v>0</v>
      </c>
      <c r="T829" t="n">
        <v>0</v>
      </c>
      <c r="U829" t="n">
        <v>0</v>
      </c>
      <c r="V829" s="2" t="inlineStr"/>
    </row>
    <row r="830" ht="15" customHeight="1">
      <c r="A830" t="inlineStr">
        <is>
          <t>A 60872-2024</t>
        </is>
      </c>
      <c r="B830" t="inlineStr">
        <is>
          <t>avverkningsanmälan</t>
        </is>
      </c>
      <c r="C830" t="inlineStr">
        <is>
          <t>Föryngringsavverkning</t>
        </is>
      </c>
      <c r="D830" s="1" t="n">
        <v>45644</v>
      </c>
      <c r="E830" s="1" t="n">
        <v>46272</v>
      </c>
      <c r="F830" t="inlineStr">
        <is>
          <t>GÄVLEBORGS LÄN</t>
        </is>
      </c>
      <c r="G830" t="inlineStr">
        <is>
          <t>HUDIKSVALL</t>
        </is>
      </c>
      <c r="I830" t="n">
        <v>0.9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t="n">
        <v>0</v>
      </c>
      <c r="S830" t="n">
        <v>0</v>
      </c>
      <c r="T830" t="n">
        <v>0</v>
      </c>
      <c r="U830" t="n">
        <v>0</v>
      </c>
      <c r="V830" s="2" t="inlineStr"/>
    </row>
    <row r="831" ht="15" customHeight="1">
      <c r="A831" t="inlineStr">
        <is>
          <t>A 27418-2024</t>
        </is>
      </c>
      <c r="B831" t="inlineStr">
        <is>
          <t>avverkningsanmälan</t>
        </is>
      </c>
      <c r="C831" t="inlineStr">
        <is>
          <t>Föryngringsavverkning</t>
        </is>
      </c>
      <c r="D831" s="1" t="n">
        <v>45474</v>
      </c>
      <c r="E831" s="1" t="n">
        <v>46272</v>
      </c>
      <c r="F831" t="inlineStr">
        <is>
          <t>GÄVLEBORGS LÄN</t>
        </is>
      </c>
      <c r="G831" t="inlineStr">
        <is>
          <t>HUDIKSVALL</t>
        </is>
      </c>
      <c r="I831" t="n">
        <v>1.7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t="n">
        <v>0</v>
      </c>
      <c r="S831" t="n">
        <v>0</v>
      </c>
      <c r="T831" t="n">
        <v>0</v>
      </c>
      <c r="U831" t="n">
        <v>0</v>
      </c>
      <c r="V831" s="2" t="inlineStr"/>
    </row>
    <row r="832" ht="15" customHeight="1">
      <c r="A832" t="inlineStr">
        <is>
          <t>A 12024-2026</t>
        </is>
      </c>
      <c r="B832" t="inlineStr">
        <is>
          <t>avverkningsanmälan</t>
        </is>
      </c>
      <c r="C832" t="inlineStr">
        <is>
          <t>Föryngringsavverkning</t>
        </is>
      </c>
      <c r="D832" s="1" t="n">
        <v>46085</v>
      </c>
      <c r="E832" s="1" t="n">
        <v>46272</v>
      </c>
      <c r="F832" t="inlineStr">
        <is>
          <t>GÄVLEBORGS LÄN</t>
        </is>
      </c>
      <c r="G832" t="inlineStr">
        <is>
          <t>HUDIKSVALL</t>
        </is>
      </c>
      <c r="I832" t="n">
        <v>1.1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t="n">
        <v>0</v>
      </c>
      <c r="S832" t="n">
        <v>0</v>
      </c>
      <c r="T832" t="n">
        <v>0</v>
      </c>
      <c r="U832" t="n">
        <v>0</v>
      </c>
      <c r="V832" s="2" t="inlineStr"/>
    </row>
    <row r="833" ht="15" customHeight="1">
      <c r="A833" t="inlineStr">
        <is>
          <t>A 38167-2024</t>
        </is>
      </c>
      <c r="B833" t="inlineStr">
        <is>
          <t>avverkningsanmälan</t>
        </is>
      </c>
      <c r="C833" t="inlineStr">
        <is>
          <t>Föryngringsavverkning</t>
        </is>
      </c>
      <c r="D833" s="1" t="n">
        <v>45545</v>
      </c>
      <c r="E833" s="1" t="n">
        <v>46272</v>
      </c>
      <c r="F833" t="inlineStr">
        <is>
          <t>GÄVLEBORGS LÄN</t>
        </is>
      </c>
      <c r="G833" t="inlineStr">
        <is>
          <t>HUDIKSVALL</t>
        </is>
      </c>
      <c r="H833" t="inlineStr">
        <is>
          <t>Holmen skog AB</t>
        </is>
      </c>
      <c r="I833" t="n">
        <v>3.8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t="n">
        <v>0</v>
      </c>
      <c r="S833" t="n">
        <v>0</v>
      </c>
      <c r="T833" t="n">
        <v>0</v>
      </c>
      <c r="U833" t="n">
        <v>0</v>
      </c>
      <c r="V833" s="2" t="inlineStr"/>
    </row>
    <row r="834" ht="15" customHeight="1">
      <c r="A834" t="inlineStr">
        <is>
          <t>A 12127-2026</t>
        </is>
      </c>
      <c r="B834" t="inlineStr">
        <is>
          <t>avverkningsanmälan</t>
        </is>
      </c>
      <c r="C834" t="inlineStr">
        <is>
          <t>Föryngringsavverkning</t>
        </is>
      </c>
      <c r="D834" s="1" t="n">
        <v>46086</v>
      </c>
      <c r="E834" s="1" t="n">
        <v>46272</v>
      </c>
      <c r="F834" t="inlineStr">
        <is>
          <t>GÄVLEBORGS LÄN</t>
        </is>
      </c>
      <c r="G834" t="inlineStr">
        <is>
          <t>HUDIKSVALL</t>
        </is>
      </c>
      <c r="I834" t="n">
        <v>0.6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t="n">
        <v>0</v>
      </c>
      <c r="S834" t="n">
        <v>0</v>
      </c>
      <c r="T834" t="n">
        <v>0</v>
      </c>
      <c r="U834" t="n">
        <v>0</v>
      </c>
      <c r="V834" s="2" t="inlineStr"/>
    </row>
    <row r="835" ht="15" customHeight="1">
      <c r="A835" t="inlineStr">
        <is>
          <t>A 12421-2026</t>
        </is>
      </c>
      <c r="B835" t="inlineStr">
        <is>
          <t>avverkningsanmälan</t>
        </is>
      </c>
      <c r="C835" t="inlineStr">
        <is>
          <t>Föryngringsavverkning</t>
        </is>
      </c>
      <c r="D835" s="1" t="n">
        <v>46090</v>
      </c>
      <c r="E835" s="1" t="n">
        <v>46272</v>
      </c>
      <c r="F835" t="inlineStr">
        <is>
          <t>GÄVLEBORGS LÄN</t>
        </is>
      </c>
      <c r="G835" t="inlineStr">
        <is>
          <t>HUDIKSVALL</t>
        </is>
      </c>
      <c r="H835" t="inlineStr">
        <is>
          <t>Holmen skog AB</t>
        </is>
      </c>
      <c r="I835" t="n">
        <v>1.6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t="n">
        <v>0</v>
      </c>
      <c r="S835" t="n">
        <v>0</v>
      </c>
      <c r="T835" t="n">
        <v>0</v>
      </c>
      <c r="U835" t="n">
        <v>0</v>
      </c>
      <c r="V835" s="2" t="inlineStr"/>
    </row>
    <row r="836" ht="15" customHeight="1">
      <c r="A836" t="inlineStr">
        <is>
          <t>A 12543-2026</t>
        </is>
      </c>
      <c r="B836" t="inlineStr">
        <is>
          <t>avverkningsanmälan</t>
        </is>
      </c>
      <c r="C836" t="inlineStr">
        <is>
          <t>Föryngringsavverkning</t>
        </is>
      </c>
      <c r="D836" s="1" t="n">
        <v>46090</v>
      </c>
      <c r="E836" s="1" t="n">
        <v>46272</v>
      </c>
      <c r="F836" t="inlineStr">
        <is>
          <t>GÄVLEBORGS LÄN</t>
        </is>
      </c>
      <c r="G836" t="inlineStr">
        <is>
          <t>HUDIKSVALL</t>
        </is>
      </c>
      <c r="I836" t="n">
        <v>0.7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t="n">
        <v>0</v>
      </c>
      <c r="S836" t="n">
        <v>0</v>
      </c>
      <c r="T836" t="n">
        <v>0</v>
      </c>
      <c r="U836" t="n">
        <v>0</v>
      </c>
      <c r="V836" s="2" t="inlineStr"/>
    </row>
    <row r="837" ht="15" customHeight="1">
      <c r="A837" t="inlineStr">
        <is>
          <t>A 12556-2026</t>
        </is>
      </c>
      <c r="B837" t="inlineStr">
        <is>
          <t>avverkningsanmälan</t>
        </is>
      </c>
      <c r="C837" t="inlineStr">
        <is>
          <t>Föryngringsavverkning</t>
        </is>
      </c>
      <c r="D837" s="1" t="n">
        <v>46090</v>
      </c>
      <c r="E837" s="1" t="n">
        <v>46272</v>
      </c>
      <c r="F837" t="inlineStr">
        <is>
          <t>GÄVLEBORGS LÄN</t>
        </is>
      </c>
      <c r="G837" t="inlineStr">
        <is>
          <t>HUDIKSVALL</t>
        </is>
      </c>
      <c r="H837" t="inlineStr">
        <is>
          <t>Kyrkan</t>
        </is>
      </c>
      <c r="I837" t="n">
        <v>6.2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t="n">
        <v>0</v>
      </c>
      <c r="S837" t="n">
        <v>0</v>
      </c>
      <c r="T837" t="n">
        <v>0</v>
      </c>
      <c r="U837" t="n">
        <v>0</v>
      </c>
      <c r="V837" s="2" t="inlineStr"/>
    </row>
    <row r="838" ht="15" customHeight="1">
      <c r="A838" t="inlineStr">
        <is>
          <t>A 12350-2026</t>
        </is>
      </c>
      <c r="B838" t="inlineStr">
        <is>
          <t>avverkningsanmälan</t>
        </is>
      </c>
      <c r="C838" t="inlineStr">
        <is>
          <t>Föryngringsavverkning</t>
        </is>
      </c>
      <c r="D838" s="1" t="n">
        <v>46087</v>
      </c>
      <c r="E838" s="1" t="n">
        <v>46272</v>
      </c>
      <c r="F838" t="inlineStr">
        <is>
          <t>GÄVLEBORGS LÄN</t>
        </is>
      </c>
      <c r="G838" t="inlineStr">
        <is>
          <t>HUDIKSVALL</t>
        </is>
      </c>
      <c r="I838" t="n">
        <v>1.3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t="n">
        <v>0</v>
      </c>
      <c r="S838" t="n">
        <v>0</v>
      </c>
      <c r="T838" t="n">
        <v>0</v>
      </c>
      <c r="U838" t="n">
        <v>0</v>
      </c>
      <c r="V838" s="2" t="inlineStr"/>
    </row>
    <row r="839" ht="15" customHeight="1">
      <c r="A839" t="inlineStr">
        <is>
          <t>A 63067-2025</t>
        </is>
      </c>
      <c r="B839" t="inlineStr">
        <is>
          <t>avverkningsanmälan</t>
        </is>
      </c>
      <c r="C839" t="inlineStr">
        <is>
          <t>Föryngringsavverkning</t>
        </is>
      </c>
      <c r="D839" s="1" t="n">
        <v>46009</v>
      </c>
      <c r="E839" s="1" t="n">
        <v>46272</v>
      </c>
      <c r="F839" t="inlineStr">
        <is>
          <t>GÄVLEBORGS LÄN</t>
        </is>
      </c>
      <c r="G839" t="inlineStr">
        <is>
          <t>HUDIKSVALL</t>
        </is>
      </c>
      <c r="I839" t="n">
        <v>0.8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t="n">
        <v>0</v>
      </c>
      <c r="S839" t="n">
        <v>0</v>
      </c>
      <c r="T839" t="n">
        <v>0</v>
      </c>
      <c r="U839" t="n">
        <v>0</v>
      </c>
      <c r="V839" s="2" t="inlineStr"/>
    </row>
    <row r="840" ht="15" customHeight="1">
      <c r="A840" t="inlineStr">
        <is>
          <t>A 12513-2026</t>
        </is>
      </c>
      <c r="B840" t="inlineStr">
        <is>
          <t>avverkningsanmälan</t>
        </is>
      </c>
      <c r="C840" t="inlineStr">
        <is>
          <t>Föryngringsavverkning</t>
        </is>
      </c>
      <c r="D840" s="1" t="n">
        <v>46090</v>
      </c>
      <c r="E840" s="1" t="n">
        <v>46272</v>
      </c>
      <c r="F840" t="inlineStr">
        <is>
          <t>GÄVLEBORGS LÄN</t>
        </is>
      </c>
      <c r="G840" t="inlineStr">
        <is>
          <t>HUDIKSVALL</t>
        </is>
      </c>
      <c r="H840" t="inlineStr">
        <is>
          <t>Holmen skog AB</t>
        </is>
      </c>
      <c r="I840" t="n">
        <v>1.1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t="n">
        <v>0</v>
      </c>
      <c r="S840" t="n">
        <v>0</v>
      </c>
      <c r="T840" t="n">
        <v>0</v>
      </c>
      <c r="U840" t="n">
        <v>0</v>
      </c>
      <c r="V840" s="2" t="inlineStr"/>
    </row>
    <row r="841" ht="15" customHeight="1">
      <c r="A841" t="inlineStr">
        <is>
          <t>A 63072-2025</t>
        </is>
      </c>
      <c r="B841" t="inlineStr">
        <is>
          <t>avverkningsanmälan</t>
        </is>
      </c>
      <c r="C841" t="inlineStr">
        <is>
          <t>Föryngringsavverkning</t>
        </is>
      </c>
      <c r="D841" s="1" t="n">
        <v>46009</v>
      </c>
      <c r="E841" s="1" t="n">
        <v>46272</v>
      </c>
      <c r="F841" t="inlineStr">
        <is>
          <t>GÄVLEBORGS LÄN</t>
        </is>
      </c>
      <c r="G841" t="inlineStr">
        <is>
          <t>HUDIKSVALL</t>
        </is>
      </c>
      <c r="I841" t="n">
        <v>1.5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t="n">
        <v>0</v>
      </c>
      <c r="S841" t="n">
        <v>0</v>
      </c>
      <c r="T841" t="n">
        <v>0</v>
      </c>
      <c r="U841" t="n">
        <v>0</v>
      </c>
      <c r="V841" s="2" t="inlineStr"/>
    </row>
    <row r="842" ht="15" customHeight="1">
      <c r="A842" t="inlineStr">
        <is>
          <t>A 62665-2025</t>
        </is>
      </c>
      <c r="B842" t="inlineStr">
        <is>
          <t>avverkningsanmälan</t>
        </is>
      </c>
      <c r="C842" t="inlineStr">
        <is>
          <t>Föryngringsavverkning</t>
        </is>
      </c>
      <c r="D842" s="1" t="n">
        <v>46008</v>
      </c>
      <c r="E842" s="1" t="n">
        <v>46272</v>
      </c>
      <c r="F842" t="inlineStr">
        <is>
          <t>GÄVLEBORGS LÄN</t>
        </is>
      </c>
      <c r="G842" t="inlineStr">
        <is>
          <t>HUDIKSVALL</t>
        </is>
      </c>
      <c r="I842" t="n">
        <v>3.1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t="n">
        <v>0</v>
      </c>
      <c r="S842" t="n">
        <v>0</v>
      </c>
      <c r="T842" t="n">
        <v>0</v>
      </c>
      <c r="U842" t="n">
        <v>0</v>
      </c>
      <c r="V842" s="2" t="inlineStr"/>
    </row>
    <row r="843" ht="15" customHeight="1">
      <c r="A843" t="inlineStr">
        <is>
          <t>A 1776-2026</t>
        </is>
      </c>
      <c r="B843" t="inlineStr">
        <is>
          <t>avverkningsanmälan</t>
        </is>
      </c>
      <c r="C843" t="inlineStr">
        <is>
          <t>Föryngringsavverkning</t>
        </is>
      </c>
      <c r="D843" s="1" t="n">
        <v>46034</v>
      </c>
      <c r="E843" s="1" t="n">
        <v>46272</v>
      </c>
      <c r="F843" t="inlineStr">
        <is>
          <t>GÄVLEBORGS LÄN</t>
        </is>
      </c>
      <c r="G843" t="inlineStr">
        <is>
          <t>HUDIKSVALL</t>
        </is>
      </c>
      <c r="I843" t="n">
        <v>3.9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t="n">
        <v>0</v>
      </c>
      <c r="S843" t="n">
        <v>0</v>
      </c>
      <c r="T843" t="n">
        <v>0</v>
      </c>
      <c r="U843" t="n">
        <v>0</v>
      </c>
      <c r="V843" s="2" t="inlineStr"/>
    </row>
    <row r="844" ht="15" customHeight="1">
      <c r="A844" t="inlineStr">
        <is>
          <t>A 365-2024</t>
        </is>
      </c>
      <c r="B844" t="inlineStr">
        <is>
          <t>avverkningsanmälan</t>
        </is>
      </c>
      <c r="C844" t="inlineStr">
        <is>
          <t>Föryngringsavverkning</t>
        </is>
      </c>
      <c r="D844" s="1" t="n">
        <v>45295</v>
      </c>
      <c r="E844" s="1" t="n">
        <v>46272</v>
      </c>
      <c r="F844" t="inlineStr">
        <is>
          <t>GÄVLEBORGS LÄN</t>
        </is>
      </c>
      <c r="G844" t="inlineStr">
        <is>
          <t>HUDIKSVALL</t>
        </is>
      </c>
      <c r="I844" t="n">
        <v>1.5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t="n">
        <v>0</v>
      </c>
      <c r="S844" t="n">
        <v>0</v>
      </c>
      <c r="T844" t="n">
        <v>0</v>
      </c>
      <c r="U844" t="n">
        <v>0</v>
      </c>
      <c r="V844" s="2" t="inlineStr"/>
    </row>
    <row r="845" ht="15" customHeight="1">
      <c r="A845" t="inlineStr">
        <is>
          <t>A 30398-2023</t>
        </is>
      </c>
      <c r="B845" t="inlineStr">
        <is>
          <t>avverkningsanmälan</t>
        </is>
      </c>
      <c r="C845" t="inlineStr">
        <is>
          <t>Föryngringsavverkning</t>
        </is>
      </c>
      <c r="D845" s="1" t="n">
        <v>45111</v>
      </c>
      <c r="E845" s="1" t="n">
        <v>46272</v>
      </c>
      <c r="F845" t="inlineStr">
        <is>
          <t>GÄVLEBORGS LÄN</t>
        </is>
      </c>
      <c r="G845" t="inlineStr">
        <is>
          <t>HUDIKSVALL</t>
        </is>
      </c>
      <c r="I845" t="n">
        <v>2.5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t="n">
        <v>0</v>
      </c>
      <c r="S845" t="n">
        <v>0</v>
      </c>
      <c r="T845" t="n">
        <v>0</v>
      </c>
      <c r="U845" t="n">
        <v>0</v>
      </c>
      <c r="V845" s="2" t="inlineStr"/>
    </row>
    <row r="846" ht="15" customHeight="1">
      <c r="A846" t="inlineStr">
        <is>
          <t>A 54676-2024</t>
        </is>
      </c>
      <c r="B846" t="inlineStr">
        <is>
          <t>avverkningsanmälan</t>
        </is>
      </c>
      <c r="C846" t="inlineStr">
        <is>
          <t>Föryngringsavverkning</t>
        </is>
      </c>
      <c r="D846" s="1" t="n">
        <v>45618</v>
      </c>
      <c r="E846" s="1" t="n">
        <v>46272</v>
      </c>
      <c r="F846" t="inlineStr">
        <is>
          <t>GÄVLEBORGS LÄN</t>
        </is>
      </c>
      <c r="G846" t="inlineStr">
        <is>
          <t>HUDIKSVALL</t>
        </is>
      </c>
      <c r="H846" t="inlineStr">
        <is>
          <t>Holmen skog AB</t>
        </is>
      </c>
      <c r="I846" t="n">
        <v>1.3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t="n">
        <v>0</v>
      </c>
      <c r="S846" t="n">
        <v>0</v>
      </c>
      <c r="T846" t="n">
        <v>0</v>
      </c>
      <c r="U846" t="n">
        <v>0</v>
      </c>
      <c r="V846" s="2" t="inlineStr"/>
    </row>
    <row r="847" ht="15" customHeight="1">
      <c r="A847" t="inlineStr">
        <is>
          <t>A 12480-2026</t>
        </is>
      </c>
      <c r="B847" t="inlineStr">
        <is>
          <t>avverkningsanmälan</t>
        </is>
      </c>
      <c r="C847" t="inlineStr">
        <is>
          <t>Föryngringsavverkning</t>
        </is>
      </c>
      <c r="D847" s="1" t="n">
        <v>46090</v>
      </c>
      <c r="E847" s="1" t="n">
        <v>46272</v>
      </c>
      <c r="F847" t="inlineStr">
        <is>
          <t>GÄVLEBORGS LÄN</t>
        </is>
      </c>
      <c r="G847" t="inlineStr">
        <is>
          <t>HUDIKSVALL</t>
        </is>
      </c>
      <c r="H847" t="inlineStr">
        <is>
          <t>Holmen skog AB</t>
        </is>
      </c>
      <c r="I847" t="n">
        <v>16.3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t="n">
        <v>0</v>
      </c>
      <c r="S847" t="n">
        <v>0</v>
      </c>
      <c r="T847" t="n">
        <v>0</v>
      </c>
      <c r="U847" t="n">
        <v>0</v>
      </c>
      <c r="V847" s="2" t="inlineStr"/>
    </row>
    <row r="848" ht="15" customHeight="1">
      <c r="A848" t="inlineStr">
        <is>
          <t>A 5195-2025</t>
        </is>
      </c>
      <c r="B848" t="inlineStr">
        <is>
          <t>avverkningsanmälan</t>
        </is>
      </c>
      <c r="C848" t="inlineStr">
        <is>
          <t>Föryngringsavverkning</t>
        </is>
      </c>
      <c r="D848" s="1" t="n">
        <v>45691</v>
      </c>
      <c r="E848" s="1" t="n">
        <v>46272</v>
      </c>
      <c r="F848" t="inlineStr">
        <is>
          <t>GÄVLEBORGS LÄN</t>
        </is>
      </c>
      <c r="G848" t="inlineStr">
        <is>
          <t>HUDIKSVALL</t>
        </is>
      </c>
      <c r="I848" t="n">
        <v>1.3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t="n">
        <v>0</v>
      </c>
      <c r="S848" t="n">
        <v>0</v>
      </c>
      <c r="T848" t="n">
        <v>0</v>
      </c>
      <c r="U848" t="n">
        <v>0</v>
      </c>
      <c r="V848" s="2" t="inlineStr"/>
    </row>
    <row r="849" ht="15" customHeight="1">
      <c r="A849" t="inlineStr">
        <is>
          <t>A 63541-2025</t>
        </is>
      </c>
      <c r="B849" t="inlineStr">
        <is>
          <t>avverkningsanmälan</t>
        </is>
      </c>
      <c r="C849" t="inlineStr">
        <is>
          <t>Avverkning för annat ändamål</t>
        </is>
      </c>
      <c r="D849" s="1" t="n">
        <v>46013</v>
      </c>
      <c r="E849" s="1" t="n">
        <v>46272</v>
      </c>
      <c r="F849" t="inlineStr">
        <is>
          <t>GÄVLEBORGS LÄN</t>
        </is>
      </c>
      <c r="G849" t="inlineStr">
        <is>
          <t>HUDIKSVALL</t>
        </is>
      </c>
      <c r="I849" t="n">
        <v>1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t="n">
        <v>0</v>
      </c>
      <c r="S849" t="n">
        <v>0</v>
      </c>
      <c r="T849" t="n">
        <v>0</v>
      </c>
      <c r="U849" t="n">
        <v>0</v>
      </c>
      <c r="V849" s="2" t="inlineStr"/>
    </row>
    <row r="850" ht="15" customHeight="1">
      <c r="A850" t="inlineStr">
        <is>
          <t>A 17164-2023</t>
        </is>
      </c>
      <c r="B850" t="inlineStr">
        <is>
          <t>avverkningsanmälan</t>
        </is>
      </c>
      <c r="C850" t="inlineStr">
        <is>
          <t>Föryngringsavverkning</t>
        </is>
      </c>
      <c r="D850" s="1" t="n">
        <v>45034</v>
      </c>
      <c r="E850" s="1" t="n">
        <v>46272</v>
      </c>
      <c r="F850" t="inlineStr">
        <is>
          <t>GÄVLEBORGS LÄN</t>
        </is>
      </c>
      <c r="G850" t="inlineStr">
        <is>
          <t>HUDIKSVALL</t>
        </is>
      </c>
      <c r="I850" t="n">
        <v>2.8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t="n">
        <v>0</v>
      </c>
      <c r="S850" t="n">
        <v>0</v>
      </c>
      <c r="T850" t="n">
        <v>0</v>
      </c>
      <c r="U850" t="n">
        <v>0</v>
      </c>
      <c r="V850" s="2" t="inlineStr"/>
    </row>
    <row r="851" ht="15" customHeight="1">
      <c r="A851" t="inlineStr">
        <is>
          <t>A 42981-2022</t>
        </is>
      </c>
      <c r="B851" t="inlineStr">
        <is>
          <t>avverkningsanmälan</t>
        </is>
      </c>
      <c r="C851" t="inlineStr">
        <is>
          <t>Föryngringsavverkning</t>
        </is>
      </c>
      <c r="D851" s="1" t="n">
        <v>44833</v>
      </c>
      <c r="E851" s="1" t="n">
        <v>46272</v>
      </c>
      <c r="F851" t="inlineStr">
        <is>
          <t>GÄVLEBORGS LÄN</t>
        </is>
      </c>
      <c r="G851" t="inlineStr">
        <is>
          <t>HUDIKSVALL</t>
        </is>
      </c>
      <c r="H851" t="inlineStr">
        <is>
          <t>Holmen skog AB</t>
        </is>
      </c>
      <c r="I851" t="n">
        <v>4.3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t="n">
        <v>0</v>
      </c>
      <c r="S851" t="n">
        <v>0</v>
      </c>
      <c r="T851" t="n">
        <v>0</v>
      </c>
      <c r="U851" t="n">
        <v>0</v>
      </c>
      <c r="V851" s="2" t="inlineStr"/>
    </row>
    <row r="852" ht="15" customHeight="1">
      <c r="A852" t="inlineStr">
        <is>
          <t>A 4154-2026</t>
        </is>
      </c>
      <c r="B852" t="inlineStr">
        <is>
          <t>avverkningsanmälan</t>
        </is>
      </c>
      <c r="C852" t="inlineStr">
        <is>
          <t>Föryngringsavverkning</t>
        </is>
      </c>
      <c r="D852" s="1" t="n">
        <v>46044</v>
      </c>
      <c r="E852" s="1" t="n">
        <v>46272</v>
      </c>
      <c r="F852" t="inlineStr">
        <is>
          <t>GÄVLEBORGS LÄN</t>
        </is>
      </c>
      <c r="G852" t="inlineStr">
        <is>
          <t>HUDIKSVALL</t>
        </is>
      </c>
      <c r="I852" t="n">
        <v>2.2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t="n">
        <v>0</v>
      </c>
      <c r="S852" t="n">
        <v>0</v>
      </c>
      <c r="T852" t="n">
        <v>0</v>
      </c>
      <c r="U852" t="n">
        <v>0</v>
      </c>
      <c r="V852" s="2" t="inlineStr"/>
    </row>
    <row r="853" ht="15" customHeight="1">
      <c r="A853" t="inlineStr">
        <is>
          <t>A 43010-2022</t>
        </is>
      </c>
      <c r="B853" t="inlineStr">
        <is>
          <t>avverkningsanmälan</t>
        </is>
      </c>
      <c r="C853" t="inlineStr">
        <is>
          <t>Föryngringsavverkning</t>
        </is>
      </c>
      <c r="D853" s="1" t="n">
        <v>44833</v>
      </c>
      <c r="E853" s="1" t="n">
        <v>46272</v>
      </c>
      <c r="F853" t="inlineStr">
        <is>
          <t>GÄVLEBORGS LÄN</t>
        </is>
      </c>
      <c r="G853" t="inlineStr">
        <is>
          <t>HUDIKSVALL</t>
        </is>
      </c>
      <c r="H853" t="inlineStr">
        <is>
          <t>Holmen skog AB</t>
        </is>
      </c>
      <c r="I853" t="n">
        <v>2.3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t="n">
        <v>0</v>
      </c>
      <c r="S853" t="n">
        <v>0</v>
      </c>
      <c r="T853" t="n">
        <v>0</v>
      </c>
      <c r="U853" t="n">
        <v>0</v>
      </c>
      <c r="V853" s="2" t="inlineStr"/>
    </row>
    <row r="854" ht="15" customHeight="1">
      <c r="A854" t="inlineStr">
        <is>
          <t>A 63557-2025</t>
        </is>
      </c>
      <c r="B854" t="inlineStr">
        <is>
          <t>avverkningsanmälan</t>
        </is>
      </c>
      <c r="C854" t="inlineStr">
        <is>
          <t>Föryngringsavverkning</t>
        </is>
      </c>
      <c r="D854" s="1" t="n">
        <v>46013</v>
      </c>
      <c r="E854" s="1" t="n">
        <v>46272</v>
      </c>
      <c r="F854" t="inlineStr">
        <is>
          <t>GÄVLEBORGS LÄN</t>
        </is>
      </c>
      <c r="G854" t="inlineStr">
        <is>
          <t>HUDIKSVALL</t>
        </is>
      </c>
      <c r="I854" t="n">
        <v>3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t="n">
        <v>0</v>
      </c>
      <c r="S854" t="n">
        <v>0</v>
      </c>
      <c r="T854" t="n">
        <v>0</v>
      </c>
      <c r="U854" t="n">
        <v>0</v>
      </c>
      <c r="V854" s="2" t="inlineStr"/>
    </row>
    <row r="855" ht="15" customHeight="1">
      <c r="A855" t="inlineStr">
        <is>
          <t>A 17764-2025</t>
        </is>
      </c>
      <c r="B855" t="inlineStr">
        <is>
          <t>avverkningsanmälan</t>
        </is>
      </c>
      <c r="C855" t="inlineStr">
        <is>
          <t>Föryngringsavverkning</t>
        </is>
      </c>
      <c r="D855" s="1" t="n">
        <v>45758</v>
      </c>
      <c r="E855" s="1" t="n">
        <v>46272</v>
      </c>
      <c r="F855" t="inlineStr">
        <is>
          <t>GÄVLEBORGS LÄN</t>
        </is>
      </c>
      <c r="G855" t="inlineStr">
        <is>
          <t>HUDIKSVALL</t>
        </is>
      </c>
      <c r="I855" t="n">
        <v>1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t="n">
        <v>0</v>
      </c>
      <c r="S855" t="n">
        <v>0</v>
      </c>
      <c r="T855" t="n">
        <v>0</v>
      </c>
      <c r="U855" t="n">
        <v>0</v>
      </c>
      <c r="V855" s="2" t="inlineStr"/>
    </row>
    <row r="856" ht="15" customHeight="1">
      <c r="A856" t="inlineStr">
        <is>
          <t>A 12538-2026</t>
        </is>
      </c>
      <c r="B856" t="inlineStr">
        <is>
          <t>avverkningsanmälan</t>
        </is>
      </c>
      <c r="C856" t="inlineStr">
        <is>
          <t>Föryngringsavverkning</t>
        </is>
      </c>
      <c r="D856" s="1" t="n">
        <v>46090</v>
      </c>
      <c r="E856" s="1" t="n">
        <v>46272</v>
      </c>
      <c r="F856" t="inlineStr">
        <is>
          <t>GÄVLEBORGS LÄN</t>
        </is>
      </c>
      <c r="G856" t="inlineStr">
        <is>
          <t>HUDIKSVALL</t>
        </is>
      </c>
      <c r="H856" t="inlineStr">
        <is>
          <t>Holmen skog AB</t>
        </is>
      </c>
      <c r="I856" t="n">
        <v>0.8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t="n">
        <v>0</v>
      </c>
      <c r="S856" t="n">
        <v>0</v>
      </c>
      <c r="T856" t="n">
        <v>0</v>
      </c>
      <c r="U856" t="n">
        <v>0</v>
      </c>
      <c r="V856" s="2" t="inlineStr"/>
    </row>
    <row r="857" ht="15" customHeight="1">
      <c r="A857" t="inlineStr">
        <is>
          <t>A 57716-2022</t>
        </is>
      </c>
      <c r="B857" t="inlineStr">
        <is>
          <t>avverkningsanmälan</t>
        </is>
      </c>
      <c r="C857" t="inlineStr">
        <is>
          <t>Föryngringsavverkning</t>
        </is>
      </c>
      <c r="D857" s="1" t="n">
        <v>44897</v>
      </c>
      <c r="E857" s="1" t="n">
        <v>46272</v>
      </c>
      <c r="F857" t="inlineStr">
        <is>
          <t>GÄVLEBORGS LÄN</t>
        </is>
      </c>
      <c r="G857" t="inlineStr">
        <is>
          <t>HUDIKSVALL</t>
        </is>
      </c>
      <c r="H857" t="inlineStr">
        <is>
          <t>Holmen skog AB</t>
        </is>
      </c>
      <c r="I857" t="n">
        <v>2.7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t="n">
        <v>0</v>
      </c>
      <c r="S857" t="n">
        <v>0</v>
      </c>
      <c r="T857" t="n">
        <v>0</v>
      </c>
      <c r="U857" t="n">
        <v>0</v>
      </c>
      <c r="V857" s="2" t="inlineStr"/>
    </row>
    <row r="858" ht="15" customHeight="1">
      <c r="A858" t="inlineStr">
        <is>
          <t>A 12252-2026</t>
        </is>
      </c>
      <c r="B858" t="inlineStr">
        <is>
          <t>avverkningsanmälan</t>
        </is>
      </c>
      <c r="C858" t="inlineStr">
        <is>
          <t>Föryngringsavverkning</t>
        </is>
      </c>
      <c r="D858" s="1" t="n">
        <v>46087</v>
      </c>
      <c r="E858" s="1" t="n">
        <v>46272</v>
      </c>
      <c r="F858" t="inlineStr">
        <is>
          <t>GÄVLEBORGS LÄN</t>
        </is>
      </c>
      <c r="G858" t="inlineStr">
        <is>
          <t>HUDIKSVALL</t>
        </is>
      </c>
      <c r="I858" t="n">
        <v>0.7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t="n">
        <v>0</v>
      </c>
      <c r="S858" t="n">
        <v>0</v>
      </c>
      <c r="T858" t="n">
        <v>0</v>
      </c>
      <c r="U858" t="n">
        <v>0</v>
      </c>
      <c r="V858" s="2" t="inlineStr"/>
    </row>
    <row r="859" ht="15" customHeight="1">
      <c r="A859" t="inlineStr">
        <is>
          <t>A 12893-2024</t>
        </is>
      </c>
      <c r="B859" t="inlineStr">
        <is>
          <t>avverkningsanmälan</t>
        </is>
      </c>
      <c r="C859" t="inlineStr">
        <is>
          <t>Föryngringsavverkning</t>
        </is>
      </c>
      <c r="D859" s="1" t="n">
        <v>45385</v>
      </c>
      <c r="E859" s="1" t="n">
        <v>46272</v>
      </c>
      <c r="F859" t="inlineStr">
        <is>
          <t>GÄVLEBORGS LÄN</t>
        </is>
      </c>
      <c r="G859" t="inlineStr">
        <is>
          <t>HUDIKSVALL</t>
        </is>
      </c>
      <c r="H859" t="inlineStr">
        <is>
          <t>Holmen skog AB</t>
        </is>
      </c>
      <c r="I859" t="n">
        <v>0.9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t="n">
        <v>0</v>
      </c>
      <c r="S859" t="n">
        <v>0</v>
      </c>
      <c r="T859" t="n">
        <v>0</v>
      </c>
      <c r="U859" t="n">
        <v>0</v>
      </c>
      <c r="V859" s="2" t="inlineStr"/>
    </row>
    <row r="860" ht="15" customHeight="1">
      <c r="A860" t="inlineStr">
        <is>
          <t>A 12541-2026</t>
        </is>
      </c>
      <c r="B860" t="inlineStr">
        <is>
          <t>avverkningsanmälan</t>
        </is>
      </c>
      <c r="C860" t="inlineStr">
        <is>
          <t>Föryngringsavverkning</t>
        </is>
      </c>
      <c r="D860" s="1" t="n">
        <v>46090</v>
      </c>
      <c r="E860" s="1" t="n">
        <v>46272</v>
      </c>
      <c r="F860" t="inlineStr">
        <is>
          <t>GÄVLEBORGS LÄN</t>
        </is>
      </c>
      <c r="G860" t="inlineStr">
        <is>
          <t>HUDIKSVALL</t>
        </is>
      </c>
      <c r="H860" t="inlineStr">
        <is>
          <t>Kyrkan</t>
        </is>
      </c>
      <c r="I860" t="n">
        <v>6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t="n">
        <v>0</v>
      </c>
      <c r="S860" t="n">
        <v>0</v>
      </c>
      <c r="T860" t="n">
        <v>0</v>
      </c>
      <c r="U860" t="n">
        <v>0</v>
      </c>
      <c r="V860" s="2" t="inlineStr"/>
    </row>
    <row r="861" ht="15" customHeight="1">
      <c r="A861" t="inlineStr">
        <is>
          <t>A 10858-2025</t>
        </is>
      </c>
      <c r="B861" t="inlineStr">
        <is>
          <t>avverkningsanmälan</t>
        </is>
      </c>
      <c r="C861" t="inlineStr">
        <is>
          <t>Föryngringsavverkning</t>
        </is>
      </c>
      <c r="D861" s="1" t="n">
        <v>45722</v>
      </c>
      <c r="E861" s="1" t="n">
        <v>46272</v>
      </c>
      <c r="F861" t="inlineStr">
        <is>
          <t>GÄVLEBORGS LÄN</t>
        </is>
      </c>
      <c r="G861" t="inlineStr">
        <is>
          <t>HUDIKSVALL</t>
        </is>
      </c>
      <c r="H861" t="inlineStr">
        <is>
          <t>Holmen skog AB</t>
        </is>
      </c>
      <c r="I861" t="n">
        <v>13.4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t="n">
        <v>0</v>
      </c>
      <c r="S861" t="n">
        <v>0</v>
      </c>
      <c r="T861" t="n">
        <v>0</v>
      </c>
      <c r="U861" t="n">
        <v>0</v>
      </c>
      <c r="V861" s="2" t="inlineStr"/>
    </row>
    <row r="862" ht="15" customHeight="1">
      <c r="A862" t="inlineStr">
        <is>
          <t>A 12894-2026</t>
        </is>
      </c>
      <c r="B862" t="inlineStr">
        <is>
          <t>avverkningsanmälan</t>
        </is>
      </c>
      <c r="C862" t="inlineStr">
        <is>
          <t>Föryngringsavverkning</t>
        </is>
      </c>
      <c r="D862" s="1" t="n">
        <v>46092</v>
      </c>
      <c r="E862" s="1" t="n">
        <v>46272</v>
      </c>
      <c r="F862" t="inlineStr">
        <is>
          <t>GÄVLEBORGS LÄN</t>
        </is>
      </c>
      <c r="G862" t="inlineStr">
        <is>
          <t>HUDIKSVALL</t>
        </is>
      </c>
      <c r="I862" t="n">
        <v>0.5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t="n">
        <v>0</v>
      </c>
      <c r="S862" t="n">
        <v>0</v>
      </c>
      <c r="T862" t="n">
        <v>0</v>
      </c>
      <c r="U862" t="n">
        <v>0</v>
      </c>
      <c r="V862" s="2" t="inlineStr"/>
    </row>
    <row r="863" ht="15" customHeight="1">
      <c r="A863" t="inlineStr">
        <is>
          <t>A 5230-2024</t>
        </is>
      </c>
      <c r="B863" t="inlineStr">
        <is>
          <t>avverkningsanmälan</t>
        </is>
      </c>
      <c r="C863" t="inlineStr">
        <is>
          <t>Avverkning för annat ändamål</t>
        </is>
      </c>
      <c r="D863" s="1" t="n">
        <v>45330</v>
      </c>
      <c r="E863" s="1" t="n">
        <v>46272</v>
      </c>
      <c r="F863" t="inlineStr">
        <is>
          <t>GÄVLEBORGS LÄN</t>
        </is>
      </c>
      <c r="G863" t="inlineStr">
        <is>
          <t>HUDIKSVALL</t>
        </is>
      </c>
      <c r="I863" t="n">
        <v>0.9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t="n">
        <v>0</v>
      </c>
      <c r="S863" t="n">
        <v>0</v>
      </c>
      <c r="T863" t="n">
        <v>0</v>
      </c>
      <c r="U863" t="n">
        <v>0</v>
      </c>
      <c r="V863" s="2" t="inlineStr"/>
    </row>
    <row r="864" ht="15" customHeight="1">
      <c r="A864" t="inlineStr">
        <is>
          <t>A 12634-2026</t>
        </is>
      </c>
      <c r="B864" t="inlineStr">
        <is>
          <t>avverkningsanmälan</t>
        </is>
      </c>
      <c r="C864" t="inlineStr">
        <is>
          <t>Föryngringsavverkning</t>
        </is>
      </c>
      <c r="D864" s="1" t="n">
        <v>46091</v>
      </c>
      <c r="E864" s="1" t="n">
        <v>46272</v>
      </c>
      <c r="F864" t="inlineStr">
        <is>
          <t>GÄVLEBORGS LÄN</t>
        </is>
      </c>
      <c r="G864" t="inlineStr">
        <is>
          <t>HUDIKSVALL</t>
        </is>
      </c>
      <c r="I864" t="n">
        <v>1.3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t="n">
        <v>0</v>
      </c>
      <c r="S864" t="n">
        <v>0</v>
      </c>
      <c r="T864" t="n">
        <v>0</v>
      </c>
      <c r="U864" t="n">
        <v>0</v>
      </c>
      <c r="V864" s="2" t="inlineStr"/>
    </row>
    <row r="865" ht="15" customHeight="1">
      <c r="A865" t="inlineStr">
        <is>
          <t>A 33138-2022</t>
        </is>
      </c>
      <c r="B865" t="inlineStr">
        <is>
          <t>avverkningsanmälan</t>
        </is>
      </c>
      <c r="C865" t="inlineStr">
        <is>
          <t>Föryngringsavverkning</t>
        </is>
      </c>
      <c r="D865" s="1" t="n">
        <v>44785</v>
      </c>
      <c r="E865" s="1" t="n">
        <v>46272</v>
      </c>
      <c r="F865" t="inlineStr">
        <is>
          <t>GÄVLEBORGS LÄN</t>
        </is>
      </c>
      <c r="G865" t="inlineStr">
        <is>
          <t>HUDIKSVALL</t>
        </is>
      </c>
      <c r="H865" t="inlineStr">
        <is>
          <t>Holmen skog AB</t>
        </is>
      </c>
      <c r="I865" t="n">
        <v>1.7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t="n">
        <v>0</v>
      </c>
      <c r="S865" t="n">
        <v>0</v>
      </c>
      <c r="T865" t="n">
        <v>0</v>
      </c>
      <c r="U865" t="n">
        <v>0</v>
      </c>
      <c r="V865" s="2" t="inlineStr"/>
    </row>
    <row r="866" ht="15" customHeight="1">
      <c r="A866" t="inlineStr">
        <is>
          <t>A 18825-2024</t>
        </is>
      </c>
      <c r="B866" t="inlineStr">
        <is>
          <t>avverkningsanmälan</t>
        </is>
      </c>
      <c r="C866" t="inlineStr">
        <is>
          <t>Föryngringsavverkning</t>
        </is>
      </c>
      <c r="D866" s="1" t="n">
        <v>45426</v>
      </c>
      <c r="E866" s="1" t="n">
        <v>46272</v>
      </c>
      <c r="F866" t="inlineStr">
        <is>
          <t>GÄVLEBORGS LÄN</t>
        </is>
      </c>
      <c r="G866" t="inlineStr">
        <is>
          <t>HUDIKSVALL</t>
        </is>
      </c>
      <c r="I866" t="n">
        <v>0.3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t="n">
        <v>0</v>
      </c>
      <c r="S866" t="n">
        <v>0</v>
      </c>
      <c r="T866" t="n">
        <v>0</v>
      </c>
      <c r="U866" t="n">
        <v>0</v>
      </c>
      <c r="V866" s="2" t="inlineStr"/>
    </row>
    <row r="867" ht="15" customHeight="1">
      <c r="A867" t="inlineStr">
        <is>
          <t>A 18832-2024</t>
        </is>
      </c>
      <c r="B867" t="inlineStr">
        <is>
          <t>avverkningsanmälan</t>
        </is>
      </c>
      <c r="C867" t="inlineStr">
        <is>
          <t>Föryngringsavverkning</t>
        </is>
      </c>
      <c r="D867" s="1" t="n">
        <v>45426</v>
      </c>
      <c r="E867" s="1" t="n">
        <v>46272</v>
      </c>
      <c r="F867" t="inlineStr">
        <is>
          <t>GÄVLEBORGS LÄN</t>
        </is>
      </c>
      <c r="G867" t="inlineStr">
        <is>
          <t>HUDIKSVALL</t>
        </is>
      </c>
      <c r="I867" t="n">
        <v>0.9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t="n">
        <v>0</v>
      </c>
      <c r="S867" t="n">
        <v>0</v>
      </c>
      <c r="T867" t="n">
        <v>0</v>
      </c>
      <c r="U867" t="n">
        <v>0</v>
      </c>
      <c r="V867" s="2" t="inlineStr"/>
    </row>
    <row r="868" ht="15" customHeight="1">
      <c r="A868" t="inlineStr">
        <is>
          <t>A 12729-2026</t>
        </is>
      </c>
      <c r="B868" t="inlineStr">
        <is>
          <t>avverkningsanmälan</t>
        </is>
      </c>
      <c r="C868" t="inlineStr">
        <is>
          <t>Föryngringsavverkning</t>
        </is>
      </c>
      <c r="D868" s="1" t="n">
        <v>46091</v>
      </c>
      <c r="E868" s="1" t="n">
        <v>46272</v>
      </c>
      <c r="F868" t="inlineStr">
        <is>
          <t>GÄVLEBORGS LÄN</t>
        </is>
      </c>
      <c r="G868" t="inlineStr">
        <is>
          <t>HUDIKSVALL</t>
        </is>
      </c>
      <c r="I868" t="n">
        <v>2.1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t="n">
        <v>0</v>
      </c>
      <c r="S868" t="n">
        <v>0</v>
      </c>
      <c r="T868" t="n">
        <v>0</v>
      </c>
      <c r="U868" t="n">
        <v>0</v>
      </c>
      <c r="V868" s="2" t="inlineStr"/>
    </row>
    <row r="869" ht="15" customHeight="1">
      <c r="A869" t="inlineStr">
        <is>
          <t>A 68659-2021</t>
        </is>
      </c>
      <c r="B869" t="inlineStr">
        <is>
          <t>avverkningsanmälan</t>
        </is>
      </c>
      <c r="C869" t="inlineStr">
        <is>
          <t>Föryngringsavverkning</t>
        </is>
      </c>
      <c r="D869" s="1" t="n">
        <v>44529</v>
      </c>
      <c r="E869" s="1" t="n">
        <v>46272</v>
      </c>
      <c r="F869" t="inlineStr">
        <is>
          <t>GÄVLEBORGS LÄN</t>
        </is>
      </c>
      <c r="G869" t="inlineStr">
        <is>
          <t>HUDIKSVALL</t>
        </is>
      </c>
      <c r="H869" t="inlineStr">
        <is>
          <t>Holmen skog AB</t>
        </is>
      </c>
      <c r="I869" t="n">
        <v>1.2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t="n">
        <v>0</v>
      </c>
      <c r="S869" t="n">
        <v>0</v>
      </c>
      <c r="T869" t="n">
        <v>0</v>
      </c>
      <c r="U869" t="n">
        <v>0</v>
      </c>
      <c r="V869" s="2" t="inlineStr"/>
    </row>
    <row r="870" ht="15" customHeight="1">
      <c r="A870" t="inlineStr">
        <is>
          <t>A 13315-2026</t>
        </is>
      </c>
      <c r="B870" t="inlineStr">
        <is>
          <t>avverkningsanmälan</t>
        </is>
      </c>
      <c r="C870" t="inlineStr">
        <is>
          <t>Föryngringsavverkning</t>
        </is>
      </c>
      <c r="D870" s="1" t="n">
        <v>46094</v>
      </c>
      <c r="E870" s="1" t="n">
        <v>46272</v>
      </c>
      <c r="F870" t="inlineStr">
        <is>
          <t>GÄVLEBORGS LÄN</t>
        </is>
      </c>
      <c r="G870" t="inlineStr">
        <is>
          <t>HUDIKSVALL</t>
        </is>
      </c>
      <c r="I870" t="n">
        <v>2.1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t="n">
        <v>0</v>
      </c>
      <c r="S870" t="n">
        <v>0</v>
      </c>
      <c r="T870" t="n">
        <v>0</v>
      </c>
      <c r="U870" t="n">
        <v>0</v>
      </c>
      <c r="V870" s="2" t="inlineStr"/>
    </row>
    <row r="871" ht="15" customHeight="1">
      <c r="A871" t="inlineStr">
        <is>
          <t>A 13451-2026</t>
        </is>
      </c>
      <c r="B871" t="inlineStr">
        <is>
          <t>avverkningsanmälan</t>
        </is>
      </c>
      <c r="C871" t="inlineStr">
        <is>
          <t>Föryngringsavverkning</t>
        </is>
      </c>
      <c r="D871" s="1" t="n">
        <v>46094</v>
      </c>
      <c r="E871" s="1" t="n">
        <v>46272</v>
      </c>
      <c r="F871" t="inlineStr">
        <is>
          <t>GÄVLEBORGS LÄN</t>
        </is>
      </c>
      <c r="G871" t="inlineStr">
        <is>
          <t>HUDIKSVALL</t>
        </is>
      </c>
      <c r="I871" t="n">
        <v>0.4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t="n">
        <v>0</v>
      </c>
      <c r="S871" t="n">
        <v>0</v>
      </c>
      <c r="T871" t="n">
        <v>0</v>
      </c>
      <c r="U871" t="n">
        <v>0</v>
      </c>
      <c r="V871" s="2" t="inlineStr"/>
    </row>
    <row r="872" ht="15" customHeight="1">
      <c r="A872" t="inlineStr">
        <is>
          <t>A 13453-2026</t>
        </is>
      </c>
      <c r="B872" t="inlineStr">
        <is>
          <t>avverkningsanmälan</t>
        </is>
      </c>
      <c r="C872" t="inlineStr">
        <is>
          <t>Föryngringsavverkning</t>
        </is>
      </c>
      <c r="D872" s="1" t="n">
        <v>46094</v>
      </c>
      <c r="E872" s="1" t="n">
        <v>46272</v>
      </c>
      <c r="F872" t="inlineStr">
        <is>
          <t>GÄVLEBORGS LÄN</t>
        </is>
      </c>
      <c r="G872" t="inlineStr">
        <is>
          <t>HUDIKSVALL</t>
        </is>
      </c>
      <c r="I872" t="n">
        <v>0.3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t="n">
        <v>0</v>
      </c>
      <c r="S872" t="n">
        <v>0</v>
      </c>
      <c r="T872" t="n">
        <v>0</v>
      </c>
      <c r="U872" t="n">
        <v>0</v>
      </c>
      <c r="V872" s="2" t="inlineStr"/>
    </row>
    <row r="873" ht="15" customHeight="1">
      <c r="A873" t="inlineStr">
        <is>
          <t>A 9140-2023</t>
        </is>
      </c>
      <c r="B873" t="inlineStr">
        <is>
          <t>avverkningsanmälan</t>
        </is>
      </c>
      <c r="C873" t="inlineStr">
        <is>
          <t>Föryngringsavverkning</t>
        </is>
      </c>
      <c r="D873" s="1" t="n">
        <v>44980</v>
      </c>
      <c r="E873" s="1" t="n">
        <v>46272</v>
      </c>
      <c r="F873" t="inlineStr">
        <is>
          <t>GÄVLEBORGS LÄN</t>
        </is>
      </c>
      <c r="G873" t="inlineStr">
        <is>
          <t>HUDIKSVALL</t>
        </is>
      </c>
      <c r="H873" t="inlineStr">
        <is>
          <t>Holmen skog AB</t>
        </is>
      </c>
      <c r="I873" t="n">
        <v>0.7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t="n">
        <v>0</v>
      </c>
      <c r="S873" t="n">
        <v>0</v>
      </c>
      <c r="T873" t="n">
        <v>0</v>
      </c>
      <c r="U873" t="n">
        <v>0</v>
      </c>
      <c r="V873" s="2" t="inlineStr"/>
    </row>
    <row r="874" ht="15" customHeight="1">
      <c r="A874" t="inlineStr">
        <is>
          <t>A 9163-2023</t>
        </is>
      </c>
      <c r="B874" t="inlineStr">
        <is>
          <t>avverkningsanmälan</t>
        </is>
      </c>
      <c r="C874" t="inlineStr">
        <is>
          <t>Föryngringsavverkning</t>
        </is>
      </c>
      <c r="D874" s="1" t="n">
        <v>44980</v>
      </c>
      <c r="E874" s="1" t="n">
        <v>46272</v>
      </c>
      <c r="F874" t="inlineStr">
        <is>
          <t>GÄVLEBORGS LÄN</t>
        </is>
      </c>
      <c r="G874" t="inlineStr">
        <is>
          <t>HUDIKSVALL</t>
        </is>
      </c>
      <c r="H874" t="inlineStr">
        <is>
          <t>Holmen skog AB</t>
        </is>
      </c>
      <c r="I874" t="n">
        <v>0.8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t="n">
        <v>0</v>
      </c>
      <c r="S874" t="n">
        <v>0</v>
      </c>
      <c r="T874" t="n">
        <v>0</v>
      </c>
      <c r="U874" t="n">
        <v>0</v>
      </c>
      <c r="V874" s="2" t="inlineStr"/>
    </row>
    <row r="875" ht="15" customHeight="1">
      <c r="A875" t="inlineStr">
        <is>
          <t>A 13168-2026</t>
        </is>
      </c>
      <c r="B875" t="inlineStr">
        <is>
          <t>avverkningsanmälan</t>
        </is>
      </c>
      <c r="C875" t="inlineStr">
        <is>
          <t>Föryngringsavverkning</t>
        </is>
      </c>
      <c r="D875" s="1" t="n">
        <v>46093</v>
      </c>
      <c r="E875" s="1" t="n">
        <v>46272</v>
      </c>
      <c r="F875" t="inlineStr">
        <is>
          <t>GÄVLEBORGS LÄN</t>
        </is>
      </c>
      <c r="G875" t="inlineStr">
        <is>
          <t>HUDIKSVALL</t>
        </is>
      </c>
      <c r="H875" t="inlineStr">
        <is>
          <t>Sveaskog</t>
        </is>
      </c>
      <c r="I875" t="n">
        <v>1.9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t="n">
        <v>0</v>
      </c>
      <c r="S875" t="n">
        <v>0</v>
      </c>
      <c r="T875" t="n">
        <v>0</v>
      </c>
      <c r="U875" t="n">
        <v>0</v>
      </c>
      <c r="V875" s="2" t="inlineStr"/>
    </row>
    <row r="876" ht="15" customHeight="1">
      <c r="A876" t="inlineStr">
        <is>
          <t>A 13170-2026</t>
        </is>
      </c>
      <c r="B876" t="inlineStr">
        <is>
          <t>avverkningsanmälan</t>
        </is>
      </c>
      <c r="C876" t="inlineStr">
        <is>
          <t>Föryngringsavverkning</t>
        </is>
      </c>
      <c r="D876" s="1" t="n">
        <v>46093</v>
      </c>
      <c r="E876" s="1" t="n">
        <v>46272</v>
      </c>
      <c r="F876" t="inlineStr">
        <is>
          <t>GÄVLEBORGS LÄN</t>
        </is>
      </c>
      <c r="G876" t="inlineStr">
        <is>
          <t>HUDIKSVALL</t>
        </is>
      </c>
      <c r="H876" t="inlineStr">
        <is>
          <t>Sveaskog</t>
        </is>
      </c>
      <c r="I876" t="n">
        <v>0.8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t="n">
        <v>0</v>
      </c>
      <c r="S876" t="n">
        <v>0</v>
      </c>
      <c r="T876" t="n">
        <v>0</v>
      </c>
      <c r="U876" t="n">
        <v>0</v>
      </c>
      <c r="V876" s="2" t="inlineStr"/>
    </row>
    <row r="877" ht="15" customHeight="1">
      <c r="A877" t="inlineStr">
        <is>
          <t>A 13458-2026</t>
        </is>
      </c>
      <c r="B877" t="inlineStr">
        <is>
          <t>avverkningsanmälan</t>
        </is>
      </c>
      <c r="C877" t="inlineStr">
        <is>
          <t>Föryngringsavverkning</t>
        </is>
      </c>
      <c r="D877" s="1" t="n">
        <v>46094</v>
      </c>
      <c r="E877" s="1" t="n">
        <v>46272</v>
      </c>
      <c r="F877" t="inlineStr">
        <is>
          <t>GÄVLEBORGS LÄN</t>
        </is>
      </c>
      <c r="G877" t="inlineStr">
        <is>
          <t>HUDIKSVALL</t>
        </is>
      </c>
      <c r="H877" t="inlineStr">
        <is>
          <t>Holmen skog AB</t>
        </is>
      </c>
      <c r="I877" t="n">
        <v>7.9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t="n">
        <v>0</v>
      </c>
      <c r="S877" t="n">
        <v>0</v>
      </c>
      <c r="T877" t="n">
        <v>0</v>
      </c>
      <c r="U877" t="n">
        <v>0</v>
      </c>
      <c r="V877" s="2" t="inlineStr"/>
    </row>
    <row r="878" ht="15" customHeight="1">
      <c r="A878" t="inlineStr">
        <is>
          <t>A 13445-2026</t>
        </is>
      </c>
      <c r="B878" t="inlineStr">
        <is>
          <t>avverkningsanmälan</t>
        </is>
      </c>
      <c r="C878" t="inlineStr">
        <is>
          <t>Föryngringsavverkning</t>
        </is>
      </c>
      <c r="D878" s="1" t="n">
        <v>46094</v>
      </c>
      <c r="E878" s="1" t="n">
        <v>46272</v>
      </c>
      <c r="F878" t="inlineStr">
        <is>
          <t>GÄVLEBORGS LÄN</t>
        </is>
      </c>
      <c r="G878" t="inlineStr">
        <is>
          <t>HUDIKSVALL</t>
        </is>
      </c>
      <c r="H878" t="inlineStr">
        <is>
          <t>Holmen skog AB</t>
        </is>
      </c>
      <c r="I878" t="n">
        <v>1.2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t="n">
        <v>0</v>
      </c>
      <c r="S878" t="n">
        <v>0</v>
      </c>
      <c r="T878" t="n">
        <v>0</v>
      </c>
      <c r="U878" t="n">
        <v>0</v>
      </c>
      <c r="V878" s="2" t="inlineStr"/>
    </row>
    <row r="879" ht="15" customHeight="1">
      <c r="A879" t="inlineStr">
        <is>
          <t>A 13156-2026</t>
        </is>
      </c>
      <c r="B879" t="inlineStr">
        <is>
          <t>avverkningsanmälan</t>
        </is>
      </c>
      <c r="C879" t="inlineStr">
        <is>
          <t>Föryngringsavverkning</t>
        </is>
      </c>
      <c r="D879" s="1" t="n">
        <v>46093</v>
      </c>
      <c r="E879" s="1" t="n">
        <v>46272</v>
      </c>
      <c r="F879" t="inlineStr">
        <is>
          <t>GÄVLEBORGS LÄN</t>
        </is>
      </c>
      <c r="G879" t="inlineStr">
        <is>
          <t>HUDIKSVALL</t>
        </is>
      </c>
      <c r="I879" t="n">
        <v>5.4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t="n">
        <v>0</v>
      </c>
      <c r="S879" t="n">
        <v>0</v>
      </c>
      <c r="T879" t="n">
        <v>0</v>
      </c>
      <c r="U879" t="n">
        <v>0</v>
      </c>
      <c r="V879" s="2" t="inlineStr"/>
    </row>
    <row r="880" ht="15" customHeight="1">
      <c r="A880" t="inlineStr">
        <is>
          <t>A 13201-2024</t>
        </is>
      </c>
      <c r="B880" t="inlineStr">
        <is>
          <t>avverkningsanmälan</t>
        </is>
      </c>
      <c r="C880" t="inlineStr">
        <is>
          <t>Föryngringsavverkning</t>
        </is>
      </c>
      <c r="D880" s="1" t="n">
        <v>45386</v>
      </c>
      <c r="E880" s="1" t="n">
        <v>46272</v>
      </c>
      <c r="F880" t="inlineStr">
        <is>
          <t>GÄVLEBORGS LÄN</t>
        </is>
      </c>
      <c r="G880" t="inlineStr">
        <is>
          <t>HUDIKSVALL</t>
        </is>
      </c>
      <c r="I880" t="n">
        <v>0.9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t="n">
        <v>0</v>
      </c>
      <c r="S880" t="n">
        <v>0</v>
      </c>
      <c r="T880" t="n">
        <v>0</v>
      </c>
      <c r="U880" t="n">
        <v>0</v>
      </c>
      <c r="V880" s="2" t="inlineStr"/>
    </row>
    <row r="881" ht="15" customHeight="1">
      <c r="A881" t="inlineStr">
        <is>
          <t>A 35026-2024</t>
        </is>
      </c>
      <c r="B881" t="inlineStr">
        <is>
          <t>avverkningsanmälan</t>
        </is>
      </c>
      <c r="C881" t="inlineStr">
        <is>
          <t>Föryngringsavverkning</t>
        </is>
      </c>
      <c r="D881" s="1" t="n">
        <v>45527</v>
      </c>
      <c r="E881" s="1" t="n">
        <v>46272</v>
      </c>
      <c r="F881" t="inlineStr">
        <is>
          <t>GÄVLEBORGS LÄN</t>
        </is>
      </c>
      <c r="G881" t="inlineStr">
        <is>
          <t>HUDIKSVALL</t>
        </is>
      </c>
      <c r="H881" t="inlineStr">
        <is>
          <t>Holmen skog AB</t>
        </is>
      </c>
      <c r="I881" t="n">
        <v>3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t="n">
        <v>0</v>
      </c>
      <c r="S881" t="n">
        <v>0</v>
      </c>
      <c r="T881" t="n">
        <v>0</v>
      </c>
      <c r="U881" t="n">
        <v>0</v>
      </c>
      <c r="V881" s="2" t="inlineStr"/>
    </row>
    <row r="882" ht="15" customHeight="1">
      <c r="A882" t="inlineStr">
        <is>
          <t>A 13959-2026</t>
        </is>
      </c>
      <c r="B882" t="inlineStr">
        <is>
          <t>avverkningsanmälan</t>
        </is>
      </c>
      <c r="C882" t="inlineStr">
        <is>
          <t>Föryngringsavverkning</t>
        </is>
      </c>
      <c r="D882" s="1" t="n">
        <v>46098</v>
      </c>
      <c r="E882" s="1" t="n">
        <v>46272</v>
      </c>
      <c r="F882" t="inlineStr">
        <is>
          <t>GÄVLEBORGS LÄN</t>
        </is>
      </c>
      <c r="G882" t="inlineStr">
        <is>
          <t>HUDIKSVALL</t>
        </is>
      </c>
      <c r="H882" t="inlineStr">
        <is>
          <t>Holmen skog AB</t>
        </is>
      </c>
      <c r="I882" t="n">
        <v>3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t="n">
        <v>0</v>
      </c>
      <c r="S882" t="n">
        <v>0</v>
      </c>
      <c r="T882" t="n">
        <v>0</v>
      </c>
      <c r="U882" t="n">
        <v>0</v>
      </c>
      <c r="V882" s="2" t="inlineStr"/>
    </row>
    <row r="883" ht="15" customHeight="1">
      <c r="A883" t="inlineStr">
        <is>
          <t>A 13980-2026</t>
        </is>
      </c>
      <c r="B883" t="inlineStr">
        <is>
          <t>avverkningsanmälan</t>
        </is>
      </c>
      <c r="C883" t="inlineStr">
        <is>
          <t>Föryngringsavverkning</t>
        </is>
      </c>
      <c r="D883" s="1" t="n">
        <v>46098</v>
      </c>
      <c r="E883" s="1" t="n">
        <v>46272</v>
      </c>
      <c r="F883" t="inlineStr">
        <is>
          <t>GÄVLEBORGS LÄN</t>
        </is>
      </c>
      <c r="G883" t="inlineStr">
        <is>
          <t>HUDIKSVALL</t>
        </is>
      </c>
      <c r="I883" t="n">
        <v>1.1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t="n">
        <v>0</v>
      </c>
      <c r="S883" t="n">
        <v>0</v>
      </c>
      <c r="T883" t="n">
        <v>0</v>
      </c>
      <c r="U883" t="n">
        <v>0</v>
      </c>
      <c r="V883" s="2" t="inlineStr"/>
    </row>
    <row r="884" ht="15" customHeight="1">
      <c r="A884" t="inlineStr">
        <is>
          <t>A 4504-2024</t>
        </is>
      </c>
      <c r="B884" t="inlineStr">
        <is>
          <t>avverkningsanmälan</t>
        </is>
      </c>
      <c r="C884" t="inlineStr">
        <is>
          <t>Föryngringsavverkning</t>
        </is>
      </c>
      <c r="D884" s="1" t="n">
        <v>45327</v>
      </c>
      <c r="E884" s="1" t="n">
        <v>46272</v>
      </c>
      <c r="F884" t="inlineStr">
        <is>
          <t>GÄVLEBORGS LÄN</t>
        </is>
      </c>
      <c r="G884" t="inlineStr">
        <is>
          <t>HUDIKSVALL</t>
        </is>
      </c>
      <c r="I884" t="n">
        <v>2.7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t="n">
        <v>0</v>
      </c>
      <c r="S884" t="n">
        <v>0</v>
      </c>
      <c r="T884" t="n">
        <v>0</v>
      </c>
      <c r="U884" t="n">
        <v>0</v>
      </c>
      <c r="V884" s="2" t="inlineStr"/>
    </row>
    <row r="885" ht="15" customHeight="1">
      <c r="A885" t="inlineStr">
        <is>
          <t>A 13490-2024</t>
        </is>
      </c>
      <c r="B885" t="inlineStr">
        <is>
          <t>avverkningsanmälan</t>
        </is>
      </c>
      <c r="C885" t="inlineStr">
        <is>
          <t>Föryngringsavverkning</t>
        </is>
      </c>
      <c r="D885" s="1" t="n">
        <v>45387</v>
      </c>
      <c r="E885" s="1" t="n">
        <v>46272</v>
      </c>
      <c r="F885" t="inlineStr">
        <is>
          <t>GÄVLEBORGS LÄN</t>
        </is>
      </c>
      <c r="G885" t="inlineStr">
        <is>
          <t>HUDIKSVALL</t>
        </is>
      </c>
      <c r="I885" t="n">
        <v>1.5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t="n">
        <v>0</v>
      </c>
      <c r="S885" t="n">
        <v>0</v>
      </c>
      <c r="T885" t="n">
        <v>0</v>
      </c>
      <c r="U885" t="n">
        <v>0</v>
      </c>
      <c r="V885" s="2" t="inlineStr"/>
    </row>
    <row r="886" ht="15" customHeight="1">
      <c r="A886" t="inlineStr">
        <is>
          <t>A 27467-2024</t>
        </is>
      </c>
      <c r="B886" t="inlineStr">
        <is>
          <t>avverkningsanmälan</t>
        </is>
      </c>
      <c r="C886" t="inlineStr">
        <is>
          <t>Föryngringsavverkning</t>
        </is>
      </c>
      <c r="D886" s="1" t="n">
        <v>45474</v>
      </c>
      <c r="E886" s="1" t="n">
        <v>46272</v>
      </c>
      <c r="F886" t="inlineStr">
        <is>
          <t>GÄVLEBORGS LÄN</t>
        </is>
      </c>
      <c r="G886" t="inlineStr">
        <is>
          <t>HUDIKSVALL</t>
        </is>
      </c>
      <c r="H886" t="inlineStr">
        <is>
          <t>Holmen skog AB</t>
        </is>
      </c>
      <c r="I886" t="n">
        <v>8.6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t="n">
        <v>0</v>
      </c>
      <c r="S886" t="n">
        <v>0</v>
      </c>
      <c r="T886" t="n">
        <v>0</v>
      </c>
      <c r="U886" t="n">
        <v>0</v>
      </c>
      <c r="V886" s="2" t="inlineStr"/>
    </row>
    <row r="887" ht="15" customHeight="1">
      <c r="A887" t="inlineStr">
        <is>
          <t>A 54468-2024</t>
        </is>
      </c>
      <c r="B887" t="inlineStr">
        <is>
          <t>avverkningsanmälan</t>
        </is>
      </c>
      <c r="C887" t="inlineStr">
        <is>
          <t>Föryngringsavverkning</t>
        </is>
      </c>
      <c r="D887" s="1" t="n">
        <v>45617</v>
      </c>
      <c r="E887" s="1" t="n">
        <v>46272</v>
      </c>
      <c r="F887" t="inlineStr">
        <is>
          <t>GÄVLEBORGS LÄN</t>
        </is>
      </c>
      <c r="G887" t="inlineStr">
        <is>
          <t>HUDIKSVALL</t>
        </is>
      </c>
      <c r="I887" t="n">
        <v>0.5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t="n">
        <v>0</v>
      </c>
      <c r="S887" t="n">
        <v>0</v>
      </c>
      <c r="T887" t="n">
        <v>0</v>
      </c>
      <c r="U887" t="n">
        <v>0</v>
      </c>
      <c r="V887" s="2" t="inlineStr"/>
    </row>
    <row r="888" ht="15" customHeight="1">
      <c r="A888" t="inlineStr">
        <is>
          <t>A 13981-2026</t>
        </is>
      </c>
      <c r="B888" t="inlineStr">
        <is>
          <t>avverkningsanmälan</t>
        </is>
      </c>
      <c r="C888" t="inlineStr">
        <is>
          <t>Föryngringsavverkning</t>
        </is>
      </c>
      <c r="D888" s="1" t="n">
        <v>46098</v>
      </c>
      <c r="E888" s="1" t="n">
        <v>46272</v>
      </c>
      <c r="F888" t="inlineStr">
        <is>
          <t>GÄVLEBORGS LÄN</t>
        </is>
      </c>
      <c r="G888" t="inlineStr">
        <is>
          <t>HUDIKSVALL</t>
        </is>
      </c>
      <c r="I888" t="n">
        <v>0.5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t="n">
        <v>0</v>
      </c>
      <c r="S888" t="n">
        <v>0</v>
      </c>
      <c r="T888" t="n">
        <v>0</v>
      </c>
      <c r="U888" t="n">
        <v>0</v>
      </c>
      <c r="V888" s="2" t="inlineStr"/>
    </row>
    <row r="889" ht="15" customHeight="1">
      <c r="A889" t="inlineStr">
        <is>
          <t>A 65195-2023</t>
        </is>
      </c>
      <c r="B889" t="inlineStr">
        <is>
          <t>avverkningsanmälan</t>
        </is>
      </c>
      <c r="C889" t="inlineStr">
        <is>
          <t>Föryngringsavverkning</t>
        </is>
      </c>
      <c r="D889" s="1" t="n">
        <v>45289</v>
      </c>
      <c r="E889" s="1" t="n">
        <v>46272</v>
      </c>
      <c r="F889" t="inlineStr">
        <is>
          <t>GÄVLEBORGS LÄN</t>
        </is>
      </c>
      <c r="G889" t="inlineStr">
        <is>
          <t>HUDIKSVALL</t>
        </is>
      </c>
      <c r="I889" t="n">
        <v>1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t="n">
        <v>0</v>
      </c>
      <c r="S889" t="n">
        <v>0</v>
      </c>
      <c r="T889" t="n">
        <v>0</v>
      </c>
      <c r="U889" t="n">
        <v>0</v>
      </c>
      <c r="V889" s="2" t="inlineStr"/>
    </row>
    <row r="890" ht="15" customHeight="1">
      <c r="A890" t="inlineStr">
        <is>
          <t>A 51424-2024</t>
        </is>
      </c>
      <c r="B890" t="inlineStr">
        <is>
          <t>avverkningsanmälan</t>
        </is>
      </c>
      <c r="C890" t="inlineStr">
        <is>
          <t>Föryngringsavverkning</t>
        </is>
      </c>
      <c r="D890" s="1" t="n">
        <v>45604</v>
      </c>
      <c r="E890" s="1" t="n">
        <v>46272</v>
      </c>
      <c r="F890" t="inlineStr">
        <is>
          <t>GÄVLEBORGS LÄN</t>
        </is>
      </c>
      <c r="G890" t="inlineStr">
        <is>
          <t>HUDIKSVALL</t>
        </is>
      </c>
      <c r="I890" t="n">
        <v>8.800000000000001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t="n">
        <v>0</v>
      </c>
      <c r="S890" t="n">
        <v>0</v>
      </c>
      <c r="T890" t="n">
        <v>0</v>
      </c>
      <c r="U890" t="n">
        <v>0</v>
      </c>
      <c r="V890" s="2" t="inlineStr"/>
    </row>
    <row r="891" ht="15" customHeight="1">
      <c r="A891" t="inlineStr">
        <is>
          <t>A 59822-2024</t>
        </is>
      </c>
      <c r="B891" t="inlineStr">
        <is>
          <t>avverkningsanmälan</t>
        </is>
      </c>
      <c r="C891" t="inlineStr">
        <is>
          <t>Föryngringsavverkning</t>
        </is>
      </c>
      <c r="D891" s="1" t="n">
        <v>45639</v>
      </c>
      <c r="E891" s="1" t="n">
        <v>46272</v>
      </c>
      <c r="F891" t="inlineStr">
        <is>
          <t>GÄVLEBORGS LÄN</t>
        </is>
      </c>
      <c r="G891" t="inlineStr">
        <is>
          <t>HUDIKSVALL</t>
        </is>
      </c>
      <c r="I891" t="n">
        <v>1.2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t="n">
        <v>0</v>
      </c>
      <c r="S891" t="n">
        <v>0</v>
      </c>
      <c r="T891" t="n">
        <v>0</v>
      </c>
      <c r="U891" t="n">
        <v>0</v>
      </c>
      <c r="V891" s="2" t="inlineStr"/>
    </row>
    <row r="892" ht="15" customHeight="1">
      <c r="A892" t="inlineStr">
        <is>
          <t>A 53966-2025</t>
        </is>
      </c>
      <c r="B892" t="inlineStr">
        <is>
          <t>avverkningsanmälan</t>
        </is>
      </c>
      <c r="C892" t="inlineStr">
        <is>
          <t>Föryngringsavverkning</t>
        </is>
      </c>
      <c r="D892" s="1" t="n">
        <v>45961</v>
      </c>
      <c r="E892" s="1" t="n">
        <v>46272</v>
      </c>
      <c r="F892" t="inlineStr">
        <is>
          <t>GÄVLEBORGS LÄN</t>
        </is>
      </c>
      <c r="G892" t="inlineStr">
        <is>
          <t>HUDIKSVALL</t>
        </is>
      </c>
      <c r="H892" t="inlineStr">
        <is>
          <t>Naturvårdsverket</t>
        </is>
      </c>
      <c r="I892" t="n">
        <v>17.5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t="n">
        <v>0</v>
      </c>
      <c r="S892" t="n">
        <v>0</v>
      </c>
      <c r="T892" t="n">
        <v>0</v>
      </c>
      <c r="U892" t="n">
        <v>0</v>
      </c>
      <c r="V892" s="2" t="inlineStr"/>
    </row>
    <row r="893" ht="15" customHeight="1">
      <c r="A893" t="inlineStr">
        <is>
          <t>A 53967-2025</t>
        </is>
      </c>
      <c r="B893" t="inlineStr">
        <is>
          <t>avverkningsanmälan</t>
        </is>
      </c>
      <c r="C893" t="inlineStr">
        <is>
          <t>Föryngringsavverkning</t>
        </is>
      </c>
      <c r="D893" s="1" t="n">
        <v>45961</v>
      </c>
      <c r="E893" s="1" t="n">
        <v>46272</v>
      </c>
      <c r="F893" t="inlineStr">
        <is>
          <t>GÄVLEBORGS LÄN</t>
        </is>
      </c>
      <c r="G893" t="inlineStr">
        <is>
          <t>HUDIKSVALL</t>
        </is>
      </c>
      <c r="H893" t="inlineStr">
        <is>
          <t>Naturvårdsverket</t>
        </is>
      </c>
      <c r="I893" t="n">
        <v>10.9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t="n">
        <v>0</v>
      </c>
      <c r="S893" t="n">
        <v>0</v>
      </c>
      <c r="T893" t="n">
        <v>0</v>
      </c>
      <c r="U893" t="n">
        <v>0</v>
      </c>
      <c r="V893" s="2" t="inlineStr"/>
    </row>
    <row r="894" ht="15" customHeight="1">
      <c r="A894" t="inlineStr">
        <is>
          <t>A 14059-2025</t>
        </is>
      </c>
      <c r="B894" t="inlineStr">
        <is>
          <t>avverkningsanmälan</t>
        </is>
      </c>
      <c r="C894" t="inlineStr">
        <is>
          <t>Avverkning för annat ändamål</t>
        </is>
      </c>
      <c r="D894" s="1" t="n">
        <v>45740</v>
      </c>
      <c r="E894" s="1" t="n">
        <v>46272</v>
      </c>
      <c r="F894" t="inlineStr">
        <is>
          <t>GÄVLEBORGS LÄN</t>
        </is>
      </c>
      <c r="G894" t="inlineStr">
        <is>
          <t>HUDIKSVALL</t>
        </is>
      </c>
      <c r="I894" t="n">
        <v>0.7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t="n">
        <v>0</v>
      </c>
      <c r="S894" t="n">
        <v>0</v>
      </c>
      <c r="T894" t="n">
        <v>0</v>
      </c>
      <c r="U894" t="n">
        <v>0</v>
      </c>
      <c r="V894" s="2" t="inlineStr"/>
    </row>
    <row r="895" ht="15" customHeight="1">
      <c r="A895" t="inlineStr">
        <is>
          <t>A 14158-2026</t>
        </is>
      </c>
      <c r="B895" t="inlineStr">
        <is>
          <t>avverkningsanmälan</t>
        </is>
      </c>
      <c r="C895" t="inlineStr">
        <is>
          <t>Föryngringsavverkning</t>
        </is>
      </c>
      <c r="D895" s="1" t="n">
        <v>46099</v>
      </c>
      <c r="E895" s="1" t="n">
        <v>46272</v>
      </c>
      <c r="F895" t="inlineStr">
        <is>
          <t>GÄVLEBORGS LÄN</t>
        </is>
      </c>
      <c r="G895" t="inlineStr">
        <is>
          <t>HUDIKSVALL</t>
        </is>
      </c>
      <c r="I895" t="n">
        <v>5.2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t="n">
        <v>0</v>
      </c>
      <c r="S895" t="n">
        <v>0</v>
      </c>
      <c r="T895" t="n">
        <v>0</v>
      </c>
      <c r="U895" t="n">
        <v>0</v>
      </c>
      <c r="V895" s="2" t="inlineStr"/>
    </row>
    <row r="896" ht="15" customHeight="1">
      <c r="A896" t="inlineStr">
        <is>
          <t>A 43930-2023</t>
        </is>
      </c>
      <c r="B896" t="inlineStr">
        <is>
          <t>avverkningsanmälan</t>
        </is>
      </c>
      <c r="C896" t="inlineStr">
        <is>
          <t>Föryngringsavverkning</t>
        </is>
      </c>
      <c r="D896" s="1" t="n">
        <v>45187</v>
      </c>
      <c r="E896" s="1" t="n">
        <v>46272</v>
      </c>
      <c r="F896" t="inlineStr">
        <is>
          <t>GÄVLEBORGS LÄN</t>
        </is>
      </c>
      <c r="G896" t="inlineStr">
        <is>
          <t>HUDIKSVALL</t>
        </is>
      </c>
      <c r="I896" t="n">
        <v>0.5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t="n">
        <v>0</v>
      </c>
      <c r="S896" t="n">
        <v>0</v>
      </c>
      <c r="T896" t="n">
        <v>0</v>
      </c>
      <c r="U896" t="n">
        <v>0</v>
      </c>
      <c r="V896" s="2" t="inlineStr"/>
    </row>
    <row r="897" ht="15" customHeight="1">
      <c r="A897" t="inlineStr">
        <is>
          <t>A 14351-2026</t>
        </is>
      </c>
      <c r="B897" t="inlineStr">
        <is>
          <t>avverkningsanmälan</t>
        </is>
      </c>
      <c r="C897" t="inlineStr">
        <is>
          <t>Föryngringsavverkning</t>
        </is>
      </c>
      <c r="D897" s="1" t="n">
        <v>46100</v>
      </c>
      <c r="E897" s="1" t="n">
        <v>46272</v>
      </c>
      <c r="F897" t="inlineStr">
        <is>
          <t>GÄVLEBORGS LÄN</t>
        </is>
      </c>
      <c r="G897" t="inlineStr">
        <is>
          <t>HUDIKSVALL</t>
        </is>
      </c>
      <c r="I897" t="n">
        <v>2.4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t="n">
        <v>0</v>
      </c>
      <c r="S897" t="n">
        <v>0</v>
      </c>
      <c r="T897" t="n">
        <v>0</v>
      </c>
      <c r="U897" t="n">
        <v>0</v>
      </c>
      <c r="V897" s="2" t="inlineStr"/>
    </row>
    <row r="898" ht="15" customHeight="1">
      <c r="A898" t="inlineStr">
        <is>
          <t>A 38687-2024</t>
        </is>
      </c>
      <c r="B898" t="inlineStr">
        <is>
          <t>avverkningsanmälan</t>
        </is>
      </c>
      <c r="C898" t="inlineStr">
        <is>
          <t>Föryngringsavverkning</t>
        </is>
      </c>
      <c r="D898" s="1" t="n">
        <v>45547</v>
      </c>
      <c r="E898" s="1" t="n">
        <v>46272</v>
      </c>
      <c r="F898" t="inlineStr">
        <is>
          <t>GÄVLEBORGS LÄN</t>
        </is>
      </c>
      <c r="G898" t="inlineStr">
        <is>
          <t>HUDIKSVALL</t>
        </is>
      </c>
      <c r="I898" t="n">
        <v>8.9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t="n">
        <v>0</v>
      </c>
      <c r="S898" t="n">
        <v>0</v>
      </c>
      <c r="T898" t="n">
        <v>0</v>
      </c>
      <c r="U898" t="n">
        <v>0</v>
      </c>
      <c r="V898" s="2" t="inlineStr"/>
    </row>
    <row r="899" ht="15" customHeight="1">
      <c r="A899" t="inlineStr">
        <is>
          <t>A 38703-2024</t>
        </is>
      </c>
      <c r="B899" t="inlineStr">
        <is>
          <t>avverkningsanmälan</t>
        </is>
      </c>
      <c r="C899" t="inlineStr">
        <is>
          <t>Föryngringsavverkning</t>
        </is>
      </c>
      <c r="D899" s="1" t="n">
        <v>45547</v>
      </c>
      <c r="E899" s="1" t="n">
        <v>46272</v>
      </c>
      <c r="F899" t="inlineStr">
        <is>
          <t>GÄVLEBORGS LÄN</t>
        </is>
      </c>
      <c r="G899" t="inlineStr">
        <is>
          <t>HUDIKSVALL</t>
        </is>
      </c>
      <c r="I899" t="n">
        <v>2.8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t="n">
        <v>0</v>
      </c>
      <c r="S899" t="n">
        <v>0</v>
      </c>
      <c r="T899" t="n">
        <v>0</v>
      </c>
      <c r="U899" t="n">
        <v>0</v>
      </c>
      <c r="V899" s="2" t="inlineStr"/>
    </row>
    <row r="900" ht="15" customHeight="1">
      <c r="A900" t="inlineStr">
        <is>
          <t>A 14460-2026</t>
        </is>
      </c>
      <c r="B900" t="inlineStr">
        <is>
          <t>avverkningsanmälan</t>
        </is>
      </c>
      <c r="C900" t="inlineStr">
        <is>
          <t>Föryngringsavverkning</t>
        </is>
      </c>
      <c r="D900" s="1" t="n">
        <v>46100</v>
      </c>
      <c r="E900" s="1" t="n">
        <v>46272</v>
      </c>
      <c r="F900" t="inlineStr">
        <is>
          <t>GÄVLEBORGS LÄN</t>
        </is>
      </c>
      <c r="G900" t="inlineStr">
        <is>
          <t>HUDIKSVALL</t>
        </is>
      </c>
      <c r="I900" t="n">
        <v>2.1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t="n">
        <v>0</v>
      </c>
      <c r="S900" t="n">
        <v>0</v>
      </c>
      <c r="T900" t="n">
        <v>0</v>
      </c>
      <c r="U900" t="n">
        <v>0</v>
      </c>
      <c r="V900" s="2" t="inlineStr"/>
    </row>
    <row r="901" ht="15" customHeight="1">
      <c r="A901" t="inlineStr">
        <is>
          <t>A 14685-2026</t>
        </is>
      </c>
      <c r="B901" t="inlineStr">
        <is>
          <t>avverkningsanmälan</t>
        </is>
      </c>
      <c r="C901" t="inlineStr">
        <is>
          <t>Föryngringsavverkning</t>
        </is>
      </c>
      <c r="D901" s="1" t="n">
        <v>46101</v>
      </c>
      <c r="E901" s="1" t="n">
        <v>46272</v>
      </c>
      <c r="F901" t="inlineStr">
        <is>
          <t>GÄVLEBORGS LÄN</t>
        </is>
      </c>
      <c r="G901" t="inlineStr">
        <is>
          <t>HUDIKSVALL</t>
        </is>
      </c>
      <c r="I901" t="n">
        <v>7.1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t="n">
        <v>0</v>
      </c>
      <c r="S901" t="n">
        <v>0</v>
      </c>
      <c r="T901" t="n">
        <v>0</v>
      </c>
      <c r="U901" t="n">
        <v>0</v>
      </c>
      <c r="V901" s="2" t="inlineStr"/>
    </row>
    <row r="902" ht="15" customHeight="1">
      <c r="A902" t="inlineStr">
        <is>
          <t>A 14593-2026</t>
        </is>
      </c>
      <c r="B902" t="inlineStr">
        <is>
          <t>avverkningsanmälan</t>
        </is>
      </c>
      <c r="C902" t="inlineStr">
        <is>
          <t>Föryngringsavverkning</t>
        </is>
      </c>
      <c r="D902" s="1" t="n">
        <v>46101</v>
      </c>
      <c r="E902" s="1" t="n">
        <v>46272</v>
      </c>
      <c r="F902" t="inlineStr">
        <is>
          <t>GÄVLEBORGS LÄN</t>
        </is>
      </c>
      <c r="G902" t="inlineStr">
        <is>
          <t>HUDIKSVALL</t>
        </is>
      </c>
      <c r="I902" t="n">
        <v>3.4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t="n">
        <v>0</v>
      </c>
      <c r="S902" t="n">
        <v>0</v>
      </c>
      <c r="T902" t="n">
        <v>0</v>
      </c>
      <c r="U902" t="n">
        <v>0</v>
      </c>
      <c r="V902" s="2" t="inlineStr"/>
    </row>
    <row r="903" ht="15" customHeight="1">
      <c r="A903" t="inlineStr">
        <is>
          <t>A 14957-2026</t>
        </is>
      </c>
      <c r="B903" t="inlineStr">
        <is>
          <t>avverkningsanmälan</t>
        </is>
      </c>
      <c r="C903" t="inlineStr">
        <is>
          <t>Föryngringsavverkning</t>
        </is>
      </c>
      <c r="D903" s="1" t="n">
        <v>46104</v>
      </c>
      <c r="E903" s="1" t="n">
        <v>46272</v>
      </c>
      <c r="F903" t="inlineStr">
        <is>
          <t>GÄVLEBORGS LÄN</t>
        </is>
      </c>
      <c r="G903" t="inlineStr">
        <is>
          <t>HUDIKSVALL</t>
        </is>
      </c>
      <c r="I903" t="n">
        <v>1.1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t="n">
        <v>0</v>
      </c>
      <c r="S903" t="n">
        <v>0</v>
      </c>
      <c r="T903" t="n">
        <v>0</v>
      </c>
      <c r="U903" t="n">
        <v>0</v>
      </c>
      <c r="V903" s="2" t="inlineStr"/>
    </row>
    <row r="904" ht="15" customHeight="1">
      <c r="A904" t="inlineStr">
        <is>
          <t>A 9852-2026</t>
        </is>
      </c>
      <c r="B904" t="inlineStr">
        <is>
          <t>avverkningsanmälan</t>
        </is>
      </c>
      <c r="C904" t="inlineStr">
        <is>
          <t>Föryngringsavverkning</t>
        </is>
      </c>
      <c r="D904" s="1" t="n">
        <v>46072</v>
      </c>
      <c r="E904" s="1" t="n">
        <v>46272</v>
      </c>
      <c r="F904" t="inlineStr">
        <is>
          <t>GÄVLEBORGS LÄN</t>
        </is>
      </c>
      <c r="G904" t="inlineStr">
        <is>
          <t>HUDIKSVALL</t>
        </is>
      </c>
      <c r="I904" t="n">
        <v>0.5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t="n">
        <v>0</v>
      </c>
      <c r="S904" t="n">
        <v>0</v>
      </c>
      <c r="T904" t="n">
        <v>0</v>
      </c>
      <c r="U904" t="n">
        <v>0</v>
      </c>
      <c r="V904" s="2" t="inlineStr"/>
    </row>
    <row r="905" ht="15" customHeight="1">
      <c r="A905" t="inlineStr">
        <is>
          <t>A 14803-2026</t>
        </is>
      </c>
      <c r="B905" t="inlineStr">
        <is>
          <t>avverkningsanmälan</t>
        </is>
      </c>
      <c r="C905" t="inlineStr">
        <is>
          <t>Föryngringsavverkning</t>
        </is>
      </c>
      <c r="D905" s="1" t="n">
        <v>46103</v>
      </c>
      <c r="E905" s="1" t="n">
        <v>46272</v>
      </c>
      <c r="F905" t="inlineStr">
        <is>
          <t>GÄVLEBORGS LÄN</t>
        </is>
      </c>
      <c r="G905" t="inlineStr">
        <is>
          <t>HUDIKSVALL</t>
        </is>
      </c>
      <c r="H905" t="inlineStr">
        <is>
          <t>Holmen skog AB</t>
        </is>
      </c>
      <c r="I905" t="n">
        <v>8.9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t="n">
        <v>0</v>
      </c>
      <c r="S905" t="n">
        <v>0</v>
      </c>
      <c r="T905" t="n">
        <v>0</v>
      </c>
      <c r="U905" t="n">
        <v>0</v>
      </c>
      <c r="V905" s="2" t="inlineStr"/>
    </row>
    <row r="906" ht="15" customHeight="1">
      <c r="A906" t="inlineStr">
        <is>
          <t>A 14804-2026</t>
        </is>
      </c>
      <c r="B906" t="inlineStr">
        <is>
          <t>avverkningsanmälan</t>
        </is>
      </c>
      <c r="C906" t="inlineStr">
        <is>
          <t>Föryngringsavverkning</t>
        </is>
      </c>
      <c r="D906" s="1" t="n">
        <v>46103</v>
      </c>
      <c r="E906" s="1" t="n">
        <v>46272</v>
      </c>
      <c r="F906" t="inlineStr">
        <is>
          <t>GÄVLEBORGS LÄN</t>
        </is>
      </c>
      <c r="G906" t="inlineStr">
        <is>
          <t>HUDIKSVALL</t>
        </is>
      </c>
      <c r="H906" t="inlineStr">
        <is>
          <t>Holmen skog AB</t>
        </is>
      </c>
      <c r="I906" t="n">
        <v>8.199999999999999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t="n">
        <v>0</v>
      </c>
      <c r="S906" t="n">
        <v>0</v>
      </c>
      <c r="T906" t="n">
        <v>0</v>
      </c>
      <c r="U906" t="n">
        <v>0</v>
      </c>
      <c r="V906" s="2" t="inlineStr"/>
    </row>
    <row r="907" ht="15" customHeight="1">
      <c r="A907" t="inlineStr">
        <is>
          <t>A 57815-2023</t>
        </is>
      </c>
      <c r="B907" t="inlineStr">
        <is>
          <t>avverkningsanmälan</t>
        </is>
      </c>
      <c r="C907" t="inlineStr">
        <is>
          <t>Föryngringsavverkning</t>
        </is>
      </c>
      <c r="D907" s="1" t="n">
        <v>45247</v>
      </c>
      <c r="E907" s="1" t="n">
        <v>46272</v>
      </c>
      <c r="F907" t="inlineStr">
        <is>
          <t>GÄVLEBORGS LÄN</t>
        </is>
      </c>
      <c r="G907" t="inlineStr">
        <is>
          <t>HUDIKSVALL</t>
        </is>
      </c>
      <c r="H907" t="inlineStr">
        <is>
          <t>Holmen skog AB</t>
        </is>
      </c>
      <c r="I907" t="n">
        <v>1.1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t="n">
        <v>0</v>
      </c>
      <c r="S907" t="n">
        <v>0</v>
      </c>
      <c r="T907" t="n">
        <v>0</v>
      </c>
      <c r="U907" t="n">
        <v>0</v>
      </c>
      <c r="V907" s="2" t="inlineStr"/>
    </row>
    <row r="908" ht="15" customHeight="1">
      <c r="A908" t="inlineStr">
        <is>
          <t>A 14805-2026</t>
        </is>
      </c>
      <c r="B908" t="inlineStr">
        <is>
          <t>avverkningsanmälan</t>
        </is>
      </c>
      <c r="C908" t="inlineStr">
        <is>
          <t>Föryngringsavverkning</t>
        </is>
      </c>
      <c r="D908" s="1" t="n">
        <v>46103</v>
      </c>
      <c r="E908" s="1" t="n">
        <v>46272</v>
      </c>
      <c r="F908" t="inlineStr">
        <is>
          <t>GÄVLEBORGS LÄN</t>
        </is>
      </c>
      <c r="G908" t="inlineStr">
        <is>
          <t>HUDIKSVALL</t>
        </is>
      </c>
      <c r="H908" t="inlineStr">
        <is>
          <t>Holmen skog AB</t>
        </is>
      </c>
      <c r="I908" t="n">
        <v>2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t="n">
        <v>0</v>
      </c>
      <c r="S908" t="n">
        <v>0</v>
      </c>
      <c r="T908" t="n">
        <v>0</v>
      </c>
      <c r="U908" t="n">
        <v>0</v>
      </c>
      <c r="V908" s="2" t="inlineStr"/>
    </row>
    <row r="909" ht="15" customHeight="1">
      <c r="A909" t="inlineStr">
        <is>
          <t>A 61611-2023</t>
        </is>
      </c>
      <c r="B909" t="inlineStr">
        <is>
          <t>avverkningsanmälan</t>
        </is>
      </c>
      <c r="C909" t="inlineStr">
        <is>
          <t>Föryngringsavverkning</t>
        </is>
      </c>
      <c r="D909" s="1" t="n">
        <v>45265</v>
      </c>
      <c r="E909" s="1" t="n">
        <v>46272</v>
      </c>
      <c r="F909" t="inlineStr">
        <is>
          <t>GÄVLEBORGS LÄN</t>
        </is>
      </c>
      <c r="G909" t="inlineStr">
        <is>
          <t>HUDIKSVALL</t>
        </is>
      </c>
      <c r="I909" t="n">
        <v>4.7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t="n">
        <v>0</v>
      </c>
      <c r="S909" t="n">
        <v>0</v>
      </c>
      <c r="T909" t="n">
        <v>0</v>
      </c>
      <c r="U909" t="n">
        <v>0</v>
      </c>
      <c r="V909" s="2" t="inlineStr"/>
    </row>
    <row r="910" ht="15" customHeight="1">
      <c r="A910" t="inlineStr">
        <is>
          <t>A 15473-2026</t>
        </is>
      </c>
      <c r="B910" t="inlineStr">
        <is>
          <t>avverkningsanmälan</t>
        </is>
      </c>
      <c r="C910" t="inlineStr">
        <is>
          <t>Föryngringsavverkning</t>
        </is>
      </c>
      <c r="D910" s="1" t="n">
        <v>46106</v>
      </c>
      <c r="E910" s="1" t="n">
        <v>46272</v>
      </c>
      <c r="F910" t="inlineStr">
        <is>
          <t>GÄVLEBORGS LÄN</t>
        </is>
      </c>
      <c r="G910" t="inlineStr">
        <is>
          <t>HUDIKSVALL</t>
        </is>
      </c>
      <c r="H910" t="inlineStr">
        <is>
          <t>Holmen skog AB</t>
        </is>
      </c>
      <c r="I910" t="n">
        <v>8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t="n">
        <v>0</v>
      </c>
      <c r="S910" t="n">
        <v>0</v>
      </c>
      <c r="T910" t="n">
        <v>0</v>
      </c>
      <c r="U910" t="n">
        <v>0</v>
      </c>
      <c r="V910" s="2" t="inlineStr"/>
    </row>
    <row r="911" ht="15" customHeight="1">
      <c r="A911" t="inlineStr">
        <is>
          <t>A 43644-2024</t>
        </is>
      </c>
      <c r="B911" t="inlineStr">
        <is>
          <t>avverkningsanmälan</t>
        </is>
      </c>
      <c r="C911" t="inlineStr">
        <is>
          <t>Föryngringsavverkning</t>
        </is>
      </c>
      <c r="D911" s="1" t="n">
        <v>45569</v>
      </c>
      <c r="E911" s="1" t="n">
        <v>46272</v>
      </c>
      <c r="F911" t="inlineStr">
        <is>
          <t>GÄVLEBORGS LÄN</t>
        </is>
      </c>
      <c r="G911" t="inlineStr">
        <is>
          <t>HUDIKSVALL</t>
        </is>
      </c>
      <c r="I911" t="n">
        <v>0.7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t="n">
        <v>0</v>
      </c>
      <c r="S911" t="n">
        <v>0</v>
      </c>
      <c r="T911" t="n">
        <v>0</v>
      </c>
      <c r="U911" t="n">
        <v>0</v>
      </c>
      <c r="V911" s="2" t="inlineStr"/>
    </row>
    <row r="912" ht="15" customHeight="1">
      <c r="A912" t="inlineStr">
        <is>
          <t>A 18887-2023</t>
        </is>
      </c>
      <c r="B912" t="inlineStr">
        <is>
          <t>avverkningsanmälan</t>
        </is>
      </c>
      <c r="C912" t="inlineStr">
        <is>
          <t>Föryngringsavverkning</t>
        </is>
      </c>
      <c r="D912" s="1" t="n">
        <v>45044</v>
      </c>
      <c r="E912" s="1" t="n">
        <v>46272</v>
      </c>
      <c r="F912" t="inlineStr">
        <is>
          <t>GÄVLEBORGS LÄN</t>
        </is>
      </c>
      <c r="G912" t="inlineStr">
        <is>
          <t>HUDIKSVALL</t>
        </is>
      </c>
      <c r="I912" t="n">
        <v>2.6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t="n">
        <v>0</v>
      </c>
      <c r="S912" t="n">
        <v>0</v>
      </c>
      <c r="T912" t="n">
        <v>0</v>
      </c>
      <c r="U912" t="n">
        <v>0</v>
      </c>
      <c r="V912" s="2" t="inlineStr"/>
    </row>
    <row r="913" ht="15" customHeight="1">
      <c r="A913" t="inlineStr">
        <is>
          <t>A 2010-2023</t>
        </is>
      </c>
      <c r="B913" t="inlineStr">
        <is>
          <t>avverkningsanmälan</t>
        </is>
      </c>
      <c r="C913" t="inlineStr">
        <is>
          <t>Föryngringsavverkning</t>
        </is>
      </c>
      <c r="D913" s="1" t="n">
        <v>44939</v>
      </c>
      <c r="E913" s="1" t="n">
        <v>46272</v>
      </c>
      <c r="F913" t="inlineStr">
        <is>
          <t>GÄVLEBORGS LÄN</t>
        </is>
      </c>
      <c r="G913" t="inlineStr">
        <is>
          <t>HUDIKSVALL</t>
        </is>
      </c>
      <c r="I913" t="n">
        <v>1.2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t="n">
        <v>0</v>
      </c>
      <c r="S913" t="n">
        <v>0</v>
      </c>
      <c r="T913" t="n">
        <v>0</v>
      </c>
      <c r="U913" t="n">
        <v>0</v>
      </c>
      <c r="V913" s="2" t="inlineStr"/>
    </row>
    <row r="914" ht="15" customHeight="1">
      <c r="A914" t="inlineStr">
        <is>
          <t>A 15949-2026</t>
        </is>
      </c>
      <c r="B914" t="inlineStr">
        <is>
          <t>avverkningsanmälan</t>
        </is>
      </c>
      <c r="C914" t="inlineStr">
        <is>
          <t>Föryngringsavverkning</t>
        </is>
      </c>
      <c r="D914" s="1" t="n">
        <v>46107</v>
      </c>
      <c r="E914" s="1" t="n">
        <v>46272</v>
      </c>
      <c r="F914" t="inlineStr">
        <is>
          <t>GÄVLEBORGS LÄN</t>
        </is>
      </c>
      <c r="G914" t="inlineStr">
        <is>
          <t>HUDIKSVALL</t>
        </is>
      </c>
      <c r="H914" t="inlineStr">
        <is>
          <t>Holmen skog AB</t>
        </is>
      </c>
      <c r="I914" t="n">
        <v>4.4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t="n">
        <v>0</v>
      </c>
      <c r="S914" t="n">
        <v>0</v>
      </c>
      <c r="T914" t="n">
        <v>0</v>
      </c>
      <c r="U914" t="n">
        <v>0</v>
      </c>
      <c r="V914" s="2" t="inlineStr"/>
    </row>
    <row r="915" ht="15" customHeight="1">
      <c r="A915" t="inlineStr">
        <is>
          <t>A 20670-2022</t>
        </is>
      </c>
      <c r="B915" t="inlineStr">
        <is>
          <t>avverkningsanmälan</t>
        </is>
      </c>
      <c r="C915" t="inlineStr">
        <is>
          <t>Föryngringsavverkning</t>
        </is>
      </c>
      <c r="D915" s="1" t="n">
        <v>44700</v>
      </c>
      <c r="E915" s="1" t="n">
        <v>46272</v>
      </c>
      <c r="F915" t="inlineStr">
        <is>
          <t>GÄVLEBORGS LÄN</t>
        </is>
      </c>
      <c r="G915" t="inlineStr">
        <is>
          <t>HUDIKSVALL</t>
        </is>
      </c>
      <c r="H915" t="inlineStr">
        <is>
          <t>Holmen skog AB</t>
        </is>
      </c>
      <c r="I915" t="n">
        <v>11.9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t="n">
        <v>0</v>
      </c>
      <c r="S915" t="n">
        <v>0</v>
      </c>
      <c r="T915" t="n">
        <v>0</v>
      </c>
      <c r="U915" t="n">
        <v>0</v>
      </c>
      <c r="V915" s="2" t="inlineStr"/>
    </row>
    <row r="916" ht="15" customHeight="1">
      <c r="A916" t="inlineStr">
        <is>
          <t>A 15952-2026</t>
        </is>
      </c>
      <c r="B916" t="inlineStr">
        <is>
          <t>avverkningsanmälan</t>
        </is>
      </c>
      <c r="C916" t="inlineStr">
        <is>
          <t>Föryngringsavverkning</t>
        </is>
      </c>
      <c r="D916" s="1" t="n">
        <v>46107</v>
      </c>
      <c r="E916" s="1" t="n">
        <v>46272</v>
      </c>
      <c r="F916" t="inlineStr">
        <is>
          <t>GÄVLEBORGS LÄN</t>
        </is>
      </c>
      <c r="G916" t="inlineStr">
        <is>
          <t>HUDIKSVALL</t>
        </is>
      </c>
      <c r="H916" t="inlineStr">
        <is>
          <t>Holmen skog AB</t>
        </is>
      </c>
      <c r="I916" t="n">
        <v>4.6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t="n">
        <v>0</v>
      </c>
      <c r="S916" t="n">
        <v>0</v>
      </c>
      <c r="T916" t="n">
        <v>0</v>
      </c>
      <c r="U916" t="n">
        <v>0</v>
      </c>
      <c r="V916" s="2" t="inlineStr"/>
    </row>
    <row r="917" ht="15" customHeight="1">
      <c r="A917" t="inlineStr">
        <is>
          <t>A 18939-2025</t>
        </is>
      </c>
      <c r="B917" t="inlineStr">
        <is>
          <t>avverkningsanmälan</t>
        </is>
      </c>
      <c r="C917" t="inlineStr">
        <is>
          <t>Föryngringsavverkning</t>
        </is>
      </c>
      <c r="D917" s="1" t="n">
        <v>45764</v>
      </c>
      <c r="E917" s="1" t="n">
        <v>46272</v>
      </c>
      <c r="F917" t="inlineStr">
        <is>
          <t>GÄVLEBORGS LÄN</t>
        </is>
      </c>
      <c r="G917" t="inlineStr">
        <is>
          <t>HUDIKSVALL</t>
        </is>
      </c>
      <c r="I917" t="n">
        <v>10.4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t="n">
        <v>0</v>
      </c>
      <c r="S917" t="n">
        <v>0</v>
      </c>
      <c r="T917" t="n">
        <v>0</v>
      </c>
      <c r="U917" t="n">
        <v>0</v>
      </c>
      <c r="V917" s="2" t="inlineStr"/>
    </row>
    <row r="918" ht="15" customHeight="1">
      <c r="A918" t="inlineStr">
        <is>
          <t>A 18985-2025</t>
        </is>
      </c>
      <c r="B918" t="inlineStr">
        <is>
          <t>avverkningsanmälan</t>
        </is>
      </c>
      <c r="C918" t="inlineStr">
        <is>
          <t>Föryngringsavverkning</t>
        </is>
      </c>
      <c r="D918" s="1" t="n">
        <v>45764</v>
      </c>
      <c r="E918" s="1" t="n">
        <v>46272</v>
      </c>
      <c r="F918" t="inlineStr">
        <is>
          <t>GÄVLEBORGS LÄN</t>
        </is>
      </c>
      <c r="G918" t="inlineStr">
        <is>
          <t>HUDIKSVALL</t>
        </is>
      </c>
      <c r="H918" t="inlineStr">
        <is>
          <t>Holmen skog AB</t>
        </is>
      </c>
      <c r="I918" t="n">
        <v>8.1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t="n">
        <v>0</v>
      </c>
      <c r="S918" t="n">
        <v>0</v>
      </c>
      <c r="T918" t="n">
        <v>0</v>
      </c>
      <c r="U918" t="n">
        <v>0</v>
      </c>
      <c r="V918" s="2" t="inlineStr"/>
    </row>
    <row r="919" ht="15" customHeight="1">
      <c r="A919" t="inlineStr">
        <is>
          <t>A 15719-2026</t>
        </is>
      </c>
      <c r="B919" t="inlineStr">
        <is>
          <t>avverkningsanmälan</t>
        </is>
      </c>
      <c r="C919" t="inlineStr">
        <is>
          <t>Föryngringsavverkning</t>
        </is>
      </c>
      <c r="D919" s="1" t="n">
        <v>46107</v>
      </c>
      <c r="E919" s="1" t="n">
        <v>46272</v>
      </c>
      <c r="F919" t="inlineStr">
        <is>
          <t>GÄVLEBORGS LÄN</t>
        </is>
      </c>
      <c r="G919" t="inlineStr">
        <is>
          <t>HUDIKSVALL</t>
        </is>
      </c>
      <c r="H919" t="inlineStr">
        <is>
          <t>Holmen skog AB</t>
        </is>
      </c>
      <c r="I919" t="n">
        <v>36.9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t="n">
        <v>0</v>
      </c>
      <c r="S919" t="n">
        <v>0</v>
      </c>
      <c r="T919" t="n">
        <v>0</v>
      </c>
      <c r="U919" t="n">
        <v>0</v>
      </c>
      <c r="V919" s="2" t="inlineStr"/>
    </row>
    <row r="920" ht="15" customHeight="1">
      <c r="A920" t="inlineStr">
        <is>
          <t>A 16683-2026</t>
        </is>
      </c>
      <c r="B920" t="inlineStr">
        <is>
          <t>avverkningsanmälan</t>
        </is>
      </c>
      <c r="C920" t="inlineStr">
        <is>
          <t>Föryngringsavverkning</t>
        </is>
      </c>
      <c r="D920" s="1" t="n">
        <v>46112</v>
      </c>
      <c r="E920" s="1" t="n">
        <v>46272</v>
      </c>
      <c r="F920" t="inlineStr">
        <is>
          <t>GÄVLEBORGS LÄN</t>
        </is>
      </c>
      <c r="G920" t="inlineStr">
        <is>
          <t>HUDIKSVALL</t>
        </is>
      </c>
      <c r="I920" t="n">
        <v>0.8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t="n">
        <v>0</v>
      </c>
      <c r="S920" t="n">
        <v>0</v>
      </c>
      <c r="T920" t="n">
        <v>0</v>
      </c>
      <c r="U920" t="n">
        <v>0</v>
      </c>
      <c r="V920" s="2" t="inlineStr"/>
    </row>
    <row r="921" ht="15" customHeight="1">
      <c r="A921" t="inlineStr">
        <is>
          <t>A 14771-2025</t>
        </is>
      </c>
      <c r="B921" t="inlineStr">
        <is>
          <t>avverkningsanmälan</t>
        </is>
      </c>
      <c r="C921" t="inlineStr">
        <is>
          <t>Avverkning för annat ändamål</t>
        </is>
      </c>
      <c r="D921" s="1" t="n">
        <v>45742</v>
      </c>
      <c r="E921" s="1" t="n">
        <v>46272</v>
      </c>
      <c r="F921" t="inlineStr">
        <is>
          <t>GÄVLEBORGS LÄN</t>
        </is>
      </c>
      <c r="G921" t="inlineStr">
        <is>
          <t>HUDIKSVALL</t>
        </is>
      </c>
      <c r="I921" t="n">
        <v>0.6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t="n">
        <v>0</v>
      </c>
      <c r="S921" t="n">
        <v>0</v>
      </c>
      <c r="T921" t="n">
        <v>0</v>
      </c>
      <c r="U921" t="n">
        <v>0</v>
      </c>
      <c r="V921" s="2" t="inlineStr"/>
    </row>
    <row r="922" ht="15" customHeight="1">
      <c r="A922" t="inlineStr">
        <is>
          <t>A 16221-2026</t>
        </is>
      </c>
      <c r="B922" t="inlineStr">
        <is>
          <t>avverkningsanmälan</t>
        </is>
      </c>
      <c r="C922" t="inlineStr">
        <is>
          <t>Föryngringsavverkning</t>
        </is>
      </c>
      <c r="D922" s="1" t="n">
        <v>46111</v>
      </c>
      <c r="E922" s="1" t="n">
        <v>46272</v>
      </c>
      <c r="F922" t="inlineStr">
        <is>
          <t>GÄVLEBORGS LÄN</t>
        </is>
      </c>
      <c r="G922" t="inlineStr">
        <is>
          <t>HUDIKSVALL</t>
        </is>
      </c>
      <c r="H922" t="inlineStr">
        <is>
          <t>Naturvårdsverket</t>
        </is>
      </c>
      <c r="I922" t="n">
        <v>5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t="n">
        <v>0</v>
      </c>
      <c r="S922" t="n">
        <v>0</v>
      </c>
      <c r="T922" t="n">
        <v>0</v>
      </c>
      <c r="U922" t="n">
        <v>0</v>
      </c>
      <c r="V922" s="2" t="inlineStr"/>
    </row>
    <row r="923" ht="15" customHeight="1">
      <c r="A923" t="inlineStr">
        <is>
          <t>A 74009-2021</t>
        </is>
      </c>
      <c r="B923" t="inlineStr">
        <is>
          <t>avverkningsanmälan</t>
        </is>
      </c>
      <c r="C923" t="inlineStr">
        <is>
          <t>Föryngringsavverkning</t>
        </is>
      </c>
      <c r="D923" s="1" t="n">
        <v>44557</v>
      </c>
      <c r="E923" s="1" t="n">
        <v>46272</v>
      </c>
      <c r="F923" t="inlineStr">
        <is>
          <t>GÄVLEBORGS LÄN</t>
        </is>
      </c>
      <c r="G923" t="inlineStr">
        <is>
          <t>HUDIKSVALL</t>
        </is>
      </c>
      <c r="I923" t="n">
        <v>0.7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t="n">
        <v>0</v>
      </c>
      <c r="S923" t="n">
        <v>0</v>
      </c>
      <c r="T923" t="n">
        <v>0</v>
      </c>
      <c r="U923" t="n">
        <v>0</v>
      </c>
      <c r="V923" s="2" t="inlineStr"/>
    </row>
    <row r="924" ht="15" customHeight="1">
      <c r="A924" t="inlineStr">
        <is>
          <t>A 41555-2024</t>
        </is>
      </c>
      <c r="B924" t="inlineStr">
        <is>
          <t>avverkningsanmälan</t>
        </is>
      </c>
      <c r="C924" t="inlineStr">
        <is>
          <t>Föryngringsavverkning</t>
        </is>
      </c>
      <c r="D924" s="1" t="n">
        <v>45560</v>
      </c>
      <c r="E924" s="1" t="n">
        <v>46272</v>
      </c>
      <c r="F924" t="inlineStr">
        <is>
          <t>GÄVLEBORGS LÄN</t>
        </is>
      </c>
      <c r="G924" t="inlineStr">
        <is>
          <t>HUDIKSVALL</t>
        </is>
      </c>
      <c r="I924" t="n">
        <v>1.2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t="n">
        <v>0</v>
      </c>
      <c r="S924" t="n">
        <v>0</v>
      </c>
      <c r="T924" t="n">
        <v>0</v>
      </c>
      <c r="U924" t="n">
        <v>0</v>
      </c>
      <c r="V924" s="2" t="inlineStr"/>
    </row>
    <row r="925" ht="15" customHeight="1">
      <c r="A925" t="inlineStr">
        <is>
          <t>A 2645-2024</t>
        </is>
      </c>
      <c r="B925" t="inlineStr">
        <is>
          <t>avverkningsanmälan</t>
        </is>
      </c>
      <c r="C925" t="inlineStr">
        <is>
          <t>Föryngringsavverkning</t>
        </is>
      </c>
      <c r="D925" s="1" t="n">
        <v>45314</v>
      </c>
      <c r="E925" s="1" t="n">
        <v>46272</v>
      </c>
      <c r="F925" t="inlineStr">
        <is>
          <t>GÄVLEBORGS LÄN</t>
        </is>
      </c>
      <c r="G925" t="inlineStr">
        <is>
          <t>HUDIKSVALL</t>
        </is>
      </c>
      <c r="I925" t="n">
        <v>1.4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t="n">
        <v>0</v>
      </c>
      <c r="S925" t="n">
        <v>0</v>
      </c>
      <c r="T925" t="n">
        <v>0</v>
      </c>
      <c r="U925" t="n">
        <v>0</v>
      </c>
      <c r="V925" s="2" t="inlineStr"/>
    </row>
    <row r="926" ht="15" customHeight="1">
      <c r="A926" t="inlineStr">
        <is>
          <t>A 2654-2024</t>
        </is>
      </c>
      <c r="B926" t="inlineStr">
        <is>
          <t>avverkningsanmälan</t>
        </is>
      </c>
      <c r="C926" t="inlineStr">
        <is>
          <t>Föryngringsavverkning</t>
        </is>
      </c>
      <c r="D926" s="1" t="n">
        <v>45314</v>
      </c>
      <c r="E926" s="1" t="n">
        <v>46272</v>
      </c>
      <c r="F926" t="inlineStr">
        <is>
          <t>GÄVLEBORGS LÄN</t>
        </is>
      </c>
      <c r="G926" t="inlineStr">
        <is>
          <t>HUDIKSVALL</t>
        </is>
      </c>
      <c r="H926" t="inlineStr">
        <is>
          <t>Holmen skog AB</t>
        </is>
      </c>
      <c r="I926" t="n">
        <v>0.6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t="n">
        <v>0</v>
      </c>
      <c r="S926" t="n">
        <v>0</v>
      </c>
      <c r="T926" t="n">
        <v>0</v>
      </c>
      <c r="U926" t="n">
        <v>0</v>
      </c>
      <c r="V926" s="2" t="inlineStr"/>
    </row>
    <row r="927" ht="15" customHeight="1">
      <c r="A927" t="inlineStr">
        <is>
          <t>A 2707-2024</t>
        </is>
      </c>
      <c r="B927" t="inlineStr">
        <is>
          <t>avverkningsanmälan</t>
        </is>
      </c>
      <c r="C927" t="inlineStr">
        <is>
          <t>Föryngringsavverkning</t>
        </is>
      </c>
      <c r="D927" s="1" t="n">
        <v>45314</v>
      </c>
      <c r="E927" s="1" t="n">
        <v>46272</v>
      </c>
      <c r="F927" t="inlineStr">
        <is>
          <t>GÄVLEBORGS LÄN</t>
        </is>
      </c>
      <c r="G927" t="inlineStr">
        <is>
          <t>HUDIKSVALL</t>
        </is>
      </c>
      <c r="I927" t="n">
        <v>1.3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t="n">
        <v>0</v>
      </c>
      <c r="S927" t="n">
        <v>0</v>
      </c>
      <c r="T927" t="n">
        <v>0</v>
      </c>
      <c r="U927" t="n">
        <v>0</v>
      </c>
      <c r="V927" s="2" t="inlineStr"/>
    </row>
    <row r="928" ht="15" customHeight="1">
      <c r="A928" t="inlineStr">
        <is>
          <t>A 16722-2026</t>
        </is>
      </c>
      <c r="B928" t="inlineStr">
        <is>
          <t>avverkningsanmälan</t>
        </is>
      </c>
      <c r="C928" t="inlineStr">
        <is>
          <t>Föryngringsavverkning</t>
        </is>
      </c>
      <c r="D928" s="1" t="n">
        <v>46113</v>
      </c>
      <c r="E928" s="1" t="n">
        <v>46272</v>
      </c>
      <c r="F928" t="inlineStr">
        <is>
          <t>GÄVLEBORGS LÄN</t>
        </is>
      </c>
      <c r="G928" t="inlineStr">
        <is>
          <t>HUDIKSVALL</t>
        </is>
      </c>
      <c r="I928" t="n">
        <v>2.5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t="n">
        <v>0</v>
      </c>
      <c r="S928" t="n">
        <v>0</v>
      </c>
      <c r="T928" t="n">
        <v>0</v>
      </c>
      <c r="U928" t="n">
        <v>0</v>
      </c>
      <c r="V928" s="2" t="inlineStr"/>
    </row>
    <row r="929" ht="15" customHeight="1">
      <c r="A929" t="inlineStr">
        <is>
          <t>A 16954-2026</t>
        </is>
      </c>
      <c r="B929" t="inlineStr">
        <is>
          <t>avverkningsanmälan</t>
        </is>
      </c>
      <c r="C929" t="inlineStr">
        <is>
          <t>Föryngringsavverkning</t>
        </is>
      </c>
      <c r="D929" s="1" t="n">
        <v>46114</v>
      </c>
      <c r="E929" s="1" t="n">
        <v>46272</v>
      </c>
      <c r="F929" t="inlineStr">
        <is>
          <t>GÄVLEBORGS LÄN</t>
        </is>
      </c>
      <c r="G929" t="inlineStr">
        <is>
          <t>HUDIKSVALL</t>
        </is>
      </c>
      <c r="I929" t="n">
        <v>4.9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t="n">
        <v>0</v>
      </c>
      <c r="S929" t="n">
        <v>0</v>
      </c>
      <c r="T929" t="n">
        <v>0</v>
      </c>
      <c r="U929" t="n">
        <v>0</v>
      </c>
      <c r="V929" s="2" t="inlineStr"/>
    </row>
    <row r="930" ht="15" customHeight="1">
      <c r="A930" t="inlineStr">
        <is>
          <t>A 16968-2026</t>
        </is>
      </c>
      <c r="B930" t="inlineStr">
        <is>
          <t>avverkningsanmälan</t>
        </is>
      </c>
      <c r="C930" t="inlineStr">
        <is>
          <t>Föryngringsavverkning</t>
        </is>
      </c>
      <c r="D930" s="1" t="n">
        <v>46114</v>
      </c>
      <c r="E930" s="1" t="n">
        <v>46272</v>
      </c>
      <c r="F930" t="inlineStr">
        <is>
          <t>GÄVLEBORGS LÄN</t>
        </is>
      </c>
      <c r="G930" t="inlineStr">
        <is>
          <t>HUDIKSVALL</t>
        </is>
      </c>
      <c r="H930" t="inlineStr">
        <is>
          <t>Holmen skog AB</t>
        </is>
      </c>
      <c r="I930" t="n">
        <v>16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t="n">
        <v>0</v>
      </c>
      <c r="S930" t="n">
        <v>0</v>
      </c>
      <c r="T930" t="n">
        <v>0</v>
      </c>
      <c r="U930" t="n">
        <v>0</v>
      </c>
      <c r="V930" s="2" t="inlineStr"/>
    </row>
    <row r="931" ht="15" customHeight="1">
      <c r="A931" t="inlineStr">
        <is>
          <t>A 16972-2026</t>
        </is>
      </c>
      <c r="B931" t="inlineStr">
        <is>
          <t>avverkningsanmälan</t>
        </is>
      </c>
      <c r="C931" t="inlineStr">
        <is>
          <t>Föryngringsavverkning</t>
        </is>
      </c>
      <c r="D931" s="1" t="n">
        <v>46114</v>
      </c>
      <c r="E931" s="1" t="n">
        <v>46272</v>
      </c>
      <c r="F931" t="inlineStr">
        <is>
          <t>GÄVLEBORGS LÄN</t>
        </is>
      </c>
      <c r="G931" t="inlineStr">
        <is>
          <t>HUDIKSVALL</t>
        </is>
      </c>
      <c r="H931" t="inlineStr">
        <is>
          <t>Holmen skog AB</t>
        </is>
      </c>
      <c r="I931" t="n">
        <v>32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t="n">
        <v>0</v>
      </c>
      <c r="S931" t="n">
        <v>0</v>
      </c>
      <c r="T931" t="n">
        <v>0</v>
      </c>
      <c r="U931" t="n">
        <v>0</v>
      </c>
      <c r="V931" s="2" t="inlineStr"/>
    </row>
    <row r="932" ht="15" customHeight="1">
      <c r="A932" t="inlineStr">
        <is>
          <t>A 16848-2026</t>
        </is>
      </c>
      <c r="B932" t="inlineStr">
        <is>
          <t>avverkningsanmälan</t>
        </is>
      </c>
      <c r="C932" t="inlineStr">
        <is>
          <t>Föryngringsavverkning</t>
        </is>
      </c>
      <c r="D932" s="1" t="n">
        <v>46113</v>
      </c>
      <c r="E932" s="1" t="n">
        <v>46272</v>
      </c>
      <c r="F932" t="inlineStr">
        <is>
          <t>GÄVLEBORGS LÄN</t>
        </is>
      </c>
      <c r="G932" t="inlineStr">
        <is>
          <t>HUDIKSVALL</t>
        </is>
      </c>
      <c r="H932" t="inlineStr">
        <is>
          <t>Holmen skog AB</t>
        </is>
      </c>
      <c r="I932" t="n">
        <v>4.8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t="n">
        <v>0</v>
      </c>
      <c r="S932" t="n">
        <v>0</v>
      </c>
      <c r="T932" t="n">
        <v>0</v>
      </c>
      <c r="U932" t="n">
        <v>0</v>
      </c>
      <c r="V932" s="2" t="inlineStr"/>
    </row>
    <row r="933" ht="15" customHeight="1">
      <c r="A933" t="inlineStr">
        <is>
          <t>A 12846-2024</t>
        </is>
      </c>
      <c r="B933" t="inlineStr">
        <is>
          <t>avverkningsanmälan</t>
        </is>
      </c>
      <c r="C933" t="inlineStr">
        <is>
          <t>Föryngringsavverkning</t>
        </is>
      </c>
      <c r="D933" s="1" t="n">
        <v>45384</v>
      </c>
      <c r="E933" s="1" t="n">
        <v>46272</v>
      </c>
      <c r="F933" t="inlineStr">
        <is>
          <t>GÄVLEBORGS LÄN</t>
        </is>
      </c>
      <c r="G933" t="inlineStr">
        <is>
          <t>HUDIKSVALL</t>
        </is>
      </c>
      <c r="H933" t="inlineStr">
        <is>
          <t>Holmen skog AB</t>
        </is>
      </c>
      <c r="I933" t="n">
        <v>4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t="n">
        <v>0</v>
      </c>
      <c r="S933" t="n">
        <v>0</v>
      </c>
      <c r="T933" t="n">
        <v>0</v>
      </c>
      <c r="U933" t="n">
        <v>0</v>
      </c>
      <c r="V933" s="2" t="inlineStr"/>
    </row>
    <row r="934" ht="15" customHeight="1">
      <c r="A934" t="inlineStr">
        <is>
          <t>A 16842-2026</t>
        </is>
      </c>
      <c r="B934" t="inlineStr">
        <is>
          <t>avverkningsanmälan</t>
        </is>
      </c>
      <c r="C934" t="inlineStr">
        <is>
          <t>Föryngringsavverkning</t>
        </is>
      </c>
      <c r="D934" s="1" t="n">
        <v>46113</v>
      </c>
      <c r="E934" s="1" t="n">
        <v>46272</v>
      </c>
      <c r="F934" t="inlineStr">
        <is>
          <t>GÄVLEBORGS LÄN</t>
        </is>
      </c>
      <c r="G934" t="inlineStr">
        <is>
          <t>HUDIKSVALL</t>
        </is>
      </c>
      <c r="I934" t="n">
        <v>9.199999999999999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t="n">
        <v>0</v>
      </c>
      <c r="S934" t="n">
        <v>0</v>
      </c>
      <c r="T934" t="n">
        <v>0</v>
      </c>
      <c r="U934" t="n">
        <v>0</v>
      </c>
      <c r="V934" s="2" t="inlineStr"/>
    </row>
    <row r="935" ht="15" customHeight="1">
      <c r="A935" t="inlineStr">
        <is>
          <t>A 16738-2026</t>
        </is>
      </c>
      <c r="B935" t="inlineStr">
        <is>
          <t>avverkningsanmälan</t>
        </is>
      </c>
      <c r="C935" t="inlineStr">
        <is>
          <t>Föryngringsavverkning</t>
        </is>
      </c>
      <c r="D935" s="1" t="n">
        <v>46113</v>
      </c>
      <c r="E935" s="1" t="n">
        <v>46272</v>
      </c>
      <c r="F935" t="inlineStr">
        <is>
          <t>GÄVLEBORGS LÄN</t>
        </is>
      </c>
      <c r="G935" t="inlineStr">
        <is>
          <t>HUDIKSVALL</t>
        </is>
      </c>
      <c r="I935" t="n">
        <v>2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t="n">
        <v>0</v>
      </c>
      <c r="S935" t="n">
        <v>0</v>
      </c>
      <c r="T935" t="n">
        <v>0</v>
      </c>
      <c r="U935" t="n">
        <v>0</v>
      </c>
      <c r="V935" s="2" t="inlineStr"/>
    </row>
    <row r="936" ht="15" customHeight="1">
      <c r="A936" t="inlineStr">
        <is>
          <t>A 16741-2026</t>
        </is>
      </c>
      <c r="B936" t="inlineStr">
        <is>
          <t>avverkningsanmälan</t>
        </is>
      </c>
      <c r="C936" t="inlineStr">
        <is>
          <t>Föryngringsavverkning</t>
        </is>
      </c>
      <c r="D936" s="1" t="n">
        <v>46113</v>
      </c>
      <c r="E936" s="1" t="n">
        <v>46272</v>
      </c>
      <c r="F936" t="inlineStr">
        <is>
          <t>GÄVLEBORGS LÄN</t>
        </is>
      </c>
      <c r="G936" t="inlineStr">
        <is>
          <t>HUDIKSVALL</t>
        </is>
      </c>
      <c r="I936" t="n">
        <v>1.4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t="n">
        <v>0</v>
      </c>
      <c r="S936" t="n">
        <v>0</v>
      </c>
      <c r="T936" t="n">
        <v>0</v>
      </c>
      <c r="U936" t="n">
        <v>0</v>
      </c>
      <c r="V936" s="2" t="inlineStr"/>
    </row>
    <row r="937" ht="15" customHeight="1">
      <c r="A937" t="inlineStr">
        <is>
          <t>A 35593-2023</t>
        </is>
      </c>
      <c r="B937" t="inlineStr">
        <is>
          <t>avverkningsanmälan</t>
        </is>
      </c>
      <c r="C937" t="inlineStr">
        <is>
          <t>Föryngringsavverkning</t>
        </is>
      </c>
      <c r="D937" s="1" t="n">
        <v>45147</v>
      </c>
      <c r="E937" s="1" t="n">
        <v>46272</v>
      </c>
      <c r="F937" t="inlineStr">
        <is>
          <t>GÄVLEBORGS LÄN</t>
        </is>
      </c>
      <c r="G937" t="inlineStr">
        <is>
          <t>HUDIKSVALL</t>
        </is>
      </c>
      <c r="H937" t="inlineStr">
        <is>
          <t>Holmen skog AB</t>
        </is>
      </c>
      <c r="I937" t="n">
        <v>4.8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t="n">
        <v>0</v>
      </c>
      <c r="S937" t="n">
        <v>0</v>
      </c>
      <c r="T937" t="n">
        <v>0</v>
      </c>
      <c r="U937" t="n">
        <v>0</v>
      </c>
      <c r="V937" s="2" t="inlineStr"/>
    </row>
    <row r="938" ht="15" customHeight="1">
      <c r="A938" t="inlineStr">
        <is>
          <t>A 63619-2023</t>
        </is>
      </c>
      <c r="B938" t="inlineStr">
        <is>
          <t>avverkningsanmälan</t>
        </is>
      </c>
      <c r="C938" t="inlineStr">
        <is>
          <t>Föryngringsavverkning</t>
        </is>
      </c>
      <c r="D938" s="1" t="n">
        <v>45275</v>
      </c>
      <c r="E938" s="1" t="n">
        <v>46272</v>
      </c>
      <c r="F938" t="inlineStr">
        <is>
          <t>GÄVLEBORGS LÄN</t>
        </is>
      </c>
      <c r="G938" t="inlineStr">
        <is>
          <t>HUDIKSVALL</t>
        </is>
      </c>
      <c r="I938" t="n">
        <v>6.4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t="n">
        <v>0</v>
      </c>
      <c r="S938" t="n">
        <v>0</v>
      </c>
      <c r="T938" t="n">
        <v>0</v>
      </c>
      <c r="U938" t="n">
        <v>0</v>
      </c>
      <c r="V938" s="2" t="inlineStr"/>
    </row>
    <row r="939" ht="15" customHeight="1">
      <c r="A939" t="inlineStr">
        <is>
          <t>A 17528-2026</t>
        </is>
      </c>
      <c r="B939" t="inlineStr">
        <is>
          <t>avverkningsanmälan</t>
        </is>
      </c>
      <c r="C939" t="inlineStr">
        <is>
          <t>Föryngringsavverkning</t>
        </is>
      </c>
      <c r="D939" s="1" t="n">
        <v>46120</v>
      </c>
      <c r="E939" s="1" t="n">
        <v>46272</v>
      </c>
      <c r="F939" t="inlineStr">
        <is>
          <t>GÄVLEBORGS LÄN</t>
        </is>
      </c>
      <c r="G939" t="inlineStr">
        <is>
          <t>HUDIKSVALL</t>
        </is>
      </c>
      <c r="I939" t="n">
        <v>2.5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t="n">
        <v>0</v>
      </c>
      <c r="S939" t="n">
        <v>0</v>
      </c>
      <c r="T939" t="n">
        <v>0</v>
      </c>
      <c r="U939" t="n">
        <v>0</v>
      </c>
      <c r="V939" s="2" t="inlineStr"/>
    </row>
    <row r="940" ht="15" customHeight="1">
      <c r="A940" t="inlineStr">
        <is>
          <t>A 21525-2022</t>
        </is>
      </c>
      <c r="B940" t="inlineStr">
        <is>
          <t>avverkningsanmälan</t>
        </is>
      </c>
      <c r="C940" t="inlineStr">
        <is>
          <t>Föryngringsavverkning</t>
        </is>
      </c>
      <c r="D940" s="1" t="n">
        <v>44706</v>
      </c>
      <c r="E940" s="1" t="n">
        <v>46272</v>
      </c>
      <c r="F940" t="inlineStr">
        <is>
          <t>GÄVLEBORGS LÄN</t>
        </is>
      </c>
      <c r="G940" t="inlineStr">
        <is>
          <t>HUDIKSVALL</t>
        </is>
      </c>
      <c r="I940" t="n">
        <v>1.2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t="n">
        <v>0</v>
      </c>
      <c r="S940" t="n">
        <v>0</v>
      </c>
      <c r="T940" t="n">
        <v>0</v>
      </c>
      <c r="U940" t="n">
        <v>0</v>
      </c>
      <c r="V940" s="2" t="inlineStr"/>
    </row>
    <row r="941" ht="15" customHeight="1">
      <c r="A941" t="inlineStr">
        <is>
          <t>A 10994-2025</t>
        </is>
      </c>
      <c r="B941" t="inlineStr">
        <is>
          <t>avverkningsanmälan</t>
        </is>
      </c>
      <c r="C941" t="inlineStr">
        <is>
          <t>Föryngringsavverkning</t>
        </is>
      </c>
      <c r="D941" s="1" t="n">
        <v>45723</v>
      </c>
      <c r="E941" s="1" t="n">
        <v>46272</v>
      </c>
      <c r="F941" t="inlineStr">
        <is>
          <t>GÄVLEBORGS LÄN</t>
        </is>
      </c>
      <c r="G941" t="inlineStr">
        <is>
          <t>HUDIKSVALL</t>
        </is>
      </c>
      <c r="H941" t="inlineStr">
        <is>
          <t>Holmen skog AB</t>
        </is>
      </c>
      <c r="I941" t="n">
        <v>5.7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t="n">
        <v>0</v>
      </c>
      <c r="S941" t="n">
        <v>0</v>
      </c>
      <c r="T941" t="n">
        <v>0</v>
      </c>
      <c r="U941" t="n">
        <v>0</v>
      </c>
      <c r="V941" s="2" t="inlineStr"/>
    </row>
    <row r="942" ht="15" customHeight="1">
      <c r="A942" t="inlineStr">
        <is>
          <t>A 17440-2026</t>
        </is>
      </c>
      <c r="B942" t="inlineStr">
        <is>
          <t>avverkningsanmälan</t>
        </is>
      </c>
      <c r="C942" t="inlineStr">
        <is>
          <t>Föryngringsavverkning</t>
        </is>
      </c>
      <c r="D942" s="1" t="n">
        <v>46120</v>
      </c>
      <c r="E942" s="1" t="n">
        <v>46272</v>
      </c>
      <c r="F942" t="inlineStr">
        <is>
          <t>GÄVLEBORGS LÄN</t>
        </is>
      </c>
      <c r="G942" t="inlineStr">
        <is>
          <t>HUDIKSVALL</t>
        </is>
      </c>
      <c r="H942" t="inlineStr">
        <is>
          <t>Kommuner</t>
        </is>
      </c>
      <c r="I942" t="n">
        <v>0.7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t="n">
        <v>0</v>
      </c>
      <c r="S942" t="n">
        <v>0</v>
      </c>
      <c r="T942" t="n">
        <v>0</v>
      </c>
      <c r="U942" t="n">
        <v>0</v>
      </c>
      <c r="V942" s="2" t="inlineStr"/>
    </row>
    <row r="943" ht="15" customHeight="1">
      <c r="A943" t="inlineStr">
        <is>
          <t>A 24033-2024</t>
        </is>
      </c>
      <c r="B943" t="inlineStr">
        <is>
          <t>avverkningsanmälan</t>
        </is>
      </c>
      <c r="C943" t="inlineStr">
        <is>
          <t>Föryngringsavverkning</t>
        </is>
      </c>
      <c r="D943" s="1" t="n">
        <v>45456</v>
      </c>
      <c r="E943" s="1" t="n">
        <v>46272</v>
      </c>
      <c r="F943" t="inlineStr">
        <is>
          <t>GÄVLEBORGS LÄN</t>
        </is>
      </c>
      <c r="G943" t="inlineStr">
        <is>
          <t>HUDIKSVALL</t>
        </is>
      </c>
      <c r="H943" t="inlineStr">
        <is>
          <t>Holmen skog AB</t>
        </is>
      </c>
      <c r="I943" t="n">
        <v>22.8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t="n">
        <v>0</v>
      </c>
      <c r="S943" t="n">
        <v>0</v>
      </c>
      <c r="T943" t="n">
        <v>0</v>
      </c>
      <c r="U943" t="n">
        <v>0</v>
      </c>
      <c r="V943" s="2" t="inlineStr"/>
    </row>
    <row r="944" ht="15" customHeight="1">
      <c r="A944" t="inlineStr">
        <is>
          <t>A 24240-2025</t>
        </is>
      </c>
      <c r="B944" t="inlineStr">
        <is>
          <t>avverkningsanmälan</t>
        </is>
      </c>
      <c r="C944" t="inlineStr">
        <is>
          <t>Föryngringsavverkning</t>
        </is>
      </c>
      <c r="D944" s="1" t="n">
        <v>45797</v>
      </c>
      <c r="E944" s="1" t="n">
        <v>46272</v>
      </c>
      <c r="F944" t="inlineStr">
        <is>
          <t>GÄVLEBORGS LÄN</t>
        </is>
      </c>
      <c r="G944" t="inlineStr">
        <is>
          <t>HUDIKSVALL</t>
        </is>
      </c>
      <c r="I944" t="n">
        <v>2.8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t="n">
        <v>0</v>
      </c>
      <c r="S944" t="n">
        <v>0</v>
      </c>
      <c r="T944" t="n">
        <v>0</v>
      </c>
      <c r="U944" t="n">
        <v>0</v>
      </c>
      <c r="V944" s="2" t="inlineStr"/>
    </row>
    <row r="945" ht="15" customHeight="1">
      <c r="A945" t="inlineStr">
        <is>
          <t>A 7662-2023</t>
        </is>
      </c>
      <c r="B945" t="inlineStr">
        <is>
          <t>avverkningsanmälan</t>
        </is>
      </c>
      <c r="C945" t="inlineStr">
        <is>
          <t>Föryngringsavverkning</t>
        </is>
      </c>
      <c r="D945" s="1" t="n">
        <v>44972</v>
      </c>
      <c r="E945" s="1" t="n">
        <v>46272</v>
      </c>
      <c r="F945" t="inlineStr">
        <is>
          <t>GÄVLEBORGS LÄN</t>
        </is>
      </c>
      <c r="G945" t="inlineStr">
        <is>
          <t>HUDIKSVALL</t>
        </is>
      </c>
      <c r="I945" t="n">
        <v>1.9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t="n">
        <v>0</v>
      </c>
      <c r="S945" t="n">
        <v>0</v>
      </c>
      <c r="T945" t="n">
        <v>0</v>
      </c>
      <c r="U945" t="n">
        <v>0</v>
      </c>
      <c r="V945" s="2" t="inlineStr"/>
    </row>
    <row r="946" ht="15" customHeight="1">
      <c r="A946" t="inlineStr">
        <is>
          <t>A 17800-2026</t>
        </is>
      </c>
      <c r="B946" t="inlineStr">
        <is>
          <t>avverkningsanmälan</t>
        </is>
      </c>
      <c r="C946" t="inlineStr">
        <is>
          <t>Föryngringsavverkning</t>
        </is>
      </c>
      <c r="D946" s="1" t="n">
        <v>46122</v>
      </c>
      <c r="E946" s="1" t="n">
        <v>46272</v>
      </c>
      <c r="F946" t="inlineStr">
        <is>
          <t>GÄVLEBORGS LÄN</t>
        </is>
      </c>
      <c r="G946" t="inlineStr">
        <is>
          <t>HUDIKSVALL</t>
        </is>
      </c>
      <c r="I946" t="n">
        <v>0.8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t="n">
        <v>0</v>
      </c>
      <c r="S946" t="n">
        <v>0</v>
      </c>
      <c r="T946" t="n">
        <v>0</v>
      </c>
      <c r="U946" t="n">
        <v>0</v>
      </c>
      <c r="V946" s="2" t="inlineStr"/>
    </row>
    <row r="947" ht="15" customHeight="1">
      <c r="A947" t="inlineStr">
        <is>
          <t>A 24239-2025</t>
        </is>
      </c>
      <c r="B947" t="inlineStr">
        <is>
          <t>avverkningsanmälan</t>
        </is>
      </c>
      <c r="C947" t="inlineStr">
        <is>
          <t>Föryngringsavverkning</t>
        </is>
      </c>
      <c r="D947" s="1" t="n">
        <v>45797</v>
      </c>
      <c r="E947" s="1" t="n">
        <v>46272</v>
      </c>
      <c r="F947" t="inlineStr">
        <is>
          <t>GÄVLEBORGS LÄN</t>
        </is>
      </c>
      <c r="G947" t="inlineStr">
        <is>
          <t>HUDIKSVALL</t>
        </is>
      </c>
      <c r="I947" t="n">
        <v>0.6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t="n">
        <v>0</v>
      </c>
      <c r="S947" t="n">
        <v>0</v>
      </c>
      <c r="T947" t="n">
        <v>0</v>
      </c>
      <c r="U947" t="n">
        <v>0</v>
      </c>
      <c r="V947" s="2" t="inlineStr"/>
    </row>
    <row r="948" ht="15" customHeight="1">
      <c r="A948" t="inlineStr">
        <is>
          <t>A 17566-2026</t>
        </is>
      </c>
      <c r="B948" t="inlineStr">
        <is>
          <t>avverkningsanmälan</t>
        </is>
      </c>
      <c r="C948" t="inlineStr">
        <is>
          <t>Föryngringsavverkning</t>
        </is>
      </c>
      <c r="D948" s="1" t="n">
        <v>46121</v>
      </c>
      <c r="E948" s="1" t="n">
        <v>46272</v>
      </c>
      <c r="F948" t="inlineStr">
        <is>
          <t>GÄVLEBORGS LÄN</t>
        </is>
      </c>
      <c r="G948" t="inlineStr">
        <is>
          <t>HUDIKSVALL</t>
        </is>
      </c>
      <c r="H948" t="inlineStr">
        <is>
          <t>Naturvårdsverket</t>
        </is>
      </c>
      <c r="I948" t="n">
        <v>2.7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t="n">
        <v>0</v>
      </c>
      <c r="S948" t="n">
        <v>0</v>
      </c>
      <c r="T948" t="n">
        <v>0</v>
      </c>
      <c r="U948" t="n">
        <v>0</v>
      </c>
      <c r="V948" s="2" t="inlineStr"/>
    </row>
    <row r="949" ht="15" customHeight="1">
      <c r="A949" t="inlineStr">
        <is>
          <t>A 55460-2024</t>
        </is>
      </c>
      <c r="B949" t="inlineStr">
        <is>
          <t>avverkningsanmälan</t>
        </is>
      </c>
      <c r="C949" t="inlineStr">
        <is>
          <t>Avverkning för annat ändamål</t>
        </is>
      </c>
      <c r="D949" s="1" t="n">
        <v>45622</v>
      </c>
      <c r="E949" s="1" t="n">
        <v>46272</v>
      </c>
      <c r="F949" t="inlineStr">
        <is>
          <t>GÄVLEBORGS LÄN</t>
        </is>
      </c>
      <c r="G949" t="inlineStr">
        <is>
          <t>HUDIKSVALL</t>
        </is>
      </c>
      <c r="H949" t="inlineStr">
        <is>
          <t>Holmen skog AB</t>
        </is>
      </c>
      <c r="I949" t="n">
        <v>0.6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t="n">
        <v>0</v>
      </c>
      <c r="S949" t="n">
        <v>0</v>
      </c>
      <c r="T949" t="n">
        <v>0</v>
      </c>
      <c r="U949" t="n">
        <v>0</v>
      </c>
      <c r="V949" s="2" t="inlineStr"/>
    </row>
    <row r="950" ht="15" customHeight="1">
      <c r="A950" t="inlineStr">
        <is>
          <t>A 32353-2024</t>
        </is>
      </c>
      <c r="B950" t="inlineStr">
        <is>
          <t>avverkningsanmälan</t>
        </is>
      </c>
      <c r="C950" t="inlineStr">
        <is>
          <t>Föryngringsavverkning</t>
        </is>
      </c>
      <c r="D950" s="1" t="n">
        <v>45512</v>
      </c>
      <c r="E950" s="1" t="n">
        <v>46272</v>
      </c>
      <c r="F950" t="inlineStr">
        <is>
          <t>GÄVLEBORGS LÄN</t>
        </is>
      </c>
      <c r="G950" t="inlineStr">
        <is>
          <t>HUDIKSVALL</t>
        </is>
      </c>
      <c r="H950" t="inlineStr">
        <is>
          <t>Holmen skog AB</t>
        </is>
      </c>
      <c r="I950" t="n">
        <v>2.1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t="n">
        <v>0</v>
      </c>
      <c r="S950" t="n">
        <v>0</v>
      </c>
      <c r="T950" t="n">
        <v>0</v>
      </c>
      <c r="U950" t="n">
        <v>0</v>
      </c>
      <c r="V950" s="2" t="inlineStr"/>
    </row>
    <row r="951" ht="15" customHeight="1">
      <c r="A951" t="inlineStr">
        <is>
          <t>A 17662-2026</t>
        </is>
      </c>
      <c r="B951" t="inlineStr">
        <is>
          <t>avverkningsanmälan</t>
        </is>
      </c>
      <c r="C951" t="inlineStr">
        <is>
          <t>Föryngringsavverkning</t>
        </is>
      </c>
      <c r="D951" s="1" t="n">
        <v>46121</v>
      </c>
      <c r="E951" s="1" t="n">
        <v>46272</v>
      </c>
      <c r="F951" t="inlineStr">
        <is>
          <t>GÄVLEBORGS LÄN</t>
        </is>
      </c>
      <c r="G951" t="inlineStr">
        <is>
          <t>HUDIKSVALL</t>
        </is>
      </c>
      <c r="H951" t="inlineStr">
        <is>
          <t>Holmen skog AB</t>
        </is>
      </c>
      <c r="I951" t="n">
        <v>1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t="n">
        <v>0</v>
      </c>
      <c r="S951" t="n">
        <v>0</v>
      </c>
      <c r="T951" t="n">
        <v>0</v>
      </c>
      <c r="U951" t="n">
        <v>0</v>
      </c>
      <c r="V951" s="2" t="inlineStr"/>
    </row>
    <row r="952" ht="15" customHeight="1">
      <c r="A952" t="inlineStr">
        <is>
          <t>A 17921-2026</t>
        </is>
      </c>
      <c r="B952" t="inlineStr">
        <is>
          <t>avverkningsanmälan</t>
        </is>
      </c>
      <c r="C952" t="inlineStr">
        <is>
          <t>Föryngringsavverkning</t>
        </is>
      </c>
      <c r="D952" s="1" t="n">
        <v>46122</v>
      </c>
      <c r="E952" s="1" t="n">
        <v>46272</v>
      </c>
      <c r="F952" t="inlineStr">
        <is>
          <t>GÄVLEBORGS LÄN</t>
        </is>
      </c>
      <c r="G952" t="inlineStr">
        <is>
          <t>HUDIKSVALL</t>
        </is>
      </c>
      <c r="I952" t="n">
        <v>0.7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t="n">
        <v>0</v>
      </c>
      <c r="S952" t="n">
        <v>0</v>
      </c>
      <c r="T952" t="n">
        <v>0</v>
      </c>
      <c r="U952" t="n">
        <v>0</v>
      </c>
      <c r="V952" s="2" t="inlineStr"/>
    </row>
    <row r="953" ht="15" customHeight="1">
      <c r="A953" t="inlineStr">
        <is>
          <t>A 18387-2026</t>
        </is>
      </c>
      <c r="B953" t="inlineStr">
        <is>
          <t>avverkningsanmälan</t>
        </is>
      </c>
      <c r="C953" t="inlineStr">
        <is>
          <t>Avverkning för att bevara och utveckla /försöksver</t>
        </is>
      </c>
      <c r="D953" s="1" t="n">
        <v>46126</v>
      </c>
      <c r="E953" s="1" t="n">
        <v>46272</v>
      </c>
      <c r="F953" t="inlineStr">
        <is>
          <t>GÄVLEBORGS LÄN</t>
        </is>
      </c>
      <c r="G953" t="inlineStr">
        <is>
          <t>HUDIKSVALL</t>
        </is>
      </c>
      <c r="I953" t="n">
        <v>1.5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t="n">
        <v>0</v>
      </c>
      <c r="S953" t="n">
        <v>0</v>
      </c>
      <c r="T953" t="n">
        <v>0</v>
      </c>
      <c r="U953" t="n">
        <v>0</v>
      </c>
      <c r="V953" s="2" t="inlineStr"/>
    </row>
    <row r="954" ht="15" customHeight="1">
      <c r="A954" t="inlineStr">
        <is>
          <t>A 34982-2024</t>
        </is>
      </c>
      <c r="B954" t="inlineStr">
        <is>
          <t>avverkningsanmälan</t>
        </is>
      </c>
      <c r="C954" t="inlineStr">
        <is>
          <t>Föryngringsavverkning</t>
        </is>
      </c>
      <c r="D954" s="1" t="n">
        <v>45527</v>
      </c>
      <c r="E954" s="1" t="n">
        <v>46272</v>
      </c>
      <c r="F954" t="inlineStr">
        <is>
          <t>GÄVLEBORGS LÄN</t>
        </is>
      </c>
      <c r="G954" t="inlineStr">
        <is>
          <t>HUDIKSVALL</t>
        </is>
      </c>
      <c r="I954" t="n">
        <v>1.5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t="n">
        <v>0</v>
      </c>
      <c r="S954" t="n">
        <v>0</v>
      </c>
      <c r="T954" t="n">
        <v>0</v>
      </c>
      <c r="U954" t="n">
        <v>0</v>
      </c>
      <c r="V954" s="2" t="inlineStr"/>
    </row>
    <row r="955" ht="15" customHeight="1">
      <c r="A955" t="inlineStr">
        <is>
          <t>A 18256-2026</t>
        </is>
      </c>
      <c r="B955" t="inlineStr">
        <is>
          <t>avverkningsanmälan</t>
        </is>
      </c>
      <c r="C955" t="inlineStr">
        <is>
          <t>Föryngringsavverkning</t>
        </is>
      </c>
      <c r="D955" s="1" t="n">
        <v>46126</v>
      </c>
      <c r="E955" s="1" t="n">
        <v>46272</v>
      </c>
      <c r="F955" t="inlineStr">
        <is>
          <t>GÄVLEBORGS LÄN</t>
        </is>
      </c>
      <c r="G955" t="inlineStr">
        <is>
          <t>HUDIKSVALL</t>
        </is>
      </c>
      <c r="I955" t="n">
        <v>4.1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t="n">
        <v>0</v>
      </c>
      <c r="S955" t="n">
        <v>0</v>
      </c>
      <c r="T955" t="n">
        <v>0</v>
      </c>
      <c r="U955" t="n">
        <v>0</v>
      </c>
      <c r="V955" s="2" t="inlineStr"/>
    </row>
    <row r="956" ht="15" customHeight="1">
      <c r="A956" t="inlineStr">
        <is>
          <t>A 18257-2026</t>
        </is>
      </c>
      <c r="B956" t="inlineStr">
        <is>
          <t>avverkningsanmälan</t>
        </is>
      </c>
      <c r="C956" t="inlineStr">
        <is>
          <t>Föryngringsavverkning</t>
        </is>
      </c>
      <c r="D956" s="1" t="n">
        <v>46126</v>
      </c>
      <c r="E956" s="1" t="n">
        <v>46272</v>
      </c>
      <c r="F956" t="inlineStr">
        <is>
          <t>GÄVLEBORGS LÄN</t>
        </is>
      </c>
      <c r="G956" t="inlineStr">
        <is>
          <t>HUDIKSVALL</t>
        </is>
      </c>
      <c r="I956" t="n">
        <v>1.3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t="n">
        <v>0</v>
      </c>
      <c r="S956" t="n">
        <v>0</v>
      </c>
      <c r="T956" t="n">
        <v>0</v>
      </c>
      <c r="U956" t="n">
        <v>0</v>
      </c>
      <c r="V956" s="2" t="inlineStr"/>
    </row>
    <row r="957" ht="15" customHeight="1">
      <c r="A957" t="inlineStr">
        <is>
          <t>A 7532-2025</t>
        </is>
      </c>
      <c r="B957" t="inlineStr">
        <is>
          <t>avverkningsanmälan</t>
        </is>
      </c>
      <c r="C957" t="inlineStr">
        <is>
          <t>Föryngringsavverkning</t>
        </is>
      </c>
      <c r="D957" s="1" t="n">
        <v>45705</v>
      </c>
      <c r="E957" s="1" t="n">
        <v>46272</v>
      </c>
      <c r="F957" t="inlineStr">
        <is>
          <t>GÄVLEBORGS LÄN</t>
        </is>
      </c>
      <c r="G957" t="inlineStr">
        <is>
          <t>HUDIKSVALL</t>
        </is>
      </c>
      <c r="H957" t="inlineStr">
        <is>
          <t>Holmen skog AB</t>
        </is>
      </c>
      <c r="I957" t="n">
        <v>4.8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t="n">
        <v>0</v>
      </c>
      <c r="S957" t="n">
        <v>0</v>
      </c>
      <c r="T957" t="n">
        <v>0</v>
      </c>
      <c r="U957" t="n">
        <v>0</v>
      </c>
      <c r="V957" s="2" t="inlineStr"/>
    </row>
    <row r="958" ht="15" customHeight="1">
      <c r="A958" t="inlineStr">
        <is>
          <t>A 18154-2026</t>
        </is>
      </c>
      <c r="B958" t="inlineStr">
        <is>
          <t>avverkningsanmälan</t>
        </is>
      </c>
      <c r="C958" t="inlineStr">
        <is>
          <t>Föryngringsavverkning</t>
        </is>
      </c>
      <c r="D958" s="1" t="n">
        <v>46125</v>
      </c>
      <c r="E958" s="1" t="n">
        <v>46272</v>
      </c>
      <c r="F958" t="inlineStr">
        <is>
          <t>GÄVLEBORGS LÄN</t>
        </is>
      </c>
      <c r="G958" t="inlineStr">
        <is>
          <t>HUDIKSVALL</t>
        </is>
      </c>
      <c r="I958" t="n">
        <v>6.1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t="n">
        <v>0</v>
      </c>
      <c r="S958" t="n">
        <v>0</v>
      </c>
      <c r="T958" t="n">
        <v>0</v>
      </c>
      <c r="U958" t="n">
        <v>0</v>
      </c>
      <c r="V958" s="2" t="inlineStr"/>
    </row>
    <row r="959" ht="15" customHeight="1">
      <c r="A959" t="inlineStr">
        <is>
          <t>A 18100-2026</t>
        </is>
      </c>
      <c r="B959" t="inlineStr">
        <is>
          <t>avverkningsanmälan</t>
        </is>
      </c>
      <c r="C959" t="inlineStr">
        <is>
          <t>Föryngringsavverkning</t>
        </is>
      </c>
      <c r="D959" s="1" t="n">
        <v>46125</v>
      </c>
      <c r="E959" s="1" t="n">
        <v>46272</v>
      </c>
      <c r="F959" t="inlineStr">
        <is>
          <t>GÄVLEBORGS LÄN</t>
        </is>
      </c>
      <c r="G959" t="inlineStr">
        <is>
          <t>HUDIKSVALL</t>
        </is>
      </c>
      <c r="H959" t="inlineStr">
        <is>
          <t>Holmen skog AB</t>
        </is>
      </c>
      <c r="I959" t="n">
        <v>1.5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t="n">
        <v>0</v>
      </c>
      <c r="S959" t="n">
        <v>0</v>
      </c>
      <c r="T959" t="n">
        <v>0</v>
      </c>
      <c r="U959" t="n">
        <v>0</v>
      </c>
      <c r="V959" s="2" t="inlineStr"/>
    </row>
    <row r="960" ht="15" customHeight="1">
      <c r="A960" t="inlineStr">
        <is>
          <t>A 18587-2026</t>
        </is>
      </c>
      <c r="B960" t="inlineStr">
        <is>
          <t>avverkningsanmälan</t>
        </is>
      </c>
      <c r="C960" t="inlineStr">
        <is>
          <t>Föryngringsavverkning</t>
        </is>
      </c>
      <c r="D960" s="1" t="n">
        <v>46127</v>
      </c>
      <c r="E960" s="1" t="n">
        <v>46272</v>
      </c>
      <c r="F960" t="inlineStr">
        <is>
          <t>GÄVLEBORGS LÄN</t>
        </is>
      </c>
      <c r="G960" t="inlineStr">
        <is>
          <t>HUDIKSVALL</t>
        </is>
      </c>
      <c r="I960" t="n">
        <v>4.1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t="n">
        <v>0</v>
      </c>
      <c r="S960" t="n">
        <v>0</v>
      </c>
      <c r="T960" t="n">
        <v>0</v>
      </c>
      <c r="U960" t="n">
        <v>0</v>
      </c>
      <c r="V960" s="2" t="inlineStr"/>
    </row>
    <row r="961" ht="15" customHeight="1">
      <c r="A961" t="inlineStr">
        <is>
          <t>A 18486-2026</t>
        </is>
      </c>
      <c r="B961" t="inlineStr">
        <is>
          <t>avverkningsanmälan</t>
        </is>
      </c>
      <c r="C961" t="inlineStr">
        <is>
          <t>Föryngringsavverkning</t>
        </is>
      </c>
      <c r="D961" s="1" t="n">
        <v>46127</v>
      </c>
      <c r="E961" s="1" t="n">
        <v>46272</v>
      </c>
      <c r="F961" t="inlineStr">
        <is>
          <t>GÄVLEBORGS LÄN</t>
        </is>
      </c>
      <c r="G961" t="inlineStr">
        <is>
          <t>HUDIKSVALL</t>
        </is>
      </c>
      <c r="I961" t="n">
        <v>2.2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t="n">
        <v>0</v>
      </c>
      <c r="S961" t="n">
        <v>0</v>
      </c>
      <c r="T961" t="n">
        <v>0</v>
      </c>
      <c r="U961" t="n">
        <v>0</v>
      </c>
      <c r="V961" s="2" t="inlineStr"/>
    </row>
    <row r="962" ht="15" customHeight="1">
      <c r="A962" t="inlineStr">
        <is>
          <t>A 1297-2024</t>
        </is>
      </c>
      <c r="B962" t="inlineStr">
        <is>
          <t>avverkningsanmälan</t>
        </is>
      </c>
      <c r="C962" t="inlineStr">
        <is>
          <t>Avverkning för annat ändamål</t>
        </is>
      </c>
      <c r="D962" s="1" t="n">
        <v>45303</v>
      </c>
      <c r="E962" s="1" t="n">
        <v>46272</v>
      </c>
      <c r="F962" t="inlineStr">
        <is>
          <t>GÄVLEBORGS LÄN</t>
        </is>
      </c>
      <c r="G962" t="inlineStr">
        <is>
          <t>HUDIKSVALL</t>
        </is>
      </c>
      <c r="H962" t="inlineStr">
        <is>
          <t>Holmen skog AB</t>
        </is>
      </c>
      <c r="I962" t="n">
        <v>0.3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t="n">
        <v>0</v>
      </c>
      <c r="S962" t="n">
        <v>0</v>
      </c>
      <c r="T962" t="n">
        <v>0</v>
      </c>
      <c r="U962" t="n">
        <v>0</v>
      </c>
      <c r="V962" s="2" t="inlineStr"/>
    </row>
    <row r="963" ht="15" customHeight="1">
      <c r="A963" t="inlineStr">
        <is>
          <t>A 9804-2025</t>
        </is>
      </c>
      <c r="B963" t="inlineStr">
        <is>
          <t>avverkningsanmälan</t>
        </is>
      </c>
      <c r="C963" t="inlineStr">
        <is>
          <t>Föryngringsavverkning</t>
        </is>
      </c>
      <c r="D963" s="1" t="n">
        <v>45716</v>
      </c>
      <c r="E963" s="1" t="n">
        <v>46272</v>
      </c>
      <c r="F963" t="inlineStr">
        <is>
          <t>GÄVLEBORGS LÄN</t>
        </is>
      </c>
      <c r="G963" t="inlineStr">
        <is>
          <t>HUDIKSVALL</t>
        </is>
      </c>
      <c r="I963" t="n">
        <v>2.4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t="n">
        <v>0</v>
      </c>
      <c r="S963" t="n">
        <v>0</v>
      </c>
      <c r="T963" t="n">
        <v>0</v>
      </c>
      <c r="U963" t="n">
        <v>0</v>
      </c>
      <c r="V963" s="2" t="inlineStr"/>
    </row>
    <row r="964" ht="15" customHeight="1">
      <c r="A964" t="inlineStr">
        <is>
          <t>A 5870-2025</t>
        </is>
      </c>
      <c r="B964" t="inlineStr">
        <is>
          <t>avverkningsanmälan</t>
        </is>
      </c>
      <c r="C964" t="inlineStr">
        <is>
          <t>Föryngringsavverkning</t>
        </is>
      </c>
      <c r="D964" s="1" t="n">
        <v>45695</v>
      </c>
      <c r="E964" s="1" t="n">
        <v>46272</v>
      </c>
      <c r="F964" t="inlineStr">
        <is>
          <t>GÄVLEBORGS LÄN</t>
        </is>
      </c>
      <c r="G964" t="inlineStr">
        <is>
          <t>HUDIKSVALL</t>
        </is>
      </c>
      <c r="H964" t="inlineStr">
        <is>
          <t>Holmen skog AB</t>
        </is>
      </c>
      <c r="I964" t="n">
        <v>3.9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t="n">
        <v>0</v>
      </c>
      <c r="S964" t="n">
        <v>0</v>
      </c>
      <c r="T964" t="n">
        <v>0</v>
      </c>
      <c r="U964" t="n">
        <v>0</v>
      </c>
      <c r="V964" s="2" t="inlineStr"/>
    </row>
    <row r="965" ht="15" customHeight="1">
      <c r="A965" t="inlineStr">
        <is>
          <t>A 35071-2024</t>
        </is>
      </c>
      <c r="B965" t="inlineStr">
        <is>
          <t>avverkningsanmälan</t>
        </is>
      </c>
      <c r="C965" t="inlineStr">
        <is>
          <t>Föryngringsavverkning</t>
        </is>
      </c>
      <c r="D965" s="1" t="n">
        <v>45527</v>
      </c>
      <c r="E965" s="1" t="n">
        <v>46272</v>
      </c>
      <c r="F965" t="inlineStr">
        <is>
          <t>GÄVLEBORGS LÄN</t>
        </is>
      </c>
      <c r="G965" t="inlineStr">
        <is>
          <t>HUDIKSVALL</t>
        </is>
      </c>
      <c r="H965" t="inlineStr">
        <is>
          <t>Holmen skog AB</t>
        </is>
      </c>
      <c r="I965" t="n">
        <v>0.9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t="n">
        <v>0</v>
      </c>
      <c r="S965" t="n">
        <v>0</v>
      </c>
      <c r="T965" t="n">
        <v>0</v>
      </c>
      <c r="U965" t="n">
        <v>0</v>
      </c>
      <c r="V965" s="2" t="inlineStr"/>
    </row>
    <row r="966" ht="15" customHeight="1">
      <c r="A966" t="inlineStr">
        <is>
          <t>A 35081-2024</t>
        </is>
      </c>
      <c r="B966" t="inlineStr">
        <is>
          <t>avverkningsanmälan</t>
        </is>
      </c>
      <c r="C966" t="inlineStr">
        <is>
          <t>Föryngringsavverkning</t>
        </is>
      </c>
      <c r="D966" s="1" t="n">
        <v>45527</v>
      </c>
      <c r="E966" s="1" t="n">
        <v>46272</v>
      </c>
      <c r="F966" t="inlineStr">
        <is>
          <t>GÄVLEBORGS LÄN</t>
        </is>
      </c>
      <c r="G966" t="inlineStr">
        <is>
          <t>HUDIKSVALL</t>
        </is>
      </c>
      <c r="H966" t="inlineStr">
        <is>
          <t>Holmen skog AB</t>
        </is>
      </c>
      <c r="I966" t="n">
        <v>1.9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t="n">
        <v>0</v>
      </c>
      <c r="S966" t="n">
        <v>0</v>
      </c>
      <c r="T966" t="n">
        <v>0</v>
      </c>
      <c r="U966" t="n">
        <v>0</v>
      </c>
      <c r="V966" s="2" t="inlineStr"/>
    </row>
    <row r="967" ht="15" customHeight="1">
      <c r="A967" t="inlineStr">
        <is>
          <t>A 18434-2026</t>
        </is>
      </c>
      <c r="B967" t="inlineStr">
        <is>
          <t>avverkningsanmälan</t>
        </is>
      </c>
      <c r="C967" t="inlineStr">
        <is>
          <t>Föryngringsavverkning</t>
        </is>
      </c>
      <c r="D967" s="1" t="n">
        <v>46127</v>
      </c>
      <c r="E967" s="1" t="n">
        <v>46272</v>
      </c>
      <c r="F967" t="inlineStr">
        <is>
          <t>GÄVLEBORGS LÄN</t>
        </is>
      </c>
      <c r="G967" t="inlineStr">
        <is>
          <t>HUDIKSVALL</t>
        </is>
      </c>
      <c r="I967" t="n">
        <v>5.3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t="n">
        <v>0</v>
      </c>
      <c r="S967" t="n">
        <v>0</v>
      </c>
      <c r="T967" t="n">
        <v>0</v>
      </c>
      <c r="U967" t="n">
        <v>0</v>
      </c>
      <c r="V967" s="2" t="inlineStr"/>
    </row>
    <row r="968" ht="15" customHeight="1">
      <c r="A968" t="inlineStr">
        <is>
          <t>A 37697-2024</t>
        </is>
      </c>
      <c r="B968" t="inlineStr">
        <is>
          <t>avverkningsanmälan</t>
        </is>
      </c>
      <c r="C968" t="inlineStr">
        <is>
          <t>Föryngringsavverkning</t>
        </is>
      </c>
      <c r="D968" s="1" t="n">
        <v>45541</v>
      </c>
      <c r="E968" s="1" t="n">
        <v>46272</v>
      </c>
      <c r="F968" t="inlineStr">
        <is>
          <t>GÄVLEBORGS LÄN</t>
        </is>
      </c>
      <c r="G968" t="inlineStr">
        <is>
          <t>HUDIKSVALL</t>
        </is>
      </c>
      <c r="H968" t="inlineStr">
        <is>
          <t>Kommuner</t>
        </is>
      </c>
      <c r="I968" t="n">
        <v>2.6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t="n">
        <v>0</v>
      </c>
      <c r="S968" t="n">
        <v>0</v>
      </c>
      <c r="T968" t="n">
        <v>0</v>
      </c>
      <c r="U968" t="n">
        <v>0</v>
      </c>
      <c r="V968" s="2" t="inlineStr"/>
    </row>
    <row r="969" ht="15" customHeight="1">
      <c r="A969" t="inlineStr">
        <is>
          <t>A 18582-2026</t>
        </is>
      </c>
      <c r="B969" t="inlineStr">
        <is>
          <t>avverkningsanmälan</t>
        </is>
      </c>
      <c r="C969" t="inlineStr">
        <is>
          <t>Föryngringsavverkning</t>
        </is>
      </c>
      <c r="D969" s="1" t="n">
        <v>46127</v>
      </c>
      <c r="E969" s="1" t="n">
        <v>46272</v>
      </c>
      <c r="F969" t="inlineStr">
        <is>
          <t>GÄVLEBORGS LÄN</t>
        </is>
      </c>
      <c r="G969" t="inlineStr">
        <is>
          <t>HUDIKSVALL</t>
        </is>
      </c>
      <c r="I969" t="n">
        <v>0.5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t="n">
        <v>0</v>
      </c>
      <c r="S969" t="n">
        <v>0</v>
      </c>
      <c r="T969" t="n">
        <v>0</v>
      </c>
      <c r="U969" t="n">
        <v>0</v>
      </c>
      <c r="V969" s="2" t="inlineStr"/>
    </row>
    <row r="970" ht="15" customHeight="1">
      <c r="A970" t="inlineStr">
        <is>
          <t>A 62439-2023</t>
        </is>
      </c>
      <c r="B970" t="inlineStr">
        <is>
          <t>avverkningsanmälan</t>
        </is>
      </c>
      <c r="C970" t="inlineStr">
        <is>
          <t>Föryngringsavverkning</t>
        </is>
      </c>
      <c r="D970" s="1" t="n">
        <v>45268</v>
      </c>
      <c r="E970" s="1" t="n">
        <v>46272</v>
      </c>
      <c r="F970" t="inlineStr">
        <is>
          <t>GÄVLEBORGS LÄN</t>
        </is>
      </c>
      <c r="G970" t="inlineStr">
        <is>
          <t>HUDIKSVALL</t>
        </is>
      </c>
      <c r="I970" t="n">
        <v>13.3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t="n">
        <v>0</v>
      </c>
      <c r="S970" t="n">
        <v>0</v>
      </c>
      <c r="T970" t="n">
        <v>0</v>
      </c>
      <c r="U970" t="n">
        <v>0</v>
      </c>
      <c r="V970" s="2" t="inlineStr"/>
    </row>
    <row r="971" ht="15" customHeight="1">
      <c r="A971" t="inlineStr">
        <is>
          <t>A 19270-2026</t>
        </is>
      </c>
      <c r="B971" t="inlineStr">
        <is>
          <t>avverkningsanmälan</t>
        </is>
      </c>
      <c r="C971" t="inlineStr">
        <is>
          <t>Föryngringsavverkning</t>
        </is>
      </c>
      <c r="D971" s="1" t="n">
        <v>46133</v>
      </c>
      <c r="E971" s="1" t="n">
        <v>46272</v>
      </c>
      <c r="F971" t="inlineStr">
        <is>
          <t>GÄVLEBORGS LÄN</t>
        </is>
      </c>
      <c r="G971" t="inlineStr">
        <is>
          <t>HUDIKSVALL</t>
        </is>
      </c>
      <c r="I971" t="n">
        <v>1.3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t="n">
        <v>0</v>
      </c>
      <c r="S971" t="n">
        <v>0</v>
      </c>
      <c r="T971" t="n">
        <v>0</v>
      </c>
      <c r="U971" t="n">
        <v>0</v>
      </c>
      <c r="V971" s="2" t="inlineStr"/>
    </row>
    <row r="972" ht="15" customHeight="1">
      <c r="A972" t="inlineStr">
        <is>
          <t>A 19348-2026</t>
        </is>
      </c>
      <c r="B972" t="inlineStr">
        <is>
          <t>avverkningsanmälan</t>
        </is>
      </c>
      <c r="C972" t="inlineStr">
        <is>
          <t>Föryngringsavverkning</t>
        </is>
      </c>
      <c r="D972" s="1" t="n">
        <v>46133</v>
      </c>
      <c r="E972" s="1" t="n">
        <v>46272</v>
      </c>
      <c r="F972" t="inlineStr">
        <is>
          <t>GÄVLEBORGS LÄN</t>
        </is>
      </c>
      <c r="G972" t="inlineStr">
        <is>
          <t>HUDIKSVALL</t>
        </is>
      </c>
      <c r="H972" t="inlineStr">
        <is>
          <t>Kommuner</t>
        </is>
      </c>
      <c r="I972" t="n">
        <v>1.8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t="n">
        <v>0</v>
      </c>
      <c r="S972" t="n">
        <v>0</v>
      </c>
      <c r="T972" t="n">
        <v>0</v>
      </c>
      <c r="U972" t="n">
        <v>0</v>
      </c>
      <c r="V972" s="2" t="inlineStr"/>
    </row>
    <row r="973" ht="15" customHeight="1">
      <c r="A973" t="inlineStr">
        <is>
          <t>A 21718-2026</t>
        </is>
      </c>
      <c r="B973" t="inlineStr">
        <is>
          <t>avverkningsanmälan</t>
        </is>
      </c>
      <c r="C973" t="inlineStr">
        <is>
          <t>Föryngringsavverkning</t>
        </is>
      </c>
      <c r="D973" s="1" t="n">
        <v>46149</v>
      </c>
      <c r="E973" s="1" t="n">
        <v>46272</v>
      </c>
      <c r="F973" t="inlineStr">
        <is>
          <t>GÄVLEBORGS LÄN</t>
        </is>
      </c>
      <c r="G973" t="inlineStr">
        <is>
          <t>HUDIKSVALL</t>
        </is>
      </c>
      <c r="I973" t="n">
        <v>1.2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t="n">
        <v>0</v>
      </c>
      <c r="S973" t="n">
        <v>0</v>
      </c>
      <c r="T973" t="n">
        <v>0</v>
      </c>
      <c r="U973" t="n">
        <v>0</v>
      </c>
      <c r="V973" s="2" t="inlineStr"/>
    </row>
    <row r="974" ht="15" customHeight="1">
      <c r="A974" t="inlineStr">
        <is>
          <t>A 14108-2026</t>
        </is>
      </c>
      <c r="B974" t="inlineStr">
        <is>
          <t>avverkningsanmälan</t>
        </is>
      </c>
      <c r="C974" t="inlineStr">
        <is>
          <t>Föryngringsavverkning</t>
        </is>
      </c>
      <c r="D974" s="1" t="n">
        <v>46099</v>
      </c>
      <c r="E974" s="1" t="n">
        <v>46272</v>
      </c>
      <c r="F974" t="inlineStr">
        <is>
          <t>GÄVLEBORGS LÄN</t>
        </is>
      </c>
      <c r="G974" t="inlineStr">
        <is>
          <t>HUDIKSVALL</t>
        </is>
      </c>
      <c r="I974" t="n">
        <v>5.5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t="n">
        <v>0</v>
      </c>
      <c r="S974" t="n">
        <v>0</v>
      </c>
      <c r="T974" t="n">
        <v>0</v>
      </c>
      <c r="U974" t="n">
        <v>0</v>
      </c>
      <c r="V974" s="2" t="inlineStr"/>
    </row>
    <row r="975" ht="15" customHeight="1">
      <c r="A975" t="inlineStr">
        <is>
          <t>A 68730-2021</t>
        </is>
      </c>
      <c r="B975" t="inlineStr">
        <is>
          <t>avverkningsanmälan</t>
        </is>
      </c>
      <c r="C975" t="inlineStr">
        <is>
          <t>Föryngringsavverkning</t>
        </is>
      </c>
      <c r="D975" s="1" t="n">
        <v>44529</v>
      </c>
      <c r="E975" s="1" t="n">
        <v>46272</v>
      </c>
      <c r="F975" t="inlineStr">
        <is>
          <t>GÄVLEBORGS LÄN</t>
        </is>
      </c>
      <c r="G975" t="inlineStr">
        <is>
          <t>HUDIKSVALL</t>
        </is>
      </c>
      <c r="I975" t="n">
        <v>4.4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t="n">
        <v>0</v>
      </c>
      <c r="S975" t="n">
        <v>0</v>
      </c>
      <c r="T975" t="n">
        <v>0</v>
      </c>
      <c r="U975" t="n">
        <v>0</v>
      </c>
      <c r="V975" s="2" t="inlineStr"/>
    </row>
    <row r="976" ht="15" customHeight="1">
      <c r="A976" t="inlineStr">
        <is>
          <t>A 14088-2025</t>
        </is>
      </c>
      <c r="B976" t="inlineStr">
        <is>
          <t>avverkningsanmälan</t>
        </is>
      </c>
      <c r="C976" t="inlineStr">
        <is>
          <t>Föryngringsavverkning</t>
        </is>
      </c>
      <c r="D976" s="1" t="n">
        <v>45740</v>
      </c>
      <c r="E976" s="1" t="n">
        <v>46272</v>
      </c>
      <c r="F976" t="inlineStr">
        <is>
          <t>GÄVLEBORGS LÄN</t>
        </is>
      </c>
      <c r="G976" t="inlineStr">
        <is>
          <t>HUDIKSVALL</t>
        </is>
      </c>
      <c r="I976" t="n">
        <v>12.8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t="n">
        <v>0</v>
      </c>
      <c r="S976" t="n">
        <v>0</v>
      </c>
      <c r="T976" t="n">
        <v>0</v>
      </c>
      <c r="U976" t="n">
        <v>0</v>
      </c>
      <c r="V976" s="2" t="inlineStr"/>
    </row>
    <row r="977" ht="15" customHeight="1">
      <c r="A977" t="inlineStr">
        <is>
          <t>A 35061-2024</t>
        </is>
      </c>
      <c r="B977" t="inlineStr">
        <is>
          <t>avverkningsanmälan</t>
        </is>
      </c>
      <c r="C977" t="inlineStr">
        <is>
          <t>Föryngringsavverkning</t>
        </is>
      </c>
      <c r="D977" s="1" t="n">
        <v>45527</v>
      </c>
      <c r="E977" s="1" t="n">
        <v>46272</v>
      </c>
      <c r="F977" t="inlineStr">
        <is>
          <t>GÄVLEBORGS LÄN</t>
        </is>
      </c>
      <c r="G977" t="inlineStr">
        <is>
          <t>HUDIKSVALL</t>
        </is>
      </c>
      <c r="H977" t="inlineStr">
        <is>
          <t>Holmen skog AB</t>
        </is>
      </c>
      <c r="I977" t="n">
        <v>2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t="n">
        <v>0</v>
      </c>
      <c r="S977" t="n">
        <v>0</v>
      </c>
      <c r="T977" t="n">
        <v>0</v>
      </c>
      <c r="U977" t="n">
        <v>0</v>
      </c>
      <c r="V977" s="2" t="inlineStr"/>
    </row>
    <row r="978" ht="15" customHeight="1">
      <c r="A978" t="inlineStr">
        <is>
          <t>A 69851-2021</t>
        </is>
      </c>
      <c r="B978" t="inlineStr">
        <is>
          <t>avverkningsanmälan</t>
        </is>
      </c>
      <c r="C978" t="inlineStr">
        <is>
          <t>Föryngringsavverkning</t>
        </is>
      </c>
      <c r="D978" s="1" t="n">
        <v>44532</v>
      </c>
      <c r="E978" s="1" t="n">
        <v>46272</v>
      </c>
      <c r="F978" t="inlineStr">
        <is>
          <t>GÄVLEBORGS LÄN</t>
        </is>
      </c>
      <c r="G978" t="inlineStr">
        <is>
          <t>HUDIKSVALL</t>
        </is>
      </c>
      <c r="I978" t="n">
        <v>1.7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t="n">
        <v>0</v>
      </c>
      <c r="S978" t="n">
        <v>0</v>
      </c>
      <c r="T978" t="n">
        <v>0</v>
      </c>
      <c r="U978" t="n">
        <v>0</v>
      </c>
      <c r="V978" s="2" t="inlineStr"/>
    </row>
    <row r="979" ht="15" customHeight="1">
      <c r="A979" t="inlineStr">
        <is>
          <t>A 16740-2026</t>
        </is>
      </c>
      <c r="B979" t="inlineStr">
        <is>
          <t>avverkningsanmälan</t>
        </is>
      </c>
      <c r="C979" t="inlineStr">
        <is>
          <t>Föryngringsavverkning</t>
        </is>
      </c>
      <c r="D979" s="1" t="n">
        <v>46112</v>
      </c>
      <c r="E979" s="1" t="n">
        <v>46272</v>
      </c>
      <c r="F979" t="inlineStr">
        <is>
          <t>GÄVLEBORGS LÄN</t>
        </is>
      </c>
      <c r="G979" t="inlineStr">
        <is>
          <t>HUDIKSVALL</t>
        </is>
      </c>
      <c r="I979" t="n">
        <v>8.4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t="n">
        <v>0</v>
      </c>
      <c r="S979" t="n">
        <v>0</v>
      </c>
      <c r="T979" t="n">
        <v>0</v>
      </c>
      <c r="U979" t="n">
        <v>0</v>
      </c>
      <c r="V979" s="2" t="inlineStr"/>
    </row>
    <row r="980" ht="15" customHeight="1">
      <c r="A980" t="inlineStr">
        <is>
          <t>A 19781-2026</t>
        </is>
      </c>
      <c r="B980" t="inlineStr">
        <is>
          <t>avverkningsanmälan</t>
        </is>
      </c>
      <c r="C980" t="inlineStr">
        <is>
          <t>Föryngringsavverkning</t>
        </is>
      </c>
      <c r="D980" s="1" t="n">
        <v>46135</v>
      </c>
      <c r="E980" s="1" t="n">
        <v>46272</v>
      </c>
      <c r="F980" t="inlineStr">
        <is>
          <t>GÄVLEBORGS LÄN</t>
        </is>
      </c>
      <c r="G980" t="inlineStr">
        <is>
          <t>HUDIKSVALL</t>
        </is>
      </c>
      <c r="H980" t="inlineStr">
        <is>
          <t>Holmen skog AB</t>
        </is>
      </c>
      <c r="I980" t="n">
        <v>2.5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t="n">
        <v>0</v>
      </c>
      <c r="S980" t="n">
        <v>0</v>
      </c>
      <c r="T980" t="n">
        <v>0</v>
      </c>
      <c r="U980" t="n">
        <v>0</v>
      </c>
      <c r="V980" s="2" t="inlineStr"/>
    </row>
    <row r="981" ht="15" customHeight="1">
      <c r="A981" t="inlineStr">
        <is>
          <t>A 19848-2026</t>
        </is>
      </c>
      <c r="B981" t="inlineStr">
        <is>
          <t>avverkningsanmälan</t>
        </is>
      </c>
      <c r="C981" t="inlineStr">
        <is>
          <t>Föryngringsavverkning</t>
        </is>
      </c>
      <c r="D981" s="1" t="n">
        <v>46135</v>
      </c>
      <c r="E981" s="1" t="n">
        <v>46272</v>
      </c>
      <c r="F981" t="inlineStr">
        <is>
          <t>GÄVLEBORGS LÄN</t>
        </is>
      </c>
      <c r="G981" t="inlineStr">
        <is>
          <t>HUDIKSVALL</t>
        </is>
      </c>
      <c r="I981" t="n">
        <v>1.3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t="n">
        <v>0</v>
      </c>
      <c r="S981" t="n">
        <v>0</v>
      </c>
      <c r="T981" t="n">
        <v>0</v>
      </c>
      <c r="U981" t="n">
        <v>0</v>
      </c>
      <c r="V981" s="2" t="inlineStr"/>
    </row>
    <row r="982" ht="15" customHeight="1">
      <c r="A982" t="inlineStr">
        <is>
          <t>A 19864-2026</t>
        </is>
      </c>
      <c r="B982" t="inlineStr">
        <is>
          <t>avverkningsanmälan</t>
        </is>
      </c>
      <c r="C982" t="inlineStr">
        <is>
          <t>Föryngringsavverkning</t>
        </is>
      </c>
      <c r="D982" s="1" t="n">
        <v>46135</v>
      </c>
      <c r="E982" s="1" t="n">
        <v>46272</v>
      </c>
      <c r="F982" t="inlineStr">
        <is>
          <t>GÄVLEBORGS LÄN</t>
        </is>
      </c>
      <c r="G982" t="inlineStr">
        <is>
          <t>HUDIKSVALL</t>
        </is>
      </c>
      <c r="I982" t="n">
        <v>1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t="n">
        <v>0</v>
      </c>
      <c r="S982" t="n">
        <v>0</v>
      </c>
      <c r="T982" t="n">
        <v>0</v>
      </c>
      <c r="U982" t="n">
        <v>0</v>
      </c>
      <c r="V982" s="2" t="inlineStr"/>
    </row>
    <row r="983" ht="15" customHeight="1">
      <c r="A983" t="inlineStr">
        <is>
          <t>A 47059-2024</t>
        </is>
      </c>
      <c r="B983" t="inlineStr">
        <is>
          <t>avverkningsanmälan</t>
        </is>
      </c>
      <c r="C983" t="inlineStr">
        <is>
          <t>Föryngringsavverkning</t>
        </is>
      </c>
      <c r="D983" s="1" t="n">
        <v>45586</v>
      </c>
      <c r="E983" s="1" t="n">
        <v>46272</v>
      </c>
      <c r="F983" t="inlineStr">
        <is>
          <t>GÄVLEBORGS LÄN</t>
        </is>
      </c>
      <c r="G983" t="inlineStr">
        <is>
          <t>HUDIKSVALL</t>
        </is>
      </c>
      <c r="I983" t="n">
        <v>18.2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t="n">
        <v>0</v>
      </c>
      <c r="S983" t="n">
        <v>0</v>
      </c>
      <c r="T983" t="n">
        <v>0</v>
      </c>
      <c r="U983" t="n">
        <v>0</v>
      </c>
      <c r="V983" s="2" t="inlineStr"/>
    </row>
    <row r="984" ht="15" customHeight="1">
      <c r="A984" t="inlineStr">
        <is>
          <t>A 19705-2026</t>
        </is>
      </c>
      <c r="B984" t="inlineStr">
        <is>
          <t>avverkningsanmälan</t>
        </is>
      </c>
      <c r="C984" t="inlineStr">
        <is>
          <t>Föryngringsavverkning</t>
        </is>
      </c>
      <c r="D984" s="1" t="n">
        <v>46134</v>
      </c>
      <c r="E984" s="1" t="n">
        <v>46272</v>
      </c>
      <c r="F984" t="inlineStr">
        <is>
          <t>GÄVLEBORGS LÄN</t>
        </is>
      </c>
      <c r="G984" t="inlineStr">
        <is>
          <t>HUDIKSVALL</t>
        </is>
      </c>
      <c r="H984" t="inlineStr">
        <is>
          <t>Holmen skog AB</t>
        </is>
      </c>
      <c r="I984" t="n">
        <v>5.5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t="n">
        <v>0</v>
      </c>
      <c r="S984" t="n">
        <v>0</v>
      </c>
      <c r="T984" t="n">
        <v>0</v>
      </c>
      <c r="U984" t="n">
        <v>0</v>
      </c>
      <c r="V984" s="2" t="inlineStr"/>
    </row>
    <row r="985" ht="15" customHeight="1">
      <c r="A985" t="inlineStr">
        <is>
          <t>A 5191-2025</t>
        </is>
      </c>
      <c r="B985" t="inlineStr">
        <is>
          <t>avverkningsanmälan</t>
        </is>
      </c>
      <c r="C985" t="inlineStr">
        <is>
          <t>Föryngringsavverkning</t>
        </is>
      </c>
      <c r="D985" s="1" t="n">
        <v>45691</v>
      </c>
      <c r="E985" s="1" t="n">
        <v>46272</v>
      </c>
      <c r="F985" t="inlineStr">
        <is>
          <t>GÄVLEBORGS LÄN</t>
        </is>
      </c>
      <c r="G985" t="inlineStr">
        <is>
          <t>HUDIKSVALL</t>
        </is>
      </c>
      <c r="I985" t="n">
        <v>2.3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t="n">
        <v>0</v>
      </c>
      <c r="S985" t="n">
        <v>0</v>
      </c>
      <c r="T985" t="n">
        <v>0</v>
      </c>
      <c r="U985" t="n">
        <v>0</v>
      </c>
      <c r="V985" s="2" t="inlineStr"/>
    </row>
    <row r="986" ht="15" customHeight="1">
      <c r="A986" t="inlineStr">
        <is>
          <t>A 19568-2026</t>
        </is>
      </c>
      <c r="B986" t="inlineStr">
        <is>
          <t>avverkningsanmälan</t>
        </is>
      </c>
      <c r="C986" t="inlineStr">
        <is>
          <t>Föryngringsavverkning</t>
        </is>
      </c>
      <c r="D986" s="1" t="n">
        <v>46134</v>
      </c>
      <c r="E986" s="1" t="n">
        <v>46272</v>
      </c>
      <c r="F986" t="inlineStr">
        <is>
          <t>GÄVLEBORGS LÄN</t>
        </is>
      </c>
      <c r="G986" t="inlineStr">
        <is>
          <t>HUDIKSVALL</t>
        </is>
      </c>
      <c r="I986" t="n">
        <v>2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t="n">
        <v>0</v>
      </c>
      <c r="S986" t="n">
        <v>0</v>
      </c>
      <c r="T986" t="n">
        <v>0</v>
      </c>
      <c r="U986" t="n">
        <v>0</v>
      </c>
      <c r="V986" s="2" t="inlineStr"/>
    </row>
    <row r="987" ht="15" customHeight="1">
      <c r="A987" t="inlineStr">
        <is>
          <t>A 20383-2025</t>
        </is>
      </c>
      <c r="B987" t="inlineStr">
        <is>
          <t>avverkningsanmälan</t>
        </is>
      </c>
      <c r="C987" t="inlineStr">
        <is>
          <t>Föryngringsavverkning</t>
        </is>
      </c>
      <c r="D987" s="1" t="n">
        <v>45775</v>
      </c>
      <c r="E987" s="1" t="n">
        <v>46272</v>
      </c>
      <c r="F987" t="inlineStr">
        <is>
          <t>GÄVLEBORGS LÄN</t>
        </is>
      </c>
      <c r="G987" t="inlineStr">
        <is>
          <t>HUDIKSVALL</t>
        </is>
      </c>
      <c r="I987" t="n">
        <v>3.2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t="n">
        <v>0</v>
      </c>
      <c r="S987" t="n">
        <v>0</v>
      </c>
      <c r="T987" t="n">
        <v>0</v>
      </c>
      <c r="U987" t="n">
        <v>0</v>
      </c>
      <c r="V987" s="2" t="inlineStr"/>
    </row>
    <row r="988" ht="15" customHeight="1">
      <c r="A988" t="inlineStr">
        <is>
          <t>A 19535-2026</t>
        </is>
      </c>
      <c r="B988" t="inlineStr">
        <is>
          <t>avverkningsanmälan</t>
        </is>
      </c>
      <c r="C988" t="inlineStr">
        <is>
          <t>Föryngringsavverkning</t>
        </is>
      </c>
      <c r="D988" s="1" t="n">
        <v>46134</v>
      </c>
      <c r="E988" s="1" t="n">
        <v>46272</v>
      </c>
      <c r="F988" t="inlineStr">
        <is>
          <t>GÄVLEBORGS LÄN</t>
        </is>
      </c>
      <c r="G988" t="inlineStr">
        <is>
          <t>HUDIKSVALL</t>
        </is>
      </c>
      <c r="I988" t="n">
        <v>2.7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t="n">
        <v>0</v>
      </c>
      <c r="S988" t="n">
        <v>0</v>
      </c>
      <c r="T988" t="n">
        <v>0</v>
      </c>
      <c r="U988" t="n">
        <v>0</v>
      </c>
      <c r="V988" s="2" t="inlineStr"/>
    </row>
    <row r="989" ht="15" customHeight="1">
      <c r="A989" t="inlineStr">
        <is>
          <t>A 19790-2026</t>
        </is>
      </c>
      <c r="B989" t="inlineStr">
        <is>
          <t>avverkningsanmälan</t>
        </is>
      </c>
      <c r="C989" t="inlineStr">
        <is>
          <t>Föryngringsavverkning</t>
        </is>
      </c>
      <c r="D989" s="1" t="n">
        <v>46135</v>
      </c>
      <c r="E989" s="1" t="n">
        <v>46272</v>
      </c>
      <c r="F989" t="inlineStr">
        <is>
          <t>GÄVLEBORGS LÄN</t>
        </is>
      </c>
      <c r="G989" t="inlineStr">
        <is>
          <t>HUDIKSVALL</t>
        </is>
      </c>
      <c r="H989" t="inlineStr">
        <is>
          <t>Holmen skog AB</t>
        </is>
      </c>
      <c r="I989" t="n">
        <v>4.1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t="n">
        <v>0</v>
      </c>
      <c r="S989" t="n">
        <v>0</v>
      </c>
      <c r="T989" t="n">
        <v>0</v>
      </c>
      <c r="U989" t="n">
        <v>0</v>
      </c>
      <c r="V989" s="2" t="inlineStr"/>
    </row>
    <row r="990" ht="15" customHeight="1">
      <c r="A990" t="inlineStr">
        <is>
          <t>A 33157-2025</t>
        </is>
      </c>
      <c r="B990" t="inlineStr">
        <is>
          <t>avverkningsanmälan</t>
        </is>
      </c>
      <c r="C990" t="inlineStr">
        <is>
          <t>Föryngringsavverkning</t>
        </is>
      </c>
      <c r="D990" s="1" t="n">
        <v>45840</v>
      </c>
      <c r="E990" s="1" t="n">
        <v>46272</v>
      </c>
      <c r="F990" t="inlineStr">
        <is>
          <t>GÄVLEBORGS LÄN</t>
        </is>
      </c>
      <c r="G990" t="inlineStr">
        <is>
          <t>HUDIKSVALL</t>
        </is>
      </c>
      <c r="H990" t="inlineStr">
        <is>
          <t>Holmen skog AB</t>
        </is>
      </c>
      <c r="I990" t="n">
        <v>5.8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t="n">
        <v>0</v>
      </c>
      <c r="S990" t="n">
        <v>0</v>
      </c>
      <c r="T990" t="n">
        <v>0</v>
      </c>
      <c r="U990" t="n">
        <v>0</v>
      </c>
      <c r="V990" s="2" t="inlineStr"/>
    </row>
    <row r="991" ht="15" customHeight="1">
      <c r="A991" t="inlineStr">
        <is>
          <t>A 4075-2025</t>
        </is>
      </c>
      <c r="B991" t="inlineStr">
        <is>
          <t>avverkningsanmälan</t>
        </is>
      </c>
      <c r="C991" t="inlineStr">
        <is>
          <t>Föryngringsavverkning</t>
        </is>
      </c>
      <c r="D991" s="1" t="n">
        <v>45684</v>
      </c>
      <c r="E991" s="1" t="n">
        <v>46272</v>
      </c>
      <c r="F991" t="inlineStr">
        <is>
          <t>GÄVLEBORGS LÄN</t>
        </is>
      </c>
      <c r="G991" t="inlineStr">
        <is>
          <t>HUDIKSVALL</t>
        </is>
      </c>
      <c r="I991" t="n">
        <v>1.5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t="n">
        <v>0</v>
      </c>
      <c r="S991" t="n">
        <v>0</v>
      </c>
      <c r="T991" t="n">
        <v>0</v>
      </c>
      <c r="U991" t="n">
        <v>0</v>
      </c>
      <c r="V991" s="2" t="inlineStr"/>
    </row>
    <row r="992" ht="15" customHeight="1">
      <c r="A992" t="inlineStr">
        <is>
          <t>A 42657-2024</t>
        </is>
      </c>
      <c r="B992" t="inlineStr">
        <is>
          <t>avverkningsanmälan</t>
        </is>
      </c>
      <c r="C992" t="inlineStr">
        <is>
          <t>Föryngringsavverkning</t>
        </is>
      </c>
      <c r="D992" s="1" t="n">
        <v>45566</v>
      </c>
      <c r="E992" s="1" t="n">
        <v>46272</v>
      </c>
      <c r="F992" t="inlineStr">
        <is>
          <t>GÄVLEBORGS LÄN</t>
        </is>
      </c>
      <c r="G992" t="inlineStr">
        <is>
          <t>HUDIKSVALL</t>
        </is>
      </c>
      <c r="H992" t="inlineStr">
        <is>
          <t>Holmen skog AB</t>
        </is>
      </c>
      <c r="I992" t="n">
        <v>10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t="n">
        <v>0</v>
      </c>
      <c r="S992" t="n">
        <v>0</v>
      </c>
      <c r="T992" t="n">
        <v>0</v>
      </c>
      <c r="U992" t="n">
        <v>0</v>
      </c>
      <c r="V992" s="2" t="inlineStr"/>
    </row>
    <row r="993" ht="15" customHeight="1">
      <c r="A993" t="inlineStr">
        <is>
          <t>A 14383-2026</t>
        </is>
      </c>
      <c r="B993" t="inlineStr">
        <is>
          <t>avverkningsanmälan</t>
        </is>
      </c>
      <c r="C993" t="inlineStr">
        <is>
          <t>Föryngringsavverkning</t>
        </is>
      </c>
      <c r="D993" s="1" t="n">
        <v>46100</v>
      </c>
      <c r="E993" s="1" t="n">
        <v>46272</v>
      </c>
      <c r="F993" t="inlineStr">
        <is>
          <t>GÄVLEBORGS LÄN</t>
        </is>
      </c>
      <c r="G993" t="inlineStr">
        <is>
          <t>HUDIKSVALL</t>
        </is>
      </c>
      <c r="I993" t="n">
        <v>1.3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t="n">
        <v>0</v>
      </c>
      <c r="S993" t="n">
        <v>0</v>
      </c>
      <c r="T993" t="n">
        <v>0</v>
      </c>
      <c r="U993" t="n">
        <v>0</v>
      </c>
      <c r="V993" s="2" t="inlineStr"/>
    </row>
    <row r="994" ht="15" customHeight="1">
      <c r="A994" t="inlineStr">
        <is>
          <t>A 9586-2026</t>
        </is>
      </c>
      <c r="B994" t="inlineStr">
        <is>
          <t>avverkningsanmälan</t>
        </is>
      </c>
      <c r="C994" t="inlineStr">
        <is>
          <t>Föryngringsavverkning</t>
        </is>
      </c>
      <c r="D994" s="1" t="n">
        <v>46071</v>
      </c>
      <c r="E994" s="1" t="n">
        <v>46272</v>
      </c>
      <c r="F994" t="inlineStr">
        <is>
          <t>GÄVLEBORGS LÄN</t>
        </is>
      </c>
      <c r="G994" t="inlineStr">
        <is>
          <t>HUDIKSVALL</t>
        </is>
      </c>
      <c r="I994" t="n">
        <v>3.9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t="n">
        <v>0</v>
      </c>
      <c r="S994" t="n">
        <v>0</v>
      </c>
      <c r="T994" t="n">
        <v>0</v>
      </c>
      <c r="U994" t="n">
        <v>0</v>
      </c>
      <c r="V994" s="2" t="inlineStr"/>
    </row>
    <row r="995" ht="15" customHeight="1">
      <c r="A995" t="inlineStr">
        <is>
          <t>A 2528-2025</t>
        </is>
      </c>
      <c r="B995" t="inlineStr">
        <is>
          <t>avverkningsanmälan</t>
        </is>
      </c>
      <c r="C995" t="inlineStr">
        <is>
          <t>Föryngringsavverkning</t>
        </is>
      </c>
      <c r="D995" s="1" t="n">
        <v>45674</v>
      </c>
      <c r="E995" s="1" t="n">
        <v>46272</v>
      </c>
      <c r="F995" t="inlineStr">
        <is>
          <t>GÄVLEBORGS LÄN</t>
        </is>
      </c>
      <c r="G995" t="inlineStr">
        <is>
          <t>HUDIKSVALL</t>
        </is>
      </c>
      <c r="I995" t="n">
        <v>3.5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t="n">
        <v>0</v>
      </c>
      <c r="S995" t="n">
        <v>0</v>
      </c>
      <c r="T995" t="n">
        <v>0</v>
      </c>
      <c r="U995" t="n">
        <v>0</v>
      </c>
      <c r="V995" s="2" t="inlineStr"/>
    </row>
    <row r="996" ht="15" customHeight="1">
      <c r="A996" t="inlineStr">
        <is>
          <t>A 9813-2026</t>
        </is>
      </c>
      <c r="B996" t="inlineStr">
        <is>
          <t>avverkningsanmälan</t>
        </is>
      </c>
      <c r="C996" t="inlineStr">
        <is>
          <t>Föryngringsavverkning</t>
        </is>
      </c>
      <c r="D996" s="1" t="n">
        <v>46072</v>
      </c>
      <c r="E996" s="1" t="n">
        <v>46272</v>
      </c>
      <c r="F996" t="inlineStr">
        <is>
          <t>GÄVLEBORGS LÄN</t>
        </is>
      </c>
      <c r="G996" t="inlineStr">
        <is>
          <t>HUDIKSVALL</t>
        </is>
      </c>
      <c r="I996" t="n">
        <v>3.8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t="n">
        <v>0</v>
      </c>
      <c r="S996" t="n">
        <v>0</v>
      </c>
      <c r="T996" t="n">
        <v>0</v>
      </c>
      <c r="U996" t="n">
        <v>0</v>
      </c>
      <c r="V996" s="2" t="inlineStr"/>
    </row>
    <row r="997" ht="15" customHeight="1">
      <c r="A997" t="inlineStr">
        <is>
          <t>A 60190-2023</t>
        </is>
      </c>
      <c r="B997" t="inlineStr">
        <is>
          <t>avverkningsanmälan</t>
        </is>
      </c>
      <c r="C997" t="inlineStr">
        <is>
          <t>Föryngringsavverkning</t>
        </is>
      </c>
      <c r="D997" s="1" t="n">
        <v>45258</v>
      </c>
      <c r="E997" s="1" t="n">
        <v>46272</v>
      </c>
      <c r="F997" t="inlineStr">
        <is>
          <t>GÄVLEBORGS LÄN</t>
        </is>
      </c>
      <c r="G997" t="inlineStr">
        <is>
          <t>HUDIKSVALL</t>
        </is>
      </c>
      <c r="H997" t="inlineStr">
        <is>
          <t>Holmen skog AB</t>
        </is>
      </c>
      <c r="I997" t="n">
        <v>0.3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t="n">
        <v>0</v>
      </c>
      <c r="S997" t="n">
        <v>0</v>
      </c>
      <c r="T997" t="n">
        <v>0</v>
      </c>
      <c r="U997" t="n">
        <v>0</v>
      </c>
      <c r="V997" s="2" t="inlineStr"/>
    </row>
    <row r="998" ht="15" customHeight="1">
      <c r="A998" t="inlineStr">
        <is>
          <t>A 48645-2024</t>
        </is>
      </c>
      <c r="B998" t="inlineStr">
        <is>
          <t>avverkningsanmälan</t>
        </is>
      </c>
      <c r="C998" t="inlineStr">
        <is>
          <t>Föryngringsavverkning</t>
        </is>
      </c>
      <c r="D998" s="1" t="n">
        <v>45593</v>
      </c>
      <c r="E998" s="1" t="n">
        <v>46272</v>
      </c>
      <c r="F998" t="inlineStr">
        <is>
          <t>GÄVLEBORGS LÄN</t>
        </is>
      </c>
      <c r="G998" t="inlineStr">
        <is>
          <t>HUDIKSVALL</t>
        </is>
      </c>
      <c r="I998" t="n">
        <v>5.9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t="n">
        <v>0</v>
      </c>
      <c r="S998" t="n">
        <v>0</v>
      </c>
      <c r="T998" t="n">
        <v>0</v>
      </c>
      <c r="U998" t="n">
        <v>0</v>
      </c>
      <c r="V998" s="2" t="inlineStr"/>
    </row>
    <row r="999" ht="15" customHeight="1">
      <c r="A999" t="inlineStr">
        <is>
          <t>A 8264-2026</t>
        </is>
      </c>
      <c r="B999" t="inlineStr">
        <is>
          <t>avverkningsanmälan</t>
        </is>
      </c>
      <c r="C999" t="inlineStr">
        <is>
          <t>Föryngringsavverkning</t>
        </is>
      </c>
      <c r="D999" s="1" t="n">
        <v>46064</v>
      </c>
      <c r="E999" s="1" t="n">
        <v>46272</v>
      </c>
      <c r="F999" t="inlineStr">
        <is>
          <t>GÄVLEBORGS LÄN</t>
        </is>
      </c>
      <c r="G999" t="inlineStr">
        <is>
          <t>HUDIKSVALL</t>
        </is>
      </c>
      <c r="I999" t="n">
        <v>1.6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t="n">
        <v>0</v>
      </c>
      <c r="S999" t="n">
        <v>0</v>
      </c>
      <c r="T999" t="n">
        <v>0</v>
      </c>
      <c r="U999" t="n">
        <v>0</v>
      </c>
      <c r="V999" s="2" t="inlineStr"/>
    </row>
    <row r="1000" ht="15" customHeight="1">
      <c r="A1000" t="inlineStr">
        <is>
          <t>A 14955-2023</t>
        </is>
      </c>
      <c r="B1000" t="inlineStr">
        <is>
          <t>avverkningsanmälan</t>
        </is>
      </c>
      <c r="C1000" t="inlineStr">
        <is>
          <t>Föryngringsavverkning</t>
        </is>
      </c>
      <c r="D1000" s="1" t="n">
        <v>45015</v>
      </c>
      <c r="E1000" s="1" t="n">
        <v>46272</v>
      </c>
      <c r="F1000" t="inlineStr">
        <is>
          <t>GÄVLEBORGS LÄN</t>
        </is>
      </c>
      <c r="G1000" t="inlineStr">
        <is>
          <t>HUDIKSVALL</t>
        </is>
      </c>
      <c r="I1000" t="n">
        <v>9.699999999999999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t="n">
        <v>0</v>
      </c>
      <c r="S1000" t="n">
        <v>0</v>
      </c>
      <c r="T1000" t="n">
        <v>0</v>
      </c>
      <c r="U1000" t="n">
        <v>0</v>
      </c>
      <c r="V1000" s="2" t="inlineStr"/>
    </row>
    <row r="1001" ht="15" customHeight="1">
      <c r="A1001" t="inlineStr">
        <is>
          <t>A 43476-2025</t>
        </is>
      </c>
      <c r="B1001" t="inlineStr">
        <is>
          <t>avverkningsanmälan</t>
        </is>
      </c>
      <c r="C1001" t="inlineStr">
        <is>
          <t>Föryngringsavverkning</t>
        </is>
      </c>
      <c r="D1001" s="1" t="n">
        <v>45911</v>
      </c>
      <c r="E1001" s="1" t="n">
        <v>46272</v>
      </c>
      <c r="F1001" t="inlineStr">
        <is>
          <t>GÄVLEBORGS LÄN</t>
        </is>
      </c>
      <c r="G1001" t="inlineStr">
        <is>
          <t>HUDIKSVALL</t>
        </is>
      </c>
      <c r="I1001" t="n">
        <v>5.4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t="n">
        <v>0</v>
      </c>
      <c r="S1001" t="n">
        <v>0</v>
      </c>
      <c r="T1001" t="n">
        <v>0</v>
      </c>
      <c r="U1001" t="n">
        <v>0</v>
      </c>
      <c r="V1001" s="2" t="inlineStr"/>
    </row>
    <row r="1002" ht="15" customHeight="1">
      <c r="A1002" t="inlineStr">
        <is>
          <t>A 1255-2026</t>
        </is>
      </c>
      <c r="B1002" t="inlineStr">
        <is>
          <t>avverkningsanmälan</t>
        </is>
      </c>
      <c r="C1002" t="inlineStr">
        <is>
          <t>Föryngringsavverkning</t>
        </is>
      </c>
      <c r="D1002" s="1" t="n">
        <v>46031</v>
      </c>
      <c r="E1002" s="1" t="n">
        <v>46272</v>
      </c>
      <c r="F1002" t="inlineStr">
        <is>
          <t>GÄVLEBORGS LÄN</t>
        </is>
      </c>
      <c r="G1002" t="inlineStr">
        <is>
          <t>HUDIKSVALL</t>
        </is>
      </c>
      <c r="I1002" t="n">
        <v>1.8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t="n">
        <v>0</v>
      </c>
      <c r="S1002" t="n">
        <v>0</v>
      </c>
      <c r="T1002" t="n">
        <v>0</v>
      </c>
      <c r="U1002" t="n">
        <v>0</v>
      </c>
      <c r="V1002" s="2" t="inlineStr"/>
    </row>
    <row r="1003" ht="15" customHeight="1">
      <c r="A1003" t="inlineStr">
        <is>
          <t>A 43070-2024</t>
        </is>
      </c>
      <c r="B1003" t="inlineStr">
        <is>
          <t>avverkningsanmälan</t>
        </is>
      </c>
      <c r="C1003" t="inlineStr">
        <is>
          <t>Föryngringsavverkning</t>
        </is>
      </c>
      <c r="D1003" s="1" t="n">
        <v>45567</v>
      </c>
      <c r="E1003" s="1" t="n">
        <v>46272</v>
      </c>
      <c r="F1003" t="inlineStr">
        <is>
          <t>GÄVLEBORGS LÄN</t>
        </is>
      </c>
      <c r="G1003" t="inlineStr">
        <is>
          <t>HUDIKSVALL</t>
        </is>
      </c>
      <c r="I1003" t="n">
        <v>3.7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t="n">
        <v>0</v>
      </c>
      <c r="S1003" t="n">
        <v>0</v>
      </c>
      <c r="T1003" t="n">
        <v>0</v>
      </c>
      <c r="U1003" t="n">
        <v>0</v>
      </c>
      <c r="V1003" s="2" t="inlineStr"/>
    </row>
    <row r="1004" ht="15" customHeight="1">
      <c r="A1004" t="inlineStr">
        <is>
          <t>A 51241-2023</t>
        </is>
      </c>
      <c r="B1004" t="inlineStr">
        <is>
          <t>avverkningsanmälan</t>
        </is>
      </c>
      <c r="C1004" t="inlineStr">
        <is>
          <t>Föryngringsavverkning</t>
        </is>
      </c>
      <c r="D1004" s="1" t="n">
        <v>45219</v>
      </c>
      <c r="E1004" s="1" t="n">
        <v>46272</v>
      </c>
      <c r="F1004" t="inlineStr">
        <is>
          <t>GÄVLEBORGS LÄN</t>
        </is>
      </c>
      <c r="G1004" t="inlineStr">
        <is>
          <t>HUDIKSVALL</t>
        </is>
      </c>
      <c r="I1004" t="n">
        <v>1.6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t="n">
        <v>0</v>
      </c>
      <c r="S1004" t="n">
        <v>0</v>
      </c>
      <c r="T1004" t="n">
        <v>0</v>
      </c>
      <c r="U1004" t="n">
        <v>0</v>
      </c>
      <c r="V1004" s="2" t="inlineStr"/>
    </row>
    <row r="1005" ht="15" customHeight="1">
      <c r="A1005" t="inlineStr">
        <is>
          <t>A 47314-2024</t>
        </is>
      </c>
      <c r="B1005" t="inlineStr">
        <is>
          <t>avverkningsanmälan</t>
        </is>
      </c>
      <c r="C1005" t="inlineStr">
        <is>
          <t>Föryngringsavverkning</t>
        </is>
      </c>
      <c r="D1005" s="1" t="n">
        <v>45587</v>
      </c>
      <c r="E1005" s="1" t="n">
        <v>46272</v>
      </c>
      <c r="F1005" t="inlineStr">
        <is>
          <t>GÄVLEBORGS LÄN</t>
        </is>
      </c>
      <c r="G1005" t="inlineStr">
        <is>
          <t>HUDIKSVALL</t>
        </is>
      </c>
      <c r="I1005" t="n">
        <v>1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t="n">
        <v>0</v>
      </c>
      <c r="S1005" t="n">
        <v>0</v>
      </c>
      <c r="T1005" t="n">
        <v>0</v>
      </c>
      <c r="U1005" t="n">
        <v>0</v>
      </c>
      <c r="V1005" s="2" t="inlineStr"/>
    </row>
    <row r="1006" ht="15" customHeight="1">
      <c r="A1006" t="inlineStr">
        <is>
          <t>A 36407-2024</t>
        </is>
      </c>
      <c r="B1006" t="inlineStr">
        <is>
          <t>avverkningsanmälan</t>
        </is>
      </c>
      <c r="C1006" t="inlineStr">
        <is>
          <t>Föryngringsavverkning</t>
        </is>
      </c>
      <c r="D1006" s="1" t="n">
        <v>45535</v>
      </c>
      <c r="E1006" s="1" t="n">
        <v>46272</v>
      </c>
      <c r="F1006" t="inlineStr">
        <is>
          <t>GÄVLEBORGS LÄN</t>
        </is>
      </c>
      <c r="G1006" t="inlineStr">
        <is>
          <t>HUDIKSVALL</t>
        </is>
      </c>
      <c r="H1006" t="inlineStr">
        <is>
          <t>Holmen skog AB</t>
        </is>
      </c>
      <c r="I1006" t="n">
        <v>7.7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t="n">
        <v>0</v>
      </c>
      <c r="S1006" t="n">
        <v>0</v>
      </c>
      <c r="T1006" t="n">
        <v>0</v>
      </c>
      <c r="U1006" t="n">
        <v>0</v>
      </c>
      <c r="V1006" s="2" t="inlineStr"/>
    </row>
    <row r="1007" ht="15" customHeight="1">
      <c r="A1007" t="inlineStr">
        <is>
          <t>A 12551-2026</t>
        </is>
      </c>
      <c r="B1007" t="inlineStr">
        <is>
          <t>avverkningsanmälan</t>
        </is>
      </c>
      <c r="C1007" t="inlineStr">
        <is>
          <t>Föryngringsavverkning</t>
        </is>
      </c>
      <c r="D1007" s="1" t="n">
        <v>46090</v>
      </c>
      <c r="E1007" s="1" t="n">
        <v>46272</v>
      </c>
      <c r="F1007" t="inlineStr">
        <is>
          <t>GÄVLEBORGS LÄN</t>
        </is>
      </c>
      <c r="G1007" t="inlineStr">
        <is>
          <t>HUDIKSVALL</t>
        </is>
      </c>
      <c r="H1007" t="inlineStr">
        <is>
          <t>Holmen skog AB</t>
        </is>
      </c>
      <c r="I1007" t="n">
        <v>2.9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t="n">
        <v>0</v>
      </c>
      <c r="S1007" t="n">
        <v>0</v>
      </c>
      <c r="T1007" t="n">
        <v>0</v>
      </c>
      <c r="U1007" t="n">
        <v>0</v>
      </c>
      <c r="V1007" s="2" t="inlineStr"/>
    </row>
    <row r="1008" ht="15" customHeight="1">
      <c r="A1008" t="inlineStr">
        <is>
          <t>A 36086-2024</t>
        </is>
      </c>
      <c r="B1008" t="inlineStr">
        <is>
          <t>avverkningsanmälan</t>
        </is>
      </c>
      <c r="C1008" t="inlineStr">
        <is>
          <t>Föryngringsavverkning</t>
        </is>
      </c>
      <c r="D1008" s="1" t="n">
        <v>45533</v>
      </c>
      <c r="E1008" s="1" t="n">
        <v>46272</v>
      </c>
      <c r="F1008" t="inlineStr">
        <is>
          <t>GÄVLEBORGS LÄN</t>
        </is>
      </c>
      <c r="G1008" t="inlineStr">
        <is>
          <t>HUDIKSVALL</t>
        </is>
      </c>
      <c r="I1008" t="n">
        <v>2.1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t="n">
        <v>0</v>
      </c>
      <c r="S1008" t="n">
        <v>0</v>
      </c>
      <c r="T1008" t="n">
        <v>0</v>
      </c>
      <c r="U1008" t="n">
        <v>0</v>
      </c>
      <c r="V1008" s="2" t="inlineStr"/>
    </row>
    <row r="1009" ht="15" customHeight="1">
      <c r="A1009" t="inlineStr">
        <is>
          <t>A 61207-2022</t>
        </is>
      </c>
      <c r="B1009" t="inlineStr">
        <is>
          <t>avverkningsanmälan</t>
        </is>
      </c>
      <c r="C1009" t="inlineStr">
        <is>
          <t>Föryngringsavverkning</t>
        </is>
      </c>
      <c r="D1009" s="1" t="n">
        <v>44915</v>
      </c>
      <c r="E1009" s="1" t="n">
        <v>46272</v>
      </c>
      <c r="F1009" t="inlineStr">
        <is>
          <t>GÄVLEBORGS LÄN</t>
        </is>
      </c>
      <c r="G1009" t="inlineStr">
        <is>
          <t>HUDIKSVALL</t>
        </is>
      </c>
      <c r="H1009" t="inlineStr">
        <is>
          <t>Holmen skog AB</t>
        </is>
      </c>
      <c r="I1009" t="n">
        <v>4.2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t="n">
        <v>0</v>
      </c>
      <c r="S1009" t="n">
        <v>0</v>
      </c>
      <c r="T1009" t="n">
        <v>0</v>
      </c>
      <c r="U1009" t="n">
        <v>0</v>
      </c>
      <c r="V1009" s="2" t="inlineStr"/>
    </row>
    <row r="1010" ht="15" customHeight="1">
      <c r="A1010" t="inlineStr">
        <is>
          <t>A 60931-2023</t>
        </is>
      </c>
      <c r="B1010" t="inlineStr">
        <is>
          <t>avverkningsanmälan</t>
        </is>
      </c>
      <c r="C1010" t="inlineStr">
        <is>
          <t>Föryngringsavverkning</t>
        </is>
      </c>
      <c r="D1010" s="1" t="n">
        <v>45261</v>
      </c>
      <c r="E1010" s="1" t="n">
        <v>46272</v>
      </c>
      <c r="F1010" t="inlineStr">
        <is>
          <t>GÄVLEBORGS LÄN</t>
        </is>
      </c>
      <c r="G1010" t="inlineStr">
        <is>
          <t>HUDIKSVALL</t>
        </is>
      </c>
      <c r="H1010" t="inlineStr">
        <is>
          <t>Holmen skog AB</t>
        </is>
      </c>
      <c r="I1010" t="n">
        <v>2.5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t="n">
        <v>0</v>
      </c>
      <c r="S1010" t="n">
        <v>0</v>
      </c>
      <c r="T1010" t="n">
        <v>0</v>
      </c>
      <c r="U1010" t="n">
        <v>0</v>
      </c>
      <c r="V1010" s="2" t="inlineStr"/>
    </row>
    <row r="1011" ht="15" customHeight="1">
      <c r="A1011" t="inlineStr">
        <is>
          <t>A 50637-2025</t>
        </is>
      </c>
      <c r="B1011" t="inlineStr">
        <is>
          <t>avverkningsanmälan</t>
        </is>
      </c>
      <c r="C1011" t="inlineStr">
        <is>
          <t>Föryngringsavverkning</t>
        </is>
      </c>
      <c r="D1011" s="1" t="n">
        <v>45945</v>
      </c>
      <c r="E1011" s="1" t="n">
        <v>46272</v>
      </c>
      <c r="F1011" t="inlineStr">
        <is>
          <t>GÄVLEBORGS LÄN</t>
        </is>
      </c>
      <c r="G1011" t="inlineStr">
        <is>
          <t>HUDIKSVALL</t>
        </is>
      </c>
      <c r="H1011" t="inlineStr">
        <is>
          <t>Holmen skog AB</t>
        </is>
      </c>
      <c r="I1011" t="n">
        <v>2.2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t="n">
        <v>0</v>
      </c>
      <c r="S1011" t="n">
        <v>0</v>
      </c>
      <c r="T1011" t="n">
        <v>0</v>
      </c>
      <c r="U1011" t="n">
        <v>0</v>
      </c>
      <c r="V1011" s="2" t="inlineStr"/>
    </row>
    <row r="1012" ht="15" customHeight="1">
      <c r="A1012" t="inlineStr">
        <is>
          <t>A 54171-2023</t>
        </is>
      </c>
      <c r="B1012" t="inlineStr">
        <is>
          <t>avverkningsanmälan</t>
        </is>
      </c>
      <c r="C1012" t="inlineStr">
        <is>
          <t>Föryngringsavverkning</t>
        </is>
      </c>
      <c r="D1012" s="1" t="n">
        <v>45232</v>
      </c>
      <c r="E1012" s="1" t="n">
        <v>46272</v>
      </c>
      <c r="F1012" t="inlineStr">
        <is>
          <t>GÄVLEBORGS LÄN</t>
        </is>
      </c>
      <c r="G1012" t="inlineStr">
        <is>
          <t>HUDIKSVALL</t>
        </is>
      </c>
      <c r="I1012" t="n">
        <v>4.6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t="n">
        <v>0</v>
      </c>
      <c r="S1012" t="n">
        <v>0</v>
      </c>
      <c r="T1012" t="n">
        <v>0</v>
      </c>
      <c r="U1012" t="n">
        <v>0</v>
      </c>
      <c r="V1012" s="2" t="inlineStr"/>
    </row>
    <row r="1013" ht="15" customHeight="1">
      <c r="A1013" t="inlineStr">
        <is>
          <t>A 52-2026</t>
        </is>
      </c>
      <c r="B1013" t="inlineStr">
        <is>
          <t>avverkningsanmälan</t>
        </is>
      </c>
      <c r="C1013" t="inlineStr">
        <is>
          <t>Föryngringsavverkning</t>
        </is>
      </c>
      <c r="D1013" s="1" t="n">
        <v>46024</v>
      </c>
      <c r="E1013" s="1" t="n">
        <v>46272</v>
      </c>
      <c r="F1013" t="inlineStr">
        <is>
          <t>GÄVLEBORGS LÄN</t>
        </is>
      </c>
      <c r="G1013" t="inlineStr">
        <is>
          <t>HUDIKSVALL</t>
        </is>
      </c>
      <c r="I1013" t="n">
        <v>7.3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t="n">
        <v>0</v>
      </c>
      <c r="S1013" t="n">
        <v>0</v>
      </c>
      <c r="T1013" t="n">
        <v>0</v>
      </c>
      <c r="U1013" t="n">
        <v>0</v>
      </c>
      <c r="V1013" s="2" t="inlineStr"/>
    </row>
    <row r="1014" ht="15" customHeight="1">
      <c r="A1014" t="inlineStr">
        <is>
          <t>A 30591-2022</t>
        </is>
      </c>
      <c r="B1014" t="inlineStr">
        <is>
          <t>avverkningsanmälan</t>
        </is>
      </c>
      <c r="C1014" t="inlineStr">
        <is>
          <t>Föryngringsavverkning</t>
        </is>
      </c>
      <c r="D1014" s="1" t="n">
        <v>44762</v>
      </c>
      <c r="E1014" s="1" t="n">
        <v>46272</v>
      </c>
      <c r="F1014" t="inlineStr">
        <is>
          <t>GÄVLEBORGS LÄN</t>
        </is>
      </c>
      <c r="G1014" t="inlineStr">
        <is>
          <t>HUDIKSVALL</t>
        </is>
      </c>
      <c r="H1014" t="inlineStr">
        <is>
          <t>Sveaskog</t>
        </is>
      </c>
      <c r="I1014" t="n">
        <v>2.7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t="n">
        <v>0</v>
      </c>
      <c r="S1014" t="n">
        <v>0</v>
      </c>
      <c r="T1014" t="n">
        <v>0</v>
      </c>
      <c r="U1014" t="n">
        <v>0</v>
      </c>
      <c r="V1014" s="2" t="inlineStr"/>
    </row>
    <row r="1015" ht="15" customHeight="1">
      <c r="A1015" t="inlineStr">
        <is>
          <t>A 58088-2022</t>
        </is>
      </c>
      <c r="B1015" t="inlineStr">
        <is>
          <t>avverkningsanmälan</t>
        </is>
      </c>
      <c r="C1015" t="inlineStr">
        <is>
          <t>Föryngringsavverkning</t>
        </is>
      </c>
      <c r="D1015" s="1" t="n">
        <v>44900</v>
      </c>
      <c r="E1015" s="1" t="n">
        <v>46272</v>
      </c>
      <c r="F1015" t="inlineStr">
        <is>
          <t>GÄVLEBORGS LÄN</t>
        </is>
      </c>
      <c r="G1015" t="inlineStr">
        <is>
          <t>HUDIKSVALL</t>
        </is>
      </c>
      <c r="I1015" t="n">
        <v>7.5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t="n">
        <v>0</v>
      </c>
      <c r="S1015" t="n">
        <v>0</v>
      </c>
      <c r="T1015" t="n">
        <v>0</v>
      </c>
      <c r="U1015" t="n">
        <v>0</v>
      </c>
      <c r="V1015" s="2" t="inlineStr"/>
    </row>
    <row r="1016" ht="15" customHeight="1">
      <c r="A1016" t="inlineStr">
        <is>
          <t>A 473-2024</t>
        </is>
      </c>
      <c r="B1016" t="inlineStr">
        <is>
          <t>avverkningsanmälan</t>
        </is>
      </c>
      <c r="C1016" t="inlineStr">
        <is>
          <t>Föryngringsavverkning</t>
        </is>
      </c>
      <c r="D1016" s="1" t="n">
        <v>45297</v>
      </c>
      <c r="E1016" s="1" t="n">
        <v>46272</v>
      </c>
      <c r="F1016" t="inlineStr">
        <is>
          <t>GÄVLEBORGS LÄN</t>
        </is>
      </c>
      <c r="G1016" t="inlineStr">
        <is>
          <t>HUDIKSVALL</t>
        </is>
      </c>
      <c r="H1016" t="inlineStr">
        <is>
          <t>Holmen skog AB</t>
        </is>
      </c>
      <c r="I1016" t="n">
        <v>1.6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t="n">
        <v>0</v>
      </c>
      <c r="S1016" t="n">
        <v>0</v>
      </c>
      <c r="T1016" t="n">
        <v>0</v>
      </c>
      <c r="U1016" t="n">
        <v>0</v>
      </c>
      <c r="V1016" s="2" t="inlineStr"/>
    </row>
    <row r="1017" ht="15" customHeight="1">
      <c r="A1017" t="inlineStr">
        <is>
          <t>A 28472-2025</t>
        </is>
      </c>
      <c r="B1017" t="inlineStr">
        <is>
          <t>avverkningsanmälan</t>
        </is>
      </c>
      <c r="C1017" t="inlineStr">
        <is>
          <t>Föryngringsavverkning</t>
        </is>
      </c>
      <c r="D1017" s="1" t="n">
        <v>45819</v>
      </c>
      <c r="E1017" s="1" t="n">
        <v>46272</v>
      </c>
      <c r="F1017" t="inlineStr">
        <is>
          <t>GÄVLEBORGS LÄN</t>
        </is>
      </c>
      <c r="G1017" t="inlineStr">
        <is>
          <t>HUDIKSVALL</t>
        </is>
      </c>
      <c r="I1017" t="n">
        <v>2.2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t="n">
        <v>0</v>
      </c>
      <c r="S1017" t="n">
        <v>0</v>
      </c>
      <c r="T1017" t="n">
        <v>0</v>
      </c>
      <c r="U1017" t="n">
        <v>0</v>
      </c>
      <c r="V1017" s="2" t="inlineStr"/>
    </row>
    <row r="1018" ht="15" customHeight="1">
      <c r="A1018" t="inlineStr">
        <is>
          <t>A 66418-2021</t>
        </is>
      </c>
      <c r="B1018" t="inlineStr">
        <is>
          <t>avverkningsanmälan</t>
        </is>
      </c>
      <c r="C1018" t="inlineStr">
        <is>
          <t>Föryngringsavverkning</t>
        </is>
      </c>
      <c r="D1018" s="1" t="n">
        <v>44518</v>
      </c>
      <c r="E1018" s="1" t="n">
        <v>46272</v>
      </c>
      <c r="F1018" t="inlineStr">
        <is>
          <t>GÄVLEBORGS LÄN</t>
        </is>
      </c>
      <c r="G1018" t="inlineStr">
        <is>
          <t>HUDIKSVALL</t>
        </is>
      </c>
      <c r="H1018" t="inlineStr">
        <is>
          <t>Holmen skog AB</t>
        </is>
      </c>
      <c r="I1018" t="n">
        <v>2.3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t="n">
        <v>0</v>
      </c>
      <c r="S1018" t="n">
        <v>0</v>
      </c>
      <c r="T1018" t="n">
        <v>0</v>
      </c>
      <c r="U1018" t="n">
        <v>0</v>
      </c>
      <c r="V1018" s="2" t="inlineStr"/>
    </row>
    <row r="1019" ht="15" customHeight="1">
      <c r="A1019" t="inlineStr">
        <is>
          <t>A 60847-2022</t>
        </is>
      </c>
      <c r="B1019" t="inlineStr">
        <is>
          <t>avverkningsanmälan</t>
        </is>
      </c>
      <c r="C1019" t="inlineStr">
        <is>
          <t>Föryngringsavverkning</t>
        </is>
      </c>
      <c r="D1019" s="1" t="n">
        <v>44914</v>
      </c>
      <c r="E1019" s="1" t="n">
        <v>46272</v>
      </c>
      <c r="F1019" t="inlineStr">
        <is>
          <t>GÄVLEBORGS LÄN</t>
        </is>
      </c>
      <c r="G1019" t="inlineStr">
        <is>
          <t>HUDIKSVALL</t>
        </is>
      </c>
      <c r="I1019" t="n">
        <v>0.4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t="n">
        <v>0</v>
      </c>
      <c r="S1019" t="n">
        <v>0</v>
      </c>
      <c r="T1019" t="n">
        <v>0</v>
      </c>
      <c r="U1019" t="n">
        <v>0</v>
      </c>
      <c r="V1019" s="2" t="inlineStr"/>
    </row>
    <row r="1020" ht="15" customHeight="1">
      <c r="A1020" t="inlineStr">
        <is>
          <t>A 14653-2026</t>
        </is>
      </c>
      <c r="B1020" t="inlineStr">
        <is>
          <t>avverkningsanmälan</t>
        </is>
      </c>
      <c r="C1020" t="inlineStr">
        <is>
          <t>Föryngringsavverkning</t>
        </is>
      </c>
      <c r="D1020" s="1" t="n">
        <v>46101</v>
      </c>
      <c r="E1020" s="1" t="n">
        <v>46272</v>
      </c>
      <c r="F1020" t="inlineStr">
        <is>
          <t>GÄVLEBORGS LÄN</t>
        </is>
      </c>
      <c r="G1020" t="inlineStr">
        <is>
          <t>HUDIKSVALL</t>
        </is>
      </c>
      <c r="I1020" t="n">
        <v>1.1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t="n">
        <v>0</v>
      </c>
      <c r="S1020" t="n">
        <v>0</v>
      </c>
      <c r="T1020" t="n">
        <v>0</v>
      </c>
      <c r="U1020" t="n">
        <v>0</v>
      </c>
      <c r="V1020" s="2" t="inlineStr"/>
    </row>
    <row r="1021" ht="15" customHeight="1">
      <c r="A1021" t="inlineStr">
        <is>
          <t>A 64010-2023</t>
        </is>
      </c>
      <c r="B1021" t="inlineStr">
        <is>
          <t>avverkningsanmälan</t>
        </is>
      </c>
      <c r="C1021" t="inlineStr">
        <is>
          <t>Föryngringsavverkning</t>
        </is>
      </c>
      <c r="D1021" s="1" t="n">
        <v>45278</v>
      </c>
      <c r="E1021" s="1" t="n">
        <v>46272</v>
      </c>
      <c r="F1021" t="inlineStr">
        <is>
          <t>GÄVLEBORGS LÄN</t>
        </is>
      </c>
      <c r="G1021" t="inlineStr">
        <is>
          <t>HUDIKSVALL</t>
        </is>
      </c>
      <c r="I1021" t="n">
        <v>0.9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t="n">
        <v>0</v>
      </c>
      <c r="S1021" t="n">
        <v>0</v>
      </c>
      <c r="T1021" t="n">
        <v>0</v>
      </c>
      <c r="U1021" t="n">
        <v>0</v>
      </c>
      <c r="V1021" s="2" t="inlineStr"/>
    </row>
    <row r="1022" ht="15" customHeight="1">
      <c r="A1022" t="inlineStr">
        <is>
          <t>A 47320-2023</t>
        </is>
      </c>
      <c r="B1022" t="inlineStr">
        <is>
          <t>avverkningsanmälan</t>
        </is>
      </c>
      <c r="C1022" t="inlineStr">
        <is>
          <t>Föryngringsavverkning</t>
        </is>
      </c>
      <c r="D1022" s="1" t="n">
        <v>45202</v>
      </c>
      <c r="E1022" s="1" t="n">
        <v>46272</v>
      </c>
      <c r="F1022" t="inlineStr">
        <is>
          <t>GÄVLEBORGS LÄN</t>
        </is>
      </c>
      <c r="G1022" t="inlineStr">
        <is>
          <t>HUDIKSVALL</t>
        </is>
      </c>
      <c r="H1022" t="inlineStr">
        <is>
          <t>Holmen skog AB</t>
        </is>
      </c>
      <c r="I1022" t="n">
        <v>6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t="n">
        <v>0</v>
      </c>
      <c r="S1022" t="n">
        <v>0</v>
      </c>
      <c r="T1022" t="n">
        <v>0</v>
      </c>
      <c r="U1022" t="n">
        <v>0</v>
      </c>
      <c r="V1022" s="2" t="inlineStr"/>
    </row>
    <row r="1023" ht="15" customHeight="1">
      <c r="A1023" t="inlineStr">
        <is>
          <t>A 47335-2023</t>
        </is>
      </c>
      <c r="B1023" t="inlineStr">
        <is>
          <t>avverkningsanmälan</t>
        </is>
      </c>
      <c r="C1023" t="inlineStr">
        <is>
          <t>Föryngringsavverkning</t>
        </is>
      </c>
      <c r="D1023" s="1" t="n">
        <v>45202</v>
      </c>
      <c r="E1023" s="1" t="n">
        <v>46272</v>
      </c>
      <c r="F1023" t="inlineStr">
        <is>
          <t>GÄVLEBORGS LÄN</t>
        </is>
      </c>
      <c r="G1023" t="inlineStr">
        <is>
          <t>HUDIKSVALL</t>
        </is>
      </c>
      <c r="H1023" t="inlineStr">
        <is>
          <t>Holmen skog AB</t>
        </is>
      </c>
      <c r="I1023" t="n">
        <v>4.2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t="n">
        <v>0</v>
      </c>
      <c r="S1023" t="n">
        <v>0</v>
      </c>
      <c r="T1023" t="n">
        <v>0</v>
      </c>
      <c r="U1023" t="n">
        <v>0</v>
      </c>
      <c r="V1023" s="2" t="inlineStr"/>
    </row>
    <row r="1024" ht="15" customHeight="1">
      <c r="A1024" t="inlineStr">
        <is>
          <t>A 6985-2025</t>
        </is>
      </c>
      <c r="B1024" t="inlineStr">
        <is>
          <t>avverkningsanmälan</t>
        </is>
      </c>
      <c r="C1024" t="inlineStr">
        <is>
          <t>Föryngringsavverkning</t>
        </is>
      </c>
      <c r="D1024" s="1" t="n">
        <v>45701</v>
      </c>
      <c r="E1024" s="1" t="n">
        <v>46272</v>
      </c>
      <c r="F1024" t="inlineStr">
        <is>
          <t>GÄVLEBORGS LÄN</t>
        </is>
      </c>
      <c r="G1024" t="inlineStr">
        <is>
          <t>HUDIKSVALL</t>
        </is>
      </c>
      <c r="I1024" t="n">
        <v>6.7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t="n">
        <v>0</v>
      </c>
      <c r="S1024" t="n">
        <v>0</v>
      </c>
      <c r="T1024" t="n">
        <v>0</v>
      </c>
      <c r="U1024" t="n">
        <v>0</v>
      </c>
      <c r="V1024" s="2" t="inlineStr"/>
    </row>
    <row r="1025" ht="15" customHeight="1">
      <c r="A1025" t="inlineStr">
        <is>
          <t>A 12511-2026</t>
        </is>
      </c>
      <c r="B1025" t="inlineStr">
        <is>
          <t>avverkningsanmälan</t>
        </is>
      </c>
      <c r="C1025" t="inlineStr">
        <is>
          <t>Föryngringsavverkning</t>
        </is>
      </c>
      <c r="D1025" s="1" t="n">
        <v>46090</v>
      </c>
      <c r="E1025" s="1" t="n">
        <v>46272</v>
      </c>
      <c r="F1025" t="inlineStr">
        <is>
          <t>GÄVLEBORGS LÄN</t>
        </is>
      </c>
      <c r="G1025" t="inlineStr">
        <is>
          <t>HUDIKSVALL</t>
        </is>
      </c>
      <c r="I1025" t="n">
        <v>5.2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t="n">
        <v>0</v>
      </c>
      <c r="S1025" t="n">
        <v>0</v>
      </c>
      <c r="T1025" t="n">
        <v>0</v>
      </c>
      <c r="U1025" t="n">
        <v>0</v>
      </c>
      <c r="V1025" s="2" t="inlineStr"/>
    </row>
    <row r="1026" ht="15" customHeight="1">
      <c r="A1026" t="inlineStr">
        <is>
          <t>A 12873-2026</t>
        </is>
      </c>
      <c r="B1026" t="inlineStr">
        <is>
          <t>avverkningsanmälan</t>
        </is>
      </c>
      <c r="C1026" t="inlineStr">
        <is>
          <t>Föryngringsavverkning</t>
        </is>
      </c>
      <c r="D1026" s="1" t="n">
        <v>46092</v>
      </c>
      <c r="E1026" s="1" t="n">
        <v>46272</v>
      </c>
      <c r="F1026" t="inlineStr">
        <is>
          <t>GÄVLEBORGS LÄN</t>
        </is>
      </c>
      <c r="G1026" t="inlineStr">
        <is>
          <t>HUDIKSVALL</t>
        </is>
      </c>
      <c r="I1026" t="n">
        <v>3.4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t="n">
        <v>0</v>
      </c>
      <c r="S1026" t="n">
        <v>0</v>
      </c>
      <c r="T1026" t="n">
        <v>0</v>
      </c>
      <c r="U1026" t="n">
        <v>0</v>
      </c>
      <c r="V1026" s="2" t="inlineStr"/>
    </row>
    <row r="1027" ht="15" customHeight="1">
      <c r="A1027" t="inlineStr">
        <is>
          <t>A 26547-2024</t>
        </is>
      </c>
      <c r="B1027" t="inlineStr">
        <is>
          <t>avverkningsanmälan</t>
        </is>
      </c>
      <c r="C1027" t="inlineStr">
        <is>
          <t>Föryngringsavverkning</t>
        </is>
      </c>
      <c r="D1027" s="1" t="n">
        <v>45469</v>
      </c>
      <c r="E1027" s="1" t="n">
        <v>46272</v>
      </c>
      <c r="F1027" t="inlineStr">
        <is>
          <t>GÄVLEBORGS LÄN</t>
        </is>
      </c>
      <c r="G1027" t="inlineStr">
        <is>
          <t>HUDIKSVALL</t>
        </is>
      </c>
      <c r="H1027" t="inlineStr">
        <is>
          <t>Holmen skog AB</t>
        </is>
      </c>
      <c r="I1027" t="n">
        <v>4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t="n">
        <v>0</v>
      </c>
      <c r="S1027" t="n">
        <v>0</v>
      </c>
      <c r="T1027" t="n">
        <v>0</v>
      </c>
      <c r="U1027" t="n">
        <v>0</v>
      </c>
      <c r="V1027" s="2" t="inlineStr"/>
    </row>
    <row r="1028" ht="15" customHeight="1">
      <c r="A1028" t="inlineStr">
        <is>
          <t>A 4405-2026</t>
        </is>
      </c>
      <c r="B1028" t="inlineStr">
        <is>
          <t>avverkningsanmälan</t>
        </is>
      </c>
      <c r="C1028" t="inlineStr">
        <is>
          <t>Föryngringsavverkning</t>
        </is>
      </c>
      <c r="D1028" s="1" t="n">
        <v>46045</v>
      </c>
      <c r="E1028" s="1" t="n">
        <v>46272</v>
      </c>
      <c r="F1028" t="inlineStr">
        <is>
          <t>GÄVLEBORGS LÄN</t>
        </is>
      </c>
      <c r="G1028" t="inlineStr">
        <is>
          <t>HUDIKSVALL</t>
        </is>
      </c>
      <c r="I1028" t="n">
        <v>3.4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t="n">
        <v>0</v>
      </c>
      <c r="S1028" t="n">
        <v>0</v>
      </c>
      <c r="T1028" t="n">
        <v>0</v>
      </c>
      <c r="U1028" t="n">
        <v>0</v>
      </c>
      <c r="V1028" s="2" t="inlineStr"/>
    </row>
    <row r="1029" ht="15" customHeight="1">
      <c r="A1029" t="inlineStr">
        <is>
          <t>A 5901-2025</t>
        </is>
      </c>
      <c r="B1029" t="inlineStr">
        <is>
          <t>avverkningsanmälan</t>
        </is>
      </c>
      <c r="C1029" t="inlineStr">
        <is>
          <t>Föryngringsavverkning</t>
        </is>
      </c>
      <c r="D1029" s="1" t="n">
        <v>45695</v>
      </c>
      <c r="E1029" s="1" t="n">
        <v>46272</v>
      </c>
      <c r="F1029" t="inlineStr">
        <is>
          <t>GÄVLEBORGS LÄN</t>
        </is>
      </c>
      <c r="G1029" t="inlineStr">
        <is>
          <t>HUDIKSVALL</t>
        </is>
      </c>
      <c r="H1029" t="inlineStr">
        <is>
          <t>Holmen skog AB</t>
        </is>
      </c>
      <c r="I1029" t="n">
        <v>3.2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t="n">
        <v>0</v>
      </c>
      <c r="S1029" t="n">
        <v>0</v>
      </c>
      <c r="T1029" t="n">
        <v>0</v>
      </c>
      <c r="U1029" t="n">
        <v>0</v>
      </c>
      <c r="V1029" s="2" t="inlineStr"/>
    </row>
    <row r="1030" ht="15" customHeight="1">
      <c r="A1030" t="inlineStr">
        <is>
          <t>A 18912-2025</t>
        </is>
      </c>
      <c r="B1030" t="inlineStr">
        <is>
          <t>avverkningsanmälan</t>
        </is>
      </c>
      <c r="C1030" t="inlineStr">
        <is>
          <t>Föryngringsavverkning</t>
        </is>
      </c>
      <c r="D1030" s="1" t="n">
        <v>45764</v>
      </c>
      <c r="E1030" s="1" t="n">
        <v>46272</v>
      </c>
      <c r="F1030" t="inlineStr">
        <is>
          <t>GÄVLEBORGS LÄN</t>
        </is>
      </c>
      <c r="G1030" t="inlineStr">
        <is>
          <t>HUDIKSVALL</t>
        </is>
      </c>
      <c r="H1030" t="inlineStr">
        <is>
          <t>Holmen skog AB</t>
        </is>
      </c>
      <c r="I1030" t="n">
        <v>16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t="n">
        <v>0</v>
      </c>
      <c r="S1030" t="n">
        <v>0</v>
      </c>
      <c r="T1030" t="n">
        <v>0</v>
      </c>
      <c r="U1030" t="n">
        <v>0</v>
      </c>
      <c r="V1030" s="2" t="inlineStr"/>
    </row>
    <row r="1031" ht="15" customHeight="1">
      <c r="A1031" t="inlineStr">
        <is>
          <t>A 30982-2024</t>
        </is>
      </c>
      <c r="B1031" t="inlineStr">
        <is>
          <t>avverkningsanmälan</t>
        </is>
      </c>
      <c r="C1031" t="inlineStr">
        <is>
          <t>Föryngringsavverkning</t>
        </is>
      </c>
      <c r="D1031" s="1" t="n">
        <v>45499</v>
      </c>
      <c r="E1031" s="1" t="n">
        <v>46272</v>
      </c>
      <c r="F1031" t="inlineStr">
        <is>
          <t>GÄVLEBORGS LÄN</t>
        </is>
      </c>
      <c r="G1031" t="inlineStr">
        <is>
          <t>HUDIKSVALL</t>
        </is>
      </c>
      <c r="I1031" t="n">
        <v>2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t="n">
        <v>0</v>
      </c>
      <c r="S1031" t="n">
        <v>0</v>
      </c>
      <c r="T1031" t="n">
        <v>0</v>
      </c>
      <c r="U1031" t="n">
        <v>0</v>
      </c>
      <c r="V1031" s="2" t="inlineStr"/>
    </row>
    <row r="1032" ht="15" customHeight="1">
      <c r="A1032" t="inlineStr">
        <is>
          <t>A 14530-2026</t>
        </is>
      </c>
      <c r="B1032" t="inlineStr">
        <is>
          <t>avverkningsanmälan</t>
        </is>
      </c>
      <c r="C1032" t="inlineStr">
        <is>
          <t>Föryngringsavverkning</t>
        </is>
      </c>
      <c r="D1032" s="1" t="n">
        <v>46100</v>
      </c>
      <c r="E1032" s="1" t="n">
        <v>46272</v>
      </c>
      <c r="F1032" t="inlineStr">
        <is>
          <t>GÄVLEBORGS LÄN</t>
        </is>
      </c>
      <c r="G1032" t="inlineStr">
        <is>
          <t>HUDIKSVALL</t>
        </is>
      </c>
      <c r="I1032" t="n">
        <v>1.4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t="n">
        <v>0</v>
      </c>
      <c r="S1032" t="n">
        <v>0</v>
      </c>
      <c r="T1032" t="n">
        <v>0</v>
      </c>
      <c r="U1032" t="n">
        <v>0</v>
      </c>
      <c r="V1032" s="2" t="inlineStr"/>
    </row>
    <row r="1033" ht="15" customHeight="1">
      <c r="A1033" t="inlineStr">
        <is>
          <t>A 7973-2026</t>
        </is>
      </c>
      <c r="B1033" t="inlineStr">
        <is>
          <t>avverkningsanmälan</t>
        </is>
      </c>
      <c r="C1033" t="inlineStr">
        <is>
          <t>Föryngringsavverkning</t>
        </is>
      </c>
      <c r="D1033" s="1" t="n">
        <v>46063</v>
      </c>
      <c r="E1033" s="1" t="n">
        <v>46272</v>
      </c>
      <c r="F1033" t="inlineStr">
        <is>
          <t>GÄVLEBORGS LÄN</t>
        </is>
      </c>
      <c r="G1033" t="inlineStr">
        <is>
          <t>HUDIKSVALL</t>
        </is>
      </c>
      <c r="I1033" t="n">
        <v>1.2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t="n">
        <v>0</v>
      </c>
      <c r="S1033" t="n">
        <v>0</v>
      </c>
      <c r="T1033" t="n">
        <v>0</v>
      </c>
      <c r="U1033" t="n">
        <v>0</v>
      </c>
      <c r="V1033" s="2" t="inlineStr"/>
    </row>
    <row r="1034" ht="15" customHeight="1">
      <c r="A1034" t="inlineStr">
        <is>
          <t>A 420-2026</t>
        </is>
      </c>
      <c r="B1034" t="inlineStr">
        <is>
          <t>avverkningsanmälan</t>
        </is>
      </c>
      <c r="C1034" t="inlineStr">
        <is>
          <t>Föryngringsavverkning</t>
        </is>
      </c>
      <c r="D1034" s="1" t="n">
        <v>46028</v>
      </c>
      <c r="E1034" s="1" t="n">
        <v>46272</v>
      </c>
      <c r="F1034" t="inlineStr">
        <is>
          <t>GÄVLEBORGS LÄN</t>
        </is>
      </c>
      <c r="G1034" t="inlineStr">
        <is>
          <t>HUDIKSVALL</t>
        </is>
      </c>
      <c r="I1034" t="n">
        <v>3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t="n">
        <v>0</v>
      </c>
      <c r="S1034" t="n">
        <v>0</v>
      </c>
      <c r="T1034" t="n">
        <v>0</v>
      </c>
      <c r="U1034" t="n">
        <v>0</v>
      </c>
      <c r="V1034" s="2" t="inlineStr"/>
    </row>
    <row r="1035" ht="15" customHeight="1">
      <c r="A1035" t="inlineStr">
        <is>
          <t>A 9321-2026</t>
        </is>
      </c>
      <c r="B1035" t="inlineStr">
        <is>
          <t>avverkningsanmälan</t>
        </is>
      </c>
      <c r="C1035" t="inlineStr">
        <is>
          <t>Föryngringsavverkning</t>
        </is>
      </c>
      <c r="D1035" s="1" t="n">
        <v>46070</v>
      </c>
      <c r="E1035" s="1" t="n">
        <v>46272</v>
      </c>
      <c r="F1035" t="inlineStr">
        <is>
          <t>GÄVLEBORGS LÄN</t>
        </is>
      </c>
      <c r="G1035" t="inlineStr">
        <is>
          <t>HUDIKSVALL</t>
        </is>
      </c>
      <c r="I1035" t="n">
        <v>1.1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t="n">
        <v>0</v>
      </c>
      <c r="S1035" t="n">
        <v>0</v>
      </c>
      <c r="T1035" t="n">
        <v>0</v>
      </c>
      <c r="U1035" t="n">
        <v>0</v>
      </c>
      <c r="V1035" s="2" t="inlineStr"/>
    </row>
    <row r="1036" ht="15" customHeight="1">
      <c r="A1036" t="inlineStr">
        <is>
          <t>A 2906-2025</t>
        </is>
      </c>
      <c r="B1036" t="inlineStr">
        <is>
          <t>avverkningsanmälan</t>
        </is>
      </c>
      <c r="C1036" t="inlineStr">
        <is>
          <t>Föryngringsavverkning</t>
        </is>
      </c>
      <c r="D1036" s="1" t="n">
        <v>45677</v>
      </c>
      <c r="E1036" s="1" t="n">
        <v>46272</v>
      </c>
      <c r="F1036" t="inlineStr">
        <is>
          <t>GÄVLEBORGS LÄN</t>
        </is>
      </c>
      <c r="G1036" t="inlineStr">
        <is>
          <t>HUDIKSVALL</t>
        </is>
      </c>
      <c r="H1036" t="inlineStr">
        <is>
          <t>Holmen skog AB</t>
        </is>
      </c>
      <c r="I1036" t="n">
        <v>22.5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t="n">
        <v>0</v>
      </c>
      <c r="S1036" t="n">
        <v>0</v>
      </c>
      <c r="T1036" t="n">
        <v>0</v>
      </c>
      <c r="U1036" t="n">
        <v>0</v>
      </c>
      <c r="V1036" s="2" t="inlineStr"/>
    </row>
    <row r="1037" ht="15" customHeight="1">
      <c r="A1037" t="inlineStr">
        <is>
          <t>A 845-2026</t>
        </is>
      </c>
      <c r="B1037" t="inlineStr">
        <is>
          <t>avverkningsanmälan</t>
        </is>
      </c>
      <c r="C1037" t="inlineStr">
        <is>
          <t>Föryngringsavverkning</t>
        </is>
      </c>
      <c r="D1037" s="1" t="n">
        <v>46030</v>
      </c>
      <c r="E1037" s="1" t="n">
        <v>46272</v>
      </c>
      <c r="F1037" t="inlineStr">
        <is>
          <t>GÄVLEBORGS LÄN</t>
        </is>
      </c>
      <c r="G1037" t="inlineStr">
        <is>
          <t>HUDIKSVALL</t>
        </is>
      </c>
      <c r="I1037" t="n">
        <v>7.3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t="n">
        <v>0</v>
      </c>
      <c r="S1037" t="n">
        <v>0</v>
      </c>
      <c r="T1037" t="n">
        <v>0</v>
      </c>
      <c r="U1037" t="n">
        <v>0</v>
      </c>
      <c r="V1037" s="2" t="inlineStr"/>
    </row>
    <row r="1038" ht="15" customHeight="1">
      <c r="A1038" t="inlineStr">
        <is>
          <t>A 9026-2023</t>
        </is>
      </c>
      <c r="B1038" t="inlineStr">
        <is>
          <t>avverkningsanmälan</t>
        </is>
      </c>
      <c r="C1038" t="inlineStr">
        <is>
          <t>Föryngringsavverkning</t>
        </is>
      </c>
      <c r="D1038" s="1" t="n">
        <v>44979</v>
      </c>
      <c r="E1038" s="1" t="n">
        <v>46272</v>
      </c>
      <c r="F1038" t="inlineStr">
        <is>
          <t>GÄVLEBORGS LÄN</t>
        </is>
      </c>
      <c r="G1038" t="inlineStr">
        <is>
          <t>HUDIKSVALL</t>
        </is>
      </c>
      <c r="H1038" t="inlineStr">
        <is>
          <t>Holmen skog AB</t>
        </is>
      </c>
      <c r="I1038" t="n">
        <v>10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t="n">
        <v>0</v>
      </c>
      <c r="S1038" t="n">
        <v>0</v>
      </c>
      <c r="T1038" t="n">
        <v>0</v>
      </c>
      <c r="U1038" t="n">
        <v>0</v>
      </c>
      <c r="V1038" s="2" t="inlineStr"/>
    </row>
    <row r="1039" ht="15" customHeight="1">
      <c r="A1039" t="inlineStr">
        <is>
          <t>A 63933-2025</t>
        </is>
      </c>
      <c r="B1039" t="inlineStr">
        <is>
          <t>avverkningsanmälan</t>
        </is>
      </c>
      <c r="C1039" t="inlineStr">
        <is>
          <t>Föryngringsavverkning</t>
        </is>
      </c>
      <c r="D1039" s="1" t="n">
        <v>46020</v>
      </c>
      <c r="E1039" s="1" t="n">
        <v>46272</v>
      </c>
      <c r="F1039" t="inlineStr">
        <is>
          <t>GÄVLEBORGS LÄN</t>
        </is>
      </c>
      <c r="G1039" t="inlineStr">
        <is>
          <t>HUDIKSVALL</t>
        </is>
      </c>
      <c r="I1039" t="n">
        <v>3.4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t="n">
        <v>0</v>
      </c>
      <c r="S1039" t="n">
        <v>0</v>
      </c>
      <c r="T1039" t="n">
        <v>0</v>
      </c>
      <c r="U1039" t="n">
        <v>0</v>
      </c>
      <c r="V1039" s="2" t="inlineStr"/>
    </row>
    <row r="1040" ht="15" customHeight="1">
      <c r="A1040" t="inlineStr">
        <is>
          <t>A 8595-2023</t>
        </is>
      </c>
      <c r="B1040" t="inlineStr">
        <is>
          <t>avverkningsanmälan</t>
        </is>
      </c>
      <c r="C1040" t="inlineStr">
        <is>
          <t>Föryngringsavverkning</t>
        </is>
      </c>
      <c r="D1040" s="1" t="n">
        <v>44977</v>
      </c>
      <c r="E1040" s="1" t="n">
        <v>46272</v>
      </c>
      <c r="F1040" t="inlineStr">
        <is>
          <t>GÄVLEBORGS LÄN</t>
        </is>
      </c>
      <c r="G1040" t="inlineStr">
        <is>
          <t>HUDIKSVALL</t>
        </is>
      </c>
      <c r="I1040" t="n">
        <v>0.4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t="n">
        <v>0</v>
      </c>
      <c r="S1040" t="n">
        <v>0</v>
      </c>
      <c r="T1040" t="n">
        <v>0</v>
      </c>
      <c r="U1040" t="n">
        <v>0</v>
      </c>
      <c r="V1040" s="2" t="inlineStr"/>
    </row>
    <row r="1041" ht="15" customHeight="1">
      <c r="A1041" t="inlineStr">
        <is>
          <t>A 26456-2023</t>
        </is>
      </c>
      <c r="B1041" t="inlineStr">
        <is>
          <t>avverkningsanmälan</t>
        </is>
      </c>
      <c r="C1041" t="inlineStr">
        <is>
          <t>Föryngringsavverkning</t>
        </is>
      </c>
      <c r="D1041" s="1" t="n">
        <v>45092</v>
      </c>
      <c r="E1041" s="1" t="n">
        <v>46272</v>
      </c>
      <c r="F1041" t="inlineStr">
        <is>
          <t>GÄVLEBORGS LÄN</t>
        </is>
      </c>
      <c r="G1041" t="inlineStr">
        <is>
          <t>HUDIKSVALL</t>
        </is>
      </c>
      <c r="I1041" t="n">
        <v>0.6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t="n">
        <v>0</v>
      </c>
      <c r="S1041" t="n">
        <v>0</v>
      </c>
      <c r="T1041" t="n">
        <v>0</v>
      </c>
      <c r="U1041" t="n">
        <v>0</v>
      </c>
      <c r="V1041" s="2" t="inlineStr"/>
    </row>
    <row r="1042" ht="15" customHeight="1">
      <c r="A1042" t="inlineStr">
        <is>
          <t>A 14796-2023</t>
        </is>
      </c>
      <c r="B1042" t="inlineStr">
        <is>
          <t>avverkningsanmälan</t>
        </is>
      </c>
      <c r="C1042" t="inlineStr">
        <is>
          <t>Föryngringsavverkning</t>
        </is>
      </c>
      <c r="D1042" s="1" t="n">
        <v>45014</v>
      </c>
      <c r="E1042" s="1" t="n">
        <v>46272</v>
      </c>
      <c r="F1042" t="inlineStr">
        <is>
          <t>GÄVLEBORGS LÄN</t>
        </is>
      </c>
      <c r="G1042" t="inlineStr">
        <is>
          <t>HUDIKSVALL</t>
        </is>
      </c>
      <c r="H1042" t="inlineStr">
        <is>
          <t>Holmen skog AB</t>
        </is>
      </c>
      <c r="I1042" t="n">
        <v>10.4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t="n">
        <v>0</v>
      </c>
      <c r="S1042" t="n">
        <v>0</v>
      </c>
      <c r="T1042" t="n">
        <v>0</v>
      </c>
      <c r="U1042" t="n">
        <v>0</v>
      </c>
      <c r="V1042" s="2" t="inlineStr"/>
    </row>
    <row r="1043" ht="15" customHeight="1">
      <c r="A1043" t="inlineStr">
        <is>
          <t>A 19942-2025</t>
        </is>
      </c>
      <c r="B1043" t="inlineStr">
        <is>
          <t>avverkningsanmälan</t>
        </is>
      </c>
      <c r="C1043" t="inlineStr">
        <is>
          <t>Föryngringsavverkning</t>
        </is>
      </c>
      <c r="D1043" s="1" t="n">
        <v>45771</v>
      </c>
      <c r="E1043" s="1" t="n">
        <v>46272</v>
      </c>
      <c r="F1043" t="inlineStr">
        <is>
          <t>GÄVLEBORGS LÄN</t>
        </is>
      </c>
      <c r="G1043" t="inlineStr">
        <is>
          <t>HUDIKSVALL</t>
        </is>
      </c>
      <c r="I1043" t="n">
        <v>1.1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t="n">
        <v>0</v>
      </c>
      <c r="S1043" t="n">
        <v>0</v>
      </c>
      <c r="T1043" t="n">
        <v>0</v>
      </c>
      <c r="U1043" t="n">
        <v>0</v>
      </c>
      <c r="V1043" s="2" t="inlineStr"/>
    </row>
    <row r="1044" ht="15" customHeight="1">
      <c r="A1044" t="inlineStr">
        <is>
          <t>A 58059-2025</t>
        </is>
      </c>
      <c r="B1044" t="inlineStr">
        <is>
          <t>avverkningsanmälan</t>
        </is>
      </c>
      <c r="C1044" t="inlineStr">
        <is>
          <t>Föryngringsavverkning</t>
        </is>
      </c>
      <c r="D1044" s="1" t="n">
        <v>45982</v>
      </c>
      <c r="E1044" s="1" t="n">
        <v>46272</v>
      </c>
      <c r="F1044" t="inlineStr">
        <is>
          <t>GÄVLEBORGS LÄN</t>
        </is>
      </c>
      <c r="G1044" t="inlineStr">
        <is>
          <t>HUDIKSVALL</t>
        </is>
      </c>
      <c r="I1044" t="n">
        <v>1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t="n">
        <v>0</v>
      </c>
      <c r="S1044" t="n">
        <v>0</v>
      </c>
      <c r="T1044" t="n">
        <v>0</v>
      </c>
      <c r="U1044" t="n">
        <v>0</v>
      </c>
      <c r="V1044" s="2" t="inlineStr"/>
    </row>
    <row r="1045" ht="15" customHeight="1">
      <c r="A1045" t="inlineStr">
        <is>
          <t>A 19014-2024</t>
        </is>
      </c>
      <c r="B1045" t="inlineStr">
        <is>
          <t>avverkningsanmälan</t>
        </is>
      </c>
      <c r="C1045" t="inlineStr">
        <is>
          <t>Föryngringsavverkning</t>
        </is>
      </c>
      <c r="D1045" s="1" t="n">
        <v>45427</v>
      </c>
      <c r="E1045" s="1" t="n">
        <v>46272</v>
      </c>
      <c r="F1045" t="inlineStr">
        <is>
          <t>GÄVLEBORGS LÄN</t>
        </is>
      </c>
      <c r="G1045" t="inlineStr">
        <is>
          <t>HUDIKSVALL</t>
        </is>
      </c>
      <c r="H1045" t="inlineStr">
        <is>
          <t>Holmen skog AB</t>
        </is>
      </c>
      <c r="I1045" t="n">
        <v>17.7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t="n">
        <v>0</v>
      </c>
      <c r="S1045" t="n">
        <v>0</v>
      </c>
      <c r="T1045" t="n">
        <v>0</v>
      </c>
      <c r="U1045" t="n">
        <v>0</v>
      </c>
      <c r="V1045" s="2" t="inlineStr"/>
    </row>
    <row r="1046" ht="15" customHeight="1">
      <c r="A1046" t="inlineStr">
        <is>
          <t>A 36342-2025</t>
        </is>
      </c>
      <c r="B1046" t="inlineStr">
        <is>
          <t>avverkningsanmälan</t>
        </is>
      </c>
      <c r="C1046" t="inlineStr">
        <is>
          <t>Föryngringsavverkning</t>
        </is>
      </c>
      <c r="D1046" s="1" t="n">
        <v>45868</v>
      </c>
      <c r="E1046" s="1" t="n">
        <v>46272</v>
      </c>
      <c r="F1046" t="inlineStr">
        <is>
          <t>GÄVLEBORGS LÄN</t>
        </is>
      </c>
      <c r="G1046" t="inlineStr">
        <is>
          <t>HUDIKSVALL</t>
        </is>
      </c>
      <c r="I1046" t="n">
        <v>4.2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t="n">
        <v>0</v>
      </c>
      <c r="S1046" t="n">
        <v>0</v>
      </c>
      <c r="T1046" t="n">
        <v>0</v>
      </c>
      <c r="U1046" t="n">
        <v>0</v>
      </c>
      <c r="V1046" s="2" t="inlineStr"/>
    </row>
    <row r="1047" ht="15" customHeight="1">
      <c r="A1047" t="inlineStr">
        <is>
          <t>A 6990-2025</t>
        </is>
      </c>
      <c r="B1047" t="inlineStr">
        <is>
          <t>avverkningsanmälan</t>
        </is>
      </c>
      <c r="C1047" t="inlineStr">
        <is>
          <t>Föryngringsavverkning</t>
        </is>
      </c>
      <c r="D1047" s="1" t="n">
        <v>45701</v>
      </c>
      <c r="E1047" s="1" t="n">
        <v>46272</v>
      </c>
      <c r="F1047" t="inlineStr">
        <is>
          <t>GÄVLEBORGS LÄN</t>
        </is>
      </c>
      <c r="G1047" t="inlineStr">
        <is>
          <t>HUDIKSVALL</t>
        </is>
      </c>
      <c r="I1047" t="n">
        <v>7.2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t="n">
        <v>0</v>
      </c>
      <c r="S1047" t="n">
        <v>0</v>
      </c>
      <c r="T1047" t="n">
        <v>0</v>
      </c>
      <c r="U1047" t="n">
        <v>0</v>
      </c>
      <c r="V1047" s="2" t="inlineStr"/>
    </row>
    <row r="1048" ht="15" customHeight="1">
      <c r="A1048" t="inlineStr">
        <is>
          <t>A 4491-2026</t>
        </is>
      </c>
      <c r="B1048" t="inlineStr">
        <is>
          <t>avverkningsanmälan</t>
        </is>
      </c>
      <c r="C1048" t="inlineStr">
        <is>
          <t>Föryngringsavverkning</t>
        </is>
      </c>
      <c r="D1048" s="1" t="n">
        <v>46045</v>
      </c>
      <c r="E1048" s="1" t="n">
        <v>46272</v>
      </c>
      <c r="F1048" t="inlineStr">
        <is>
          <t>GÄVLEBORGS LÄN</t>
        </is>
      </c>
      <c r="G1048" t="inlineStr">
        <is>
          <t>HUDIKSVALL</t>
        </is>
      </c>
      <c r="I1048" t="n">
        <v>5.3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t="n">
        <v>0</v>
      </c>
      <c r="S1048" t="n">
        <v>0</v>
      </c>
      <c r="T1048" t="n">
        <v>0</v>
      </c>
      <c r="U1048" t="n">
        <v>0</v>
      </c>
      <c r="V1048" s="2" t="inlineStr"/>
    </row>
    <row r="1049" ht="15" customHeight="1">
      <c r="A1049" t="inlineStr">
        <is>
          <t>A 6732-2026</t>
        </is>
      </c>
      <c r="B1049" t="inlineStr">
        <is>
          <t>avverkningsanmälan</t>
        </is>
      </c>
      <c r="C1049" t="inlineStr">
        <is>
          <t>Föryngringsavverkning</t>
        </is>
      </c>
      <c r="D1049" s="1" t="n">
        <v>46056</v>
      </c>
      <c r="E1049" s="1" t="n">
        <v>46272</v>
      </c>
      <c r="F1049" t="inlineStr">
        <is>
          <t>GÄVLEBORGS LÄN</t>
        </is>
      </c>
      <c r="G1049" t="inlineStr">
        <is>
          <t>HUDIKSVALL</t>
        </is>
      </c>
      <c r="I1049" t="n">
        <v>3.7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t="n">
        <v>0</v>
      </c>
      <c r="S1049" t="n">
        <v>0</v>
      </c>
      <c r="T1049" t="n">
        <v>0</v>
      </c>
      <c r="U1049" t="n">
        <v>0</v>
      </c>
      <c r="V1049" s="2" t="inlineStr"/>
    </row>
    <row r="1050" ht="15" customHeight="1">
      <c r="A1050" t="inlineStr">
        <is>
          <t>A 4505-2024</t>
        </is>
      </c>
      <c r="B1050" t="inlineStr">
        <is>
          <t>avverkningsanmälan</t>
        </is>
      </c>
      <c r="C1050" t="inlineStr">
        <is>
          <t>Avverkning för annat ändamål</t>
        </is>
      </c>
      <c r="D1050" s="1" t="n">
        <v>45327</v>
      </c>
      <c r="E1050" s="1" t="n">
        <v>46272</v>
      </c>
      <c r="F1050" t="inlineStr">
        <is>
          <t>GÄVLEBORGS LÄN</t>
        </is>
      </c>
      <c r="G1050" t="inlineStr">
        <is>
          <t>HUDIKSVALL</t>
        </is>
      </c>
      <c r="I1050" t="n">
        <v>0.1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t="n">
        <v>0</v>
      </c>
      <c r="S1050" t="n">
        <v>0</v>
      </c>
      <c r="T1050" t="n">
        <v>0</v>
      </c>
      <c r="U1050" t="n">
        <v>0</v>
      </c>
      <c r="V1050" s="2" t="inlineStr"/>
    </row>
    <row r="1051" ht="15" customHeight="1">
      <c r="A1051" t="inlineStr">
        <is>
          <t>A 39232-2025</t>
        </is>
      </c>
      <c r="B1051" t="inlineStr">
        <is>
          <t>avverkningsanmälan</t>
        </is>
      </c>
      <c r="C1051" t="inlineStr">
        <is>
          <t>Föryngringsavverkning</t>
        </is>
      </c>
      <c r="D1051" s="1" t="n">
        <v>45889</v>
      </c>
      <c r="E1051" s="1" t="n">
        <v>46272</v>
      </c>
      <c r="F1051" t="inlineStr">
        <is>
          <t>GÄVLEBORGS LÄN</t>
        </is>
      </c>
      <c r="G1051" t="inlineStr">
        <is>
          <t>HUDIKSVALL</t>
        </is>
      </c>
      <c r="I1051" t="n">
        <v>2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t="n">
        <v>0</v>
      </c>
      <c r="S1051" t="n">
        <v>0</v>
      </c>
      <c r="T1051" t="n">
        <v>0</v>
      </c>
      <c r="U1051" t="n">
        <v>0</v>
      </c>
      <c r="V1051" s="2" t="inlineStr"/>
    </row>
    <row r="1052" ht="15" customHeight="1">
      <c r="A1052" t="inlineStr">
        <is>
          <t>A 10373-2026</t>
        </is>
      </c>
      <c r="B1052" t="inlineStr">
        <is>
          <t>avverkningsanmälan</t>
        </is>
      </c>
      <c r="C1052" t="inlineStr">
        <is>
          <t>Föryngringsavverkning</t>
        </is>
      </c>
      <c r="D1052" s="1" t="n">
        <v>46076</v>
      </c>
      <c r="E1052" s="1" t="n">
        <v>46272</v>
      </c>
      <c r="F1052" t="inlineStr">
        <is>
          <t>GÄVLEBORGS LÄN</t>
        </is>
      </c>
      <c r="G1052" t="inlineStr">
        <is>
          <t>HUDIKSVALL</t>
        </is>
      </c>
      <c r="H1052" t="inlineStr">
        <is>
          <t>Holmen skog AB</t>
        </is>
      </c>
      <c r="I1052" t="n">
        <v>1.6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t="n">
        <v>0</v>
      </c>
      <c r="S1052" t="n">
        <v>0</v>
      </c>
      <c r="T1052" t="n">
        <v>0</v>
      </c>
      <c r="U1052" t="n">
        <v>0</v>
      </c>
      <c r="V1052" s="2" t="inlineStr"/>
    </row>
    <row r="1053" ht="15" customHeight="1">
      <c r="A1053" t="inlineStr">
        <is>
          <t>A 10193-2023</t>
        </is>
      </c>
      <c r="B1053" t="inlineStr">
        <is>
          <t>avverkningsanmälan</t>
        </is>
      </c>
      <c r="C1053" t="inlineStr">
        <is>
          <t>Föryngringsavverkning</t>
        </is>
      </c>
      <c r="D1053" s="1" t="n">
        <v>44986</v>
      </c>
      <c r="E1053" s="1" t="n">
        <v>46272</v>
      </c>
      <c r="F1053" t="inlineStr">
        <is>
          <t>GÄVLEBORGS LÄN</t>
        </is>
      </c>
      <c r="G1053" t="inlineStr">
        <is>
          <t>HUDIKSVALL</t>
        </is>
      </c>
      <c r="I1053" t="n">
        <v>1.7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t="n">
        <v>0</v>
      </c>
      <c r="S1053" t="n">
        <v>0</v>
      </c>
      <c r="T1053" t="n">
        <v>0</v>
      </c>
      <c r="U1053" t="n">
        <v>0</v>
      </c>
      <c r="V1053" s="2" t="inlineStr"/>
    </row>
    <row r="1054" ht="15" customHeight="1">
      <c r="A1054" t="inlineStr">
        <is>
          <t>A 58040-2025</t>
        </is>
      </c>
      <c r="B1054" t="inlineStr">
        <is>
          <t>avverkningsanmälan</t>
        </is>
      </c>
      <c r="C1054" t="inlineStr">
        <is>
          <t>Föryngringsavverkning</t>
        </is>
      </c>
      <c r="D1054" s="1" t="n">
        <v>45982</v>
      </c>
      <c r="E1054" s="1" t="n">
        <v>46272</v>
      </c>
      <c r="F1054" t="inlineStr">
        <is>
          <t>GÄVLEBORGS LÄN</t>
        </is>
      </c>
      <c r="G1054" t="inlineStr">
        <is>
          <t>HUDIKSVALL</t>
        </is>
      </c>
      <c r="I1054" t="n">
        <v>2.7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t="n">
        <v>0</v>
      </c>
      <c r="S1054" t="n">
        <v>0</v>
      </c>
      <c r="T1054" t="n">
        <v>0</v>
      </c>
      <c r="U1054" t="n">
        <v>0</v>
      </c>
      <c r="V1054" s="2" t="inlineStr"/>
    </row>
    <row r="1055" ht="15" customHeight="1">
      <c r="A1055" t="inlineStr">
        <is>
          <t>A 20016-2026</t>
        </is>
      </c>
      <c r="B1055" t="inlineStr">
        <is>
          <t>avverkningsanmälan</t>
        </is>
      </c>
      <c r="C1055" t="inlineStr">
        <is>
          <t>Föryngringsavverkning</t>
        </is>
      </c>
      <c r="D1055" s="1" t="n">
        <v>46136</v>
      </c>
      <c r="E1055" s="1" t="n">
        <v>46272</v>
      </c>
      <c r="F1055" t="inlineStr">
        <is>
          <t>GÄVLEBORGS LÄN</t>
        </is>
      </c>
      <c r="G1055" t="inlineStr">
        <is>
          <t>HUDIKSVALL</t>
        </is>
      </c>
      <c r="H1055" t="inlineStr">
        <is>
          <t>Holmen skog AB</t>
        </is>
      </c>
      <c r="I1055" t="n">
        <v>25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t="n">
        <v>0</v>
      </c>
      <c r="S1055" t="n">
        <v>0</v>
      </c>
      <c r="T1055" t="n">
        <v>0</v>
      </c>
      <c r="U1055" t="n">
        <v>0</v>
      </c>
      <c r="V1055" s="2" t="inlineStr"/>
    </row>
    <row r="1056" ht="15" customHeight="1">
      <c r="A1056" t="inlineStr">
        <is>
          <t>A 10379-2026</t>
        </is>
      </c>
      <c r="B1056" t="inlineStr">
        <is>
          <t>avverkningsanmälan</t>
        </is>
      </c>
      <c r="C1056" t="inlineStr">
        <is>
          <t>Föryngringsavverkning</t>
        </is>
      </c>
      <c r="D1056" s="1" t="n">
        <v>46076</v>
      </c>
      <c r="E1056" s="1" t="n">
        <v>46272</v>
      </c>
      <c r="F1056" t="inlineStr">
        <is>
          <t>GÄVLEBORGS LÄN</t>
        </is>
      </c>
      <c r="G1056" t="inlineStr">
        <is>
          <t>HUDIKSVALL</t>
        </is>
      </c>
      <c r="I1056" t="n">
        <v>3.3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t="n">
        <v>0</v>
      </c>
      <c r="S1056" t="n">
        <v>0</v>
      </c>
      <c r="T1056" t="n">
        <v>0</v>
      </c>
      <c r="U1056" t="n">
        <v>0</v>
      </c>
      <c r="V1056" s="2" t="inlineStr"/>
    </row>
    <row r="1057" ht="15" customHeight="1">
      <c r="A1057" t="inlineStr">
        <is>
          <t>A 42629-2024</t>
        </is>
      </c>
      <c r="B1057" t="inlineStr">
        <is>
          <t>avverkningsanmälan</t>
        </is>
      </c>
      <c r="C1057" t="inlineStr">
        <is>
          <t>Föryngringsavverkning</t>
        </is>
      </c>
      <c r="D1057" s="1" t="n">
        <v>45565</v>
      </c>
      <c r="E1057" s="1" t="n">
        <v>46272</v>
      </c>
      <c r="F1057" t="inlineStr">
        <is>
          <t>GÄVLEBORGS LÄN</t>
        </is>
      </c>
      <c r="G1057" t="inlineStr">
        <is>
          <t>HUDIKSVALL</t>
        </is>
      </c>
      <c r="I1057" t="n">
        <v>1.1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t="n">
        <v>0</v>
      </c>
      <c r="S1057" t="n">
        <v>0</v>
      </c>
      <c r="T1057" t="n">
        <v>0</v>
      </c>
      <c r="U1057" t="n">
        <v>0</v>
      </c>
      <c r="V1057" s="2" t="inlineStr"/>
    </row>
    <row r="1058" ht="15" customHeight="1">
      <c r="A1058" t="inlineStr">
        <is>
          <t>A 20204-2026</t>
        </is>
      </c>
      <c r="B1058" t="inlineStr">
        <is>
          <t>avverkningsanmälan</t>
        </is>
      </c>
      <c r="C1058" t="inlineStr">
        <is>
          <t>Föryngringsavverkning</t>
        </is>
      </c>
      <c r="D1058" s="1" t="n">
        <v>46139</v>
      </c>
      <c r="E1058" s="1" t="n">
        <v>46272</v>
      </c>
      <c r="F1058" t="inlineStr">
        <is>
          <t>GÄVLEBORGS LÄN</t>
        </is>
      </c>
      <c r="G1058" t="inlineStr">
        <is>
          <t>HUDIKSVALL</t>
        </is>
      </c>
      <c r="H1058" t="inlineStr">
        <is>
          <t>Holmen skog AB</t>
        </is>
      </c>
      <c r="I1058" t="n">
        <v>3.6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t="n">
        <v>0</v>
      </c>
      <c r="S1058" t="n">
        <v>0</v>
      </c>
      <c r="T1058" t="n">
        <v>0</v>
      </c>
      <c r="U1058" t="n">
        <v>0</v>
      </c>
      <c r="V1058" s="2" t="inlineStr"/>
    </row>
    <row r="1059" ht="15" customHeight="1">
      <c r="A1059" t="inlineStr">
        <is>
          <t>A 19946-2026</t>
        </is>
      </c>
      <c r="B1059" t="inlineStr">
        <is>
          <t>avverkningsanmälan</t>
        </is>
      </c>
      <c r="C1059" t="inlineStr">
        <is>
          <t>Föryngringsavverkning</t>
        </is>
      </c>
      <c r="D1059" s="1" t="n">
        <v>46136</v>
      </c>
      <c r="E1059" s="1" t="n">
        <v>46272</v>
      </c>
      <c r="F1059" t="inlineStr">
        <is>
          <t>GÄVLEBORGS LÄN</t>
        </is>
      </c>
      <c r="G1059" t="inlineStr">
        <is>
          <t>HUDIKSVALL</t>
        </is>
      </c>
      <c r="I1059" t="n">
        <v>0.9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t="n">
        <v>0</v>
      </c>
      <c r="S1059" t="n">
        <v>0</v>
      </c>
      <c r="T1059" t="n">
        <v>0</v>
      </c>
      <c r="U1059" t="n">
        <v>0</v>
      </c>
      <c r="V1059" s="2" t="inlineStr"/>
    </row>
    <row r="1060" ht="15" customHeight="1">
      <c r="A1060" t="inlineStr">
        <is>
          <t>A 19947-2026</t>
        </is>
      </c>
      <c r="B1060" t="inlineStr">
        <is>
          <t>avverkningsanmälan</t>
        </is>
      </c>
      <c r="C1060" t="inlineStr">
        <is>
          <t>Föryngringsavverkning</t>
        </is>
      </c>
      <c r="D1060" s="1" t="n">
        <v>46136</v>
      </c>
      <c r="E1060" s="1" t="n">
        <v>46272</v>
      </c>
      <c r="F1060" t="inlineStr">
        <is>
          <t>GÄVLEBORGS LÄN</t>
        </is>
      </c>
      <c r="G1060" t="inlineStr">
        <is>
          <t>HUDIKSVALL</t>
        </is>
      </c>
      <c r="I1060" t="n">
        <v>1.1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t="n">
        <v>0</v>
      </c>
      <c r="S1060" t="n">
        <v>0</v>
      </c>
      <c r="T1060" t="n">
        <v>0</v>
      </c>
      <c r="U1060" t="n">
        <v>0</v>
      </c>
      <c r="V1060" s="2" t="inlineStr"/>
    </row>
    <row r="1061" ht="15" customHeight="1">
      <c r="A1061" t="inlineStr">
        <is>
          <t>A 62639-2023</t>
        </is>
      </c>
      <c r="B1061" t="inlineStr">
        <is>
          <t>avverkningsanmälan</t>
        </is>
      </c>
      <c r="C1061" t="inlineStr">
        <is>
          <t>Föryngringsavverkning</t>
        </is>
      </c>
      <c r="D1061" s="1" t="n">
        <v>45271</v>
      </c>
      <c r="E1061" s="1" t="n">
        <v>46272</v>
      </c>
      <c r="F1061" t="inlineStr">
        <is>
          <t>GÄVLEBORGS LÄN</t>
        </is>
      </c>
      <c r="G1061" t="inlineStr">
        <is>
          <t>HUDIKSVALL</t>
        </is>
      </c>
      <c r="I1061" t="n">
        <v>1.1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t="n">
        <v>0</v>
      </c>
      <c r="S1061" t="n">
        <v>0</v>
      </c>
      <c r="T1061" t="n">
        <v>0</v>
      </c>
      <c r="U1061" t="n">
        <v>0</v>
      </c>
      <c r="V1061" s="2" t="inlineStr"/>
    </row>
    <row r="1062" ht="15" customHeight="1">
      <c r="A1062" t="inlineStr">
        <is>
          <t>A 13039-2023</t>
        </is>
      </c>
      <c r="B1062" t="inlineStr">
        <is>
          <t>avverkningsanmälan</t>
        </is>
      </c>
      <c r="C1062" t="inlineStr">
        <is>
          <t>Föryngringsavverkning</t>
        </is>
      </c>
      <c r="D1062" s="1" t="n">
        <v>45002</v>
      </c>
      <c r="E1062" s="1" t="n">
        <v>46272</v>
      </c>
      <c r="F1062" t="inlineStr">
        <is>
          <t>GÄVLEBORGS LÄN</t>
        </is>
      </c>
      <c r="G1062" t="inlineStr">
        <is>
          <t>HUDIKSVALL</t>
        </is>
      </c>
      <c r="I1062" t="n">
        <v>2.2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t="n">
        <v>0</v>
      </c>
      <c r="S1062" t="n">
        <v>0</v>
      </c>
      <c r="T1062" t="n">
        <v>0</v>
      </c>
      <c r="U1062" t="n">
        <v>0</v>
      </c>
      <c r="V1062" s="2" t="inlineStr"/>
    </row>
    <row r="1063" ht="15" customHeight="1">
      <c r="A1063" t="inlineStr">
        <is>
          <t>A 32685-2025</t>
        </is>
      </c>
      <c r="B1063" t="inlineStr">
        <is>
          <t>avverkningsanmälan</t>
        </is>
      </c>
      <c r="C1063" t="inlineStr">
        <is>
          <t>Föryngringsavverkning</t>
        </is>
      </c>
      <c r="D1063" s="1" t="n">
        <v>45838</v>
      </c>
      <c r="E1063" s="1" t="n">
        <v>46272</v>
      </c>
      <c r="F1063" t="inlineStr">
        <is>
          <t>GÄVLEBORGS LÄN</t>
        </is>
      </c>
      <c r="G1063" t="inlineStr">
        <is>
          <t>HUDIKSVALL</t>
        </is>
      </c>
      <c r="H1063" t="inlineStr">
        <is>
          <t>Holmen skog AB</t>
        </is>
      </c>
      <c r="I1063" t="n">
        <v>3.7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t="n">
        <v>0</v>
      </c>
      <c r="S1063" t="n">
        <v>0</v>
      </c>
      <c r="T1063" t="n">
        <v>0</v>
      </c>
      <c r="U1063" t="n">
        <v>0</v>
      </c>
      <c r="V1063" s="2" t="inlineStr"/>
    </row>
    <row r="1064" ht="15" customHeight="1">
      <c r="A1064" t="inlineStr">
        <is>
          <t>A 1774-2026</t>
        </is>
      </c>
      <c r="B1064" t="inlineStr">
        <is>
          <t>avverkningsanmälan</t>
        </is>
      </c>
      <c r="C1064" t="inlineStr">
        <is>
          <t>Föryngringsavverkning</t>
        </is>
      </c>
      <c r="D1064" s="1" t="n">
        <v>46034</v>
      </c>
      <c r="E1064" s="1" t="n">
        <v>46272</v>
      </c>
      <c r="F1064" t="inlineStr">
        <is>
          <t>GÄVLEBORGS LÄN</t>
        </is>
      </c>
      <c r="G1064" t="inlineStr">
        <is>
          <t>HUDIKSVALL</t>
        </is>
      </c>
      <c r="I1064" t="n">
        <v>1.4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t="n">
        <v>0</v>
      </c>
      <c r="S1064" t="n">
        <v>0</v>
      </c>
      <c r="T1064" t="n">
        <v>0</v>
      </c>
      <c r="U1064" t="n">
        <v>0</v>
      </c>
      <c r="V1064" s="2" t="inlineStr"/>
    </row>
    <row r="1065" ht="15" customHeight="1">
      <c r="A1065" t="inlineStr">
        <is>
          <t>A 4312-2026</t>
        </is>
      </c>
      <c r="B1065" t="inlineStr">
        <is>
          <t>avverkningsanmälan</t>
        </is>
      </c>
      <c r="C1065" t="inlineStr">
        <is>
          <t>Föryngringsavverkning</t>
        </is>
      </c>
      <c r="D1065" s="1" t="n">
        <v>46045</v>
      </c>
      <c r="E1065" s="1" t="n">
        <v>46272</v>
      </c>
      <c r="F1065" t="inlineStr">
        <is>
          <t>GÄVLEBORGS LÄN</t>
        </is>
      </c>
      <c r="G1065" t="inlineStr">
        <is>
          <t>HUDIKSVALL</t>
        </is>
      </c>
      <c r="H1065" t="inlineStr">
        <is>
          <t>Holmen skog AB</t>
        </is>
      </c>
      <c r="I1065" t="n">
        <v>2.5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t="n">
        <v>0</v>
      </c>
      <c r="S1065" t="n">
        <v>0</v>
      </c>
      <c r="T1065" t="n">
        <v>0</v>
      </c>
      <c r="U1065" t="n">
        <v>0</v>
      </c>
      <c r="V1065" s="2" t="inlineStr"/>
    </row>
    <row r="1066" ht="15" customHeight="1">
      <c r="A1066" t="inlineStr">
        <is>
          <t>A 7295-2026</t>
        </is>
      </c>
      <c r="B1066" t="inlineStr">
        <is>
          <t>avverkningsanmälan</t>
        </is>
      </c>
      <c r="C1066" t="inlineStr">
        <is>
          <t>Föryngringsavverkning</t>
        </is>
      </c>
      <c r="D1066" s="1" t="n">
        <v>46058</v>
      </c>
      <c r="E1066" s="1" t="n">
        <v>46272</v>
      </c>
      <c r="F1066" t="inlineStr">
        <is>
          <t>GÄVLEBORGS LÄN</t>
        </is>
      </c>
      <c r="G1066" t="inlineStr">
        <is>
          <t>HUDIKSVALL</t>
        </is>
      </c>
      <c r="I1066" t="n">
        <v>1.1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t="n">
        <v>0</v>
      </c>
      <c r="S1066" t="n">
        <v>0</v>
      </c>
      <c r="T1066" t="n">
        <v>0</v>
      </c>
      <c r="U1066" t="n">
        <v>0</v>
      </c>
      <c r="V1066" s="2" t="inlineStr"/>
    </row>
    <row r="1067" ht="15" customHeight="1">
      <c r="A1067" t="inlineStr">
        <is>
          <t>A 9138-2026</t>
        </is>
      </c>
      <c r="B1067" t="inlineStr">
        <is>
          <t>avverkningsanmälan</t>
        </is>
      </c>
      <c r="C1067" t="inlineStr">
        <is>
          <t>Föryngringsavverkning</t>
        </is>
      </c>
      <c r="D1067" s="1" t="n">
        <v>46069</v>
      </c>
      <c r="E1067" s="1" t="n">
        <v>46272</v>
      </c>
      <c r="F1067" t="inlineStr">
        <is>
          <t>GÄVLEBORGS LÄN</t>
        </is>
      </c>
      <c r="G1067" t="inlineStr">
        <is>
          <t>HUDIKSVALL</t>
        </is>
      </c>
      <c r="I1067" t="n">
        <v>1.1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t="n">
        <v>0</v>
      </c>
      <c r="S1067" t="n">
        <v>0</v>
      </c>
      <c r="T1067" t="n">
        <v>0</v>
      </c>
      <c r="U1067" t="n">
        <v>0</v>
      </c>
      <c r="V1067" s="2" t="inlineStr"/>
    </row>
    <row r="1068" ht="15" customHeight="1">
      <c r="A1068" t="inlineStr">
        <is>
          <t>A 50325-2025</t>
        </is>
      </c>
      <c r="B1068" t="inlineStr">
        <is>
          <t>avverkningsanmälan</t>
        </is>
      </c>
      <c r="C1068" t="inlineStr">
        <is>
          <t>Föryngringsavverkning</t>
        </is>
      </c>
      <c r="D1068" s="1" t="n">
        <v>45944</v>
      </c>
      <c r="E1068" s="1" t="n">
        <v>46272</v>
      </c>
      <c r="F1068" t="inlineStr">
        <is>
          <t>GÄVLEBORGS LÄN</t>
        </is>
      </c>
      <c r="G1068" t="inlineStr">
        <is>
          <t>HUDIKSVALL</t>
        </is>
      </c>
      <c r="I1068" t="n">
        <v>2.8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t="n">
        <v>0</v>
      </c>
      <c r="S1068" t="n">
        <v>0</v>
      </c>
      <c r="T1068" t="n">
        <v>0</v>
      </c>
      <c r="U1068" t="n">
        <v>0</v>
      </c>
      <c r="V1068" s="2" t="inlineStr"/>
    </row>
    <row r="1069" ht="15" customHeight="1">
      <c r="A1069" t="inlineStr">
        <is>
          <t>A 24885-2023</t>
        </is>
      </c>
      <c r="B1069" t="inlineStr">
        <is>
          <t>avverkningsanmälan</t>
        </is>
      </c>
      <c r="C1069" t="inlineStr">
        <is>
          <t>Föryngringsavverkning</t>
        </is>
      </c>
      <c r="D1069" s="1" t="n">
        <v>45085</v>
      </c>
      <c r="E1069" s="1" t="n">
        <v>46272</v>
      </c>
      <c r="F1069" t="inlineStr">
        <is>
          <t>GÄVLEBORGS LÄN</t>
        </is>
      </c>
      <c r="G1069" t="inlineStr">
        <is>
          <t>HUDIKSVALL</t>
        </is>
      </c>
      <c r="I1069" t="n">
        <v>1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t="n">
        <v>0</v>
      </c>
      <c r="S1069" t="n">
        <v>0</v>
      </c>
      <c r="T1069" t="n">
        <v>0</v>
      </c>
      <c r="U1069" t="n">
        <v>0</v>
      </c>
      <c r="V1069" s="2" t="inlineStr"/>
    </row>
    <row r="1070" ht="15" customHeight="1">
      <c r="A1070" t="inlineStr">
        <is>
          <t>A 13853-2025</t>
        </is>
      </c>
      <c r="B1070" t="inlineStr">
        <is>
          <t>avverkningsanmälan</t>
        </is>
      </c>
      <c r="C1070" t="inlineStr">
        <is>
          <t>Föryngringsavverkning</t>
        </is>
      </c>
      <c r="D1070" s="1" t="n">
        <v>45737</v>
      </c>
      <c r="E1070" s="1" t="n">
        <v>46272</v>
      </c>
      <c r="F1070" t="inlineStr">
        <is>
          <t>GÄVLEBORGS LÄN</t>
        </is>
      </c>
      <c r="G1070" t="inlineStr">
        <is>
          <t>HUDIKSVALL</t>
        </is>
      </c>
      <c r="I1070" t="n">
        <v>7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t="n">
        <v>0</v>
      </c>
      <c r="S1070" t="n">
        <v>0</v>
      </c>
      <c r="T1070" t="n">
        <v>0</v>
      </c>
      <c r="U1070" t="n">
        <v>0</v>
      </c>
      <c r="V1070" s="2" t="inlineStr"/>
    </row>
    <row r="1071" ht="15" customHeight="1">
      <c r="A1071" t="inlineStr">
        <is>
          <t>A 30122-2023</t>
        </is>
      </c>
      <c r="B1071" t="inlineStr">
        <is>
          <t>avverkningsanmälan</t>
        </is>
      </c>
      <c r="C1071" t="inlineStr">
        <is>
          <t>Avverkning för annat ändamål</t>
        </is>
      </c>
      <c r="D1071" s="1" t="n">
        <v>45110</v>
      </c>
      <c r="E1071" s="1" t="n">
        <v>46272</v>
      </c>
      <c r="F1071" t="inlineStr">
        <is>
          <t>GÄVLEBORGS LÄN</t>
        </is>
      </c>
      <c r="G1071" t="inlineStr">
        <is>
          <t>HUDIKSVALL</t>
        </is>
      </c>
      <c r="I1071" t="n">
        <v>0.4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t="n">
        <v>0</v>
      </c>
      <c r="S1071" t="n">
        <v>0</v>
      </c>
      <c r="T1071" t="n">
        <v>0</v>
      </c>
      <c r="U1071" t="n">
        <v>0</v>
      </c>
      <c r="V1071" s="2" t="inlineStr"/>
    </row>
    <row r="1072" ht="15" customHeight="1">
      <c r="A1072" t="inlineStr">
        <is>
          <t>A 11132-2026</t>
        </is>
      </c>
      <c r="B1072" t="inlineStr">
        <is>
          <t>avverkningsanmälan</t>
        </is>
      </c>
      <c r="C1072" t="inlineStr">
        <is>
          <t>Föryngringsavverkning</t>
        </is>
      </c>
      <c r="D1072" s="1" t="n">
        <v>46079</v>
      </c>
      <c r="E1072" s="1" t="n">
        <v>46272</v>
      </c>
      <c r="F1072" t="inlineStr">
        <is>
          <t>GÄVLEBORGS LÄN</t>
        </is>
      </c>
      <c r="G1072" t="inlineStr">
        <is>
          <t>HUDIKSVALL</t>
        </is>
      </c>
      <c r="I1072" t="n">
        <v>3.6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t="n">
        <v>0</v>
      </c>
      <c r="S1072" t="n">
        <v>0</v>
      </c>
      <c r="T1072" t="n">
        <v>0</v>
      </c>
      <c r="U1072" t="n">
        <v>0</v>
      </c>
      <c r="V1072" s="2" t="inlineStr"/>
    </row>
    <row r="1073" ht="15" customHeight="1">
      <c r="A1073" t="inlineStr">
        <is>
          <t>A 8124-2026</t>
        </is>
      </c>
      <c r="B1073" t="inlineStr">
        <is>
          <t>avverkningsanmälan</t>
        </is>
      </c>
      <c r="C1073" t="inlineStr">
        <is>
          <t>Föryngringsavverkning</t>
        </is>
      </c>
      <c r="D1073" s="1" t="n">
        <v>46063</v>
      </c>
      <c r="E1073" s="1" t="n">
        <v>46272</v>
      </c>
      <c r="F1073" t="inlineStr">
        <is>
          <t>GÄVLEBORGS LÄN</t>
        </is>
      </c>
      <c r="G1073" t="inlineStr">
        <is>
          <t>HUDIKSVALL</t>
        </is>
      </c>
      <c r="I1073" t="n">
        <v>1.2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t="n">
        <v>0</v>
      </c>
      <c r="S1073" t="n">
        <v>0</v>
      </c>
      <c r="T1073" t="n">
        <v>0</v>
      </c>
      <c r="U1073" t="n">
        <v>0</v>
      </c>
      <c r="V1073" s="2" t="inlineStr"/>
    </row>
    <row r="1074" ht="15" customHeight="1">
      <c r="A1074" t="inlineStr">
        <is>
          <t>A 59875-2023</t>
        </is>
      </c>
      <c r="B1074" t="inlineStr">
        <is>
          <t>avverkningsanmälan</t>
        </is>
      </c>
      <c r="C1074" t="inlineStr">
        <is>
          <t>Föryngringsavverkning</t>
        </is>
      </c>
      <c r="D1074" s="1" t="n">
        <v>45257</v>
      </c>
      <c r="E1074" s="1" t="n">
        <v>46272</v>
      </c>
      <c r="F1074" t="inlineStr">
        <is>
          <t>GÄVLEBORGS LÄN</t>
        </is>
      </c>
      <c r="G1074" t="inlineStr">
        <is>
          <t>HUDIKSVALL</t>
        </is>
      </c>
      <c r="I1074" t="n">
        <v>3.9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t="n">
        <v>0</v>
      </c>
      <c r="S1074" t="n">
        <v>0</v>
      </c>
      <c r="T1074" t="n">
        <v>0</v>
      </c>
      <c r="U1074" t="n">
        <v>0</v>
      </c>
      <c r="V1074" s="2" t="inlineStr"/>
    </row>
    <row r="1075" ht="15" customHeight="1">
      <c r="A1075" t="inlineStr">
        <is>
          <t>A 10426-2025</t>
        </is>
      </c>
      <c r="B1075" t="inlineStr">
        <is>
          <t>avverkningsanmälan</t>
        </is>
      </c>
      <c r="C1075" t="inlineStr">
        <is>
          <t>Föryngringsavverkning</t>
        </is>
      </c>
      <c r="D1075" s="1" t="n">
        <v>45720</v>
      </c>
      <c r="E1075" s="1" t="n">
        <v>46272</v>
      </c>
      <c r="F1075" t="inlineStr">
        <is>
          <t>GÄVLEBORGS LÄN</t>
        </is>
      </c>
      <c r="G1075" t="inlineStr">
        <is>
          <t>HUDIKSVALL</t>
        </is>
      </c>
      <c r="I1075" t="n">
        <v>4.5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t="n">
        <v>0</v>
      </c>
      <c r="S1075" t="n">
        <v>0</v>
      </c>
      <c r="T1075" t="n">
        <v>0</v>
      </c>
      <c r="U1075" t="n">
        <v>0</v>
      </c>
      <c r="V1075" s="2" t="inlineStr"/>
    </row>
    <row r="1076" ht="15" customHeight="1">
      <c r="A1076" t="inlineStr">
        <is>
          <t>A 32201-2022</t>
        </is>
      </c>
      <c r="B1076" t="inlineStr">
        <is>
          <t>avverkningsanmälan</t>
        </is>
      </c>
      <c r="C1076" t="inlineStr">
        <is>
          <t>Föryngringsavverkning</t>
        </is>
      </c>
      <c r="D1076" s="1" t="n">
        <v>44781</v>
      </c>
      <c r="E1076" s="1" t="n">
        <v>46272</v>
      </c>
      <c r="F1076" t="inlineStr">
        <is>
          <t>GÄVLEBORGS LÄN</t>
        </is>
      </c>
      <c r="G1076" t="inlineStr">
        <is>
          <t>HUDIKSVALL</t>
        </is>
      </c>
      <c r="I1076" t="n">
        <v>1.4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t="n">
        <v>0</v>
      </c>
      <c r="S1076" t="n">
        <v>0</v>
      </c>
      <c r="T1076" t="n">
        <v>0</v>
      </c>
      <c r="U1076" t="n">
        <v>0</v>
      </c>
      <c r="V1076" s="2" t="inlineStr"/>
    </row>
    <row r="1077" ht="15" customHeight="1">
      <c r="A1077" t="inlineStr">
        <is>
          <t>A 21561-2022</t>
        </is>
      </c>
      <c r="B1077" t="inlineStr">
        <is>
          <t>avverkningsanmälan</t>
        </is>
      </c>
      <c r="C1077" t="inlineStr">
        <is>
          <t>Avverkning för annat ändamål</t>
        </is>
      </c>
      <c r="D1077" s="1" t="n">
        <v>44706</v>
      </c>
      <c r="E1077" s="1" t="n">
        <v>46272</v>
      </c>
      <c r="F1077" t="inlineStr">
        <is>
          <t>GÄVLEBORGS LÄN</t>
        </is>
      </c>
      <c r="G1077" t="inlineStr">
        <is>
          <t>HUDIKSVALL</t>
        </is>
      </c>
      <c r="I1077" t="n">
        <v>1.5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t="n">
        <v>0</v>
      </c>
      <c r="S1077" t="n">
        <v>0</v>
      </c>
      <c r="T1077" t="n">
        <v>0</v>
      </c>
      <c r="U1077" t="n">
        <v>0</v>
      </c>
      <c r="V1077" s="2" t="inlineStr"/>
    </row>
    <row r="1078" ht="15" customHeight="1">
      <c r="A1078" t="inlineStr">
        <is>
          <t>A 9894-2026</t>
        </is>
      </c>
      <c r="B1078" t="inlineStr">
        <is>
          <t>avverkningsanmälan</t>
        </is>
      </c>
      <c r="C1078" t="inlineStr">
        <is>
          <t>Föryngringsavverkning</t>
        </is>
      </c>
      <c r="D1078" s="1" t="n">
        <v>46073</v>
      </c>
      <c r="E1078" s="1" t="n">
        <v>46272</v>
      </c>
      <c r="F1078" t="inlineStr">
        <is>
          <t>GÄVLEBORGS LÄN</t>
        </is>
      </c>
      <c r="G1078" t="inlineStr">
        <is>
          <t>HUDIKSVALL</t>
        </is>
      </c>
      <c r="I1078" t="n">
        <v>2.3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t="n">
        <v>0</v>
      </c>
      <c r="S1078" t="n">
        <v>0</v>
      </c>
      <c r="T1078" t="n">
        <v>0</v>
      </c>
      <c r="U1078" t="n">
        <v>0</v>
      </c>
      <c r="V1078" s="2" t="inlineStr"/>
    </row>
    <row r="1079" ht="15" customHeight="1">
      <c r="A1079" t="inlineStr">
        <is>
          <t>A 52986-2024</t>
        </is>
      </c>
      <c r="B1079" t="inlineStr">
        <is>
          <t>avverkningsanmälan</t>
        </is>
      </c>
      <c r="C1079" t="inlineStr">
        <is>
          <t>Föryngringsavverkning</t>
        </is>
      </c>
      <c r="D1079" s="1" t="n">
        <v>45611</v>
      </c>
      <c r="E1079" s="1" t="n">
        <v>46272</v>
      </c>
      <c r="F1079" t="inlineStr">
        <is>
          <t>GÄVLEBORGS LÄN</t>
        </is>
      </c>
      <c r="G1079" t="inlineStr">
        <is>
          <t>HUDIKSVALL</t>
        </is>
      </c>
      <c r="I1079" t="n">
        <v>3.8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t="n">
        <v>0</v>
      </c>
      <c r="S1079" t="n">
        <v>0</v>
      </c>
      <c r="T1079" t="n">
        <v>0</v>
      </c>
      <c r="U1079" t="n">
        <v>0</v>
      </c>
      <c r="V1079" s="2" t="inlineStr"/>
    </row>
    <row r="1080" ht="15" customHeight="1">
      <c r="A1080" t="inlineStr">
        <is>
          <t>A 63862-2025</t>
        </is>
      </c>
      <c r="B1080" t="inlineStr">
        <is>
          <t>avverkningsanmälan</t>
        </is>
      </c>
      <c r="C1080" t="inlineStr">
        <is>
          <t>Föryngringsavverkning</t>
        </is>
      </c>
      <c r="D1080" s="1" t="n">
        <v>46020</v>
      </c>
      <c r="E1080" s="1" t="n">
        <v>46272</v>
      </c>
      <c r="F1080" t="inlineStr">
        <is>
          <t>GÄVLEBORGS LÄN</t>
        </is>
      </c>
      <c r="G1080" t="inlineStr">
        <is>
          <t>HUDIKSVALL</t>
        </is>
      </c>
      <c r="I1080" t="n">
        <v>2.5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t="n">
        <v>0</v>
      </c>
      <c r="S1080" t="n">
        <v>0</v>
      </c>
      <c r="T1080" t="n">
        <v>0</v>
      </c>
      <c r="U1080" t="n">
        <v>0</v>
      </c>
      <c r="V1080" s="2" t="inlineStr"/>
    </row>
    <row r="1081" ht="15" customHeight="1">
      <c r="A1081" t="inlineStr">
        <is>
          <t>A 8041-2026</t>
        </is>
      </c>
      <c r="B1081" t="inlineStr">
        <is>
          <t>avverkningsanmälan</t>
        </is>
      </c>
      <c r="C1081" t="inlineStr">
        <is>
          <t>Föryngringsavverkning</t>
        </is>
      </c>
      <c r="D1081" s="1" t="n">
        <v>46063</v>
      </c>
      <c r="E1081" s="1" t="n">
        <v>46272</v>
      </c>
      <c r="F1081" t="inlineStr">
        <is>
          <t>GÄVLEBORGS LÄN</t>
        </is>
      </c>
      <c r="G1081" t="inlineStr">
        <is>
          <t>HUDIKSVALL</t>
        </is>
      </c>
      <c r="I1081" t="n">
        <v>5.2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t="n">
        <v>0</v>
      </c>
      <c r="S1081" t="n">
        <v>0</v>
      </c>
      <c r="T1081" t="n">
        <v>0</v>
      </c>
      <c r="U1081" t="n">
        <v>0</v>
      </c>
      <c r="V1081" s="2" t="inlineStr"/>
    </row>
    <row r="1082" ht="15" customHeight="1">
      <c r="A1082" t="inlineStr">
        <is>
          <t>A 20743-2026</t>
        </is>
      </c>
      <c r="B1082" t="inlineStr">
        <is>
          <t>avverkningsanmälan</t>
        </is>
      </c>
      <c r="C1082" t="inlineStr">
        <is>
          <t>Föryngringsavverkning</t>
        </is>
      </c>
      <c r="D1082" s="1" t="n">
        <v>46141</v>
      </c>
      <c r="E1082" s="1" t="n">
        <v>46272</v>
      </c>
      <c r="F1082" t="inlineStr">
        <is>
          <t>GÄVLEBORGS LÄN</t>
        </is>
      </c>
      <c r="G1082" t="inlineStr">
        <is>
          <t>HUDIKSVALL</t>
        </is>
      </c>
      <c r="H1082" t="inlineStr">
        <is>
          <t>Holmen skog AB</t>
        </is>
      </c>
      <c r="I1082" t="n">
        <v>0.9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t="n">
        <v>0</v>
      </c>
      <c r="S1082" t="n">
        <v>0</v>
      </c>
      <c r="T1082" t="n">
        <v>0</v>
      </c>
      <c r="U1082" t="n">
        <v>0</v>
      </c>
      <c r="V1082" s="2" t="inlineStr"/>
    </row>
    <row r="1083" ht="15" customHeight="1">
      <c r="A1083" t="inlineStr">
        <is>
          <t>A 11776-2026</t>
        </is>
      </c>
      <c r="B1083" t="inlineStr">
        <is>
          <t>avverkningsanmälan</t>
        </is>
      </c>
      <c r="C1083" t="inlineStr">
        <is>
          <t>Föryngringsavverkning</t>
        </is>
      </c>
      <c r="D1083" s="1" t="n">
        <v>46084</v>
      </c>
      <c r="E1083" s="1" t="n">
        <v>46272</v>
      </c>
      <c r="F1083" t="inlineStr">
        <is>
          <t>GÄVLEBORGS LÄN</t>
        </is>
      </c>
      <c r="G1083" t="inlineStr">
        <is>
          <t>HUDIKSVALL</t>
        </is>
      </c>
      <c r="I1083" t="n">
        <v>1.1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t="n">
        <v>0</v>
      </c>
      <c r="S1083" t="n">
        <v>0</v>
      </c>
      <c r="T1083" t="n">
        <v>0</v>
      </c>
      <c r="U1083" t="n">
        <v>0</v>
      </c>
      <c r="V1083" s="2" t="inlineStr"/>
    </row>
    <row r="1084" ht="15" customHeight="1">
      <c r="A1084" t="inlineStr">
        <is>
          <t>A 7749-2026</t>
        </is>
      </c>
      <c r="B1084" t="inlineStr">
        <is>
          <t>avverkningsanmälan</t>
        </is>
      </c>
      <c r="C1084" t="inlineStr">
        <is>
          <t>Föryngringsavverkning</t>
        </is>
      </c>
      <c r="D1084" s="1" t="n">
        <v>46062</v>
      </c>
      <c r="E1084" s="1" t="n">
        <v>46272</v>
      </c>
      <c r="F1084" t="inlineStr">
        <is>
          <t>GÄVLEBORGS LÄN</t>
        </is>
      </c>
      <c r="G1084" t="inlineStr">
        <is>
          <t>HUDIKSVALL</t>
        </is>
      </c>
      <c r="I1084" t="n">
        <v>1.5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t="n">
        <v>0</v>
      </c>
      <c r="S1084" t="n">
        <v>0</v>
      </c>
      <c r="T1084" t="n">
        <v>0</v>
      </c>
      <c r="U1084" t="n">
        <v>0</v>
      </c>
      <c r="V1084" s="2" t="inlineStr"/>
    </row>
    <row r="1085" ht="15" customHeight="1">
      <c r="A1085" t="inlineStr">
        <is>
          <t>A 8754-2023</t>
        </is>
      </c>
      <c r="B1085" t="inlineStr">
        <is>
          <t>avverkningsanmälan</t>
        </is>
      </c>
      <c r="C1085" t="inlineStr">
        <is>
          <t>Föryngringsavverkning</t>
        </is>
      </c>
      <c r="D1085" s="1" t="n">
        <v>44978</v>
      </c>
      <c r="E1085" s="1" t="n">
        <v>46272</v>
      </c>
      <c r="F1085" t="inlineStr">
        <is>
          <t>GÄVLEBORGS LÄN</t>
        </is>
      </c>
      <c r="G1085" t="inlineStr">
        <is>
          <t>HUDIKSVALL</t>
        </is>
      </c>
      <c r="I1085" t="n">
        <v>0.6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t="n">
        <v>0</v>
      </c>
      <c r="S1085" t="n">
        <v>0</v>
      </c>
      <c r="T1085" t="n">
        <v>0</v>
      </c>
      <c r="U1085" t="n">
        <v>0</v>
      </c>
      <c r="V1085" s="2" t="inlineStr"/>
    </row>
    <row r="1086" ht="15" customHeight="1">
      <c r="A1086" t="inlineStr">
        <is>
          <t>A 12429-2026</t>
        </is>
      </c>
      <c r="B1086" t="inlineStr">
        <is>
          <t>avverkningsanmälan</t>
        </is>
      </c>
      <c r="C1086" t="inlineStr">
        <is>
          <t>Föryngringsavverkning</t>
        </is>
      </c>
      <c r="D1086" s="1" t="n">
        <v>46090</v>
      </c>
      <c r="E1086" s="1" t="n">
        <v>46272</v>
      </c>
      <c r="F1086" t="inlineStr">
        <is>
          <t>GÄVLEBORGS LÄN</t>
        </is>
      </c>
      <c r="G1086" t="inlineStr">
        <is>
          <t>HUDIKSVALL</t>
        </is>
      </c>
      <c r="H1086" t="inlineStr">
        <is>
          <t>Holmen skog AB</t>
        </is>
      </c>
      <c r="I1086" t="n">
        <v>1.1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t="n">
        <v>0</v>
      </c>
      <c r="S1086" t="n">
        <v>0</v>
      </c>
      <c r="T1086" t="n">
        <v>0</v>
      </c>
      <c r="U1086" t="n">
        <v>0</v>
      </c>
      <c r="V1086" s="2" t="inlineStr"/>
    </row>
    <row r="1087" ht="15" customHeight="1">
      <c r="A1087" t="inlineStr">
        <is>
          <t>A 11478-2026</t>
        </is>
      </c>
      <c r="B1087" t="inlineStr">
        <is>
          <t>avverkningsanmälan</t>
        </is>
      </c>
      <c r="C1087" t="inlineStr">
        <is>
          <t>Föryngringsavverkning</t>
        </is>
      </c>
      <c r="D1087" s="1" t="n">
        <v>46083</v>
      </c>
      <c r="E1087" s="1" t="n">
        <v>46272</v>
      </c>
      <c r="F1087" t="inlineStr">
        <is>
          <t>GÄVLEBORGS LÄN</t>
        </is>
      </c>
      <c r="G1087" t="inlineStr">
        <is>
          <t>HUDIKSVALL</t>
        </is>
      </c>
      <c r="H1087" t="inlineStr">
        <is>
          <t>Holmen skog AB</t>
        </is>
      </c>
      <c r="I1087" t="n">
        <v>3.7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t="n">
        <v>0</v>
      </c>
      <c r="S1087" t="n">
        <v>0</v>
      </c>
      <c r="T1087" t="n">
        <v>0</v>
      </c>
      <c r="U1087" t="n">
        <v>0</v>
      </c>
      <c r="V1087" s="2" t="inlineStr"/>
    </row>
    <row r="1088" ht="15" customHeight="1">
      <c r="A1088" t="inlineStr">
        <is>
          <t>A 8137-2023</t>
        </is>
      </c>
      <c r="B1088" t="inlineStr">
        <is>
          <t>avverkningsanmälan</t>
        </is>
      </c>
      <c r="C1088" t="inlineStr">
        <is>
          <t>Föryngringsavverkning</t>
        </is>
      </c>
      <c r="D1088" s="1" t="n">
        <v>44974</v>
      </c>
      <c r="E1088" s="1" t="n">
        <v>46272</v>
      </c>
      <c r="F1088" t="inlineStr">
        <is>
          <t>GÄVLEBORGS LÄN</t>
        </is>
      </c>
      <c r="G1088" t="inlineStr">
        <is>
          <t>HUDIKSVALL</t>
        </is>
      </c>
      <c r="I1088" t="n">
        <v>0.4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t="n">
        <v>0</v>
      </c>
      <c r="S1088" t="n">
        <v>0</v>
      </c>
      <c r="T1088" t="n">
        <v>0</v>
      </c>
      <c r="U1088" t="n">
        <v>0</v>
      </c>
      <c r="V1088" s="2" t="inlineStr"/>
    </row>
    <row r="1089" ht="15" customHeight="1">
      <c r="A1089" t="inlineStr">
        <is>
          <t>A 53977-2025</t>
        </is>
      </c>
      <c r="B1089" t="inlineStr">
        <is>
          <t>avverkningsanmälan</t>
        </is>
      </c>
      <c r="C1089" t="inlineStr">
        <is>
          <t>Föryngringsavverkning</t>
        </is>
      </c>
      <c r="D1089" s="1" t="n">
        <v>45961</v>
      </c>
      <c r="E1089" s="1" t="n">
        <v>46272</v>
      </c>
      <c r="F1089" t="inlineStr">
        <is>
          <t>GÄVLEBORGS LÄN</t>
        </is>
      </c>
      <c r="G1089" t="inlineStr">
        <is>
          <t>HUDIKSVALL</t>
        </is>
      </c>
      <c r="H1089" t="inlineStr">
        <is>
          <t>Naturvårdsverket</t>
        </is>
      </c>
      <c r="I1089" t="n">
        <v>9.5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t="n">
        <v>0</v>
      </c>
      <c r="S1089" t="n">
        <v>0</v>
      </c>
      <c r="T1089" t="n">
        <v>0</v>
      </c>
      <c r="U1089" t="n">
        <v>0</v>
      </c>
      <c r="V1089" s="2" t="inlineStr"/>
    </row>
    <row r="1090" ht="15" customHeight="1">
      <c r="A1090" t="inlineStr">
        <is>
          <t>A 1556-2026</t>
        </is>
      </c>
      <c r="B1090" t="inlineStr">
        <is>
          <t>avverkningsanmälan</t>
        </is>
      </c>
      <c r="C1090" t="inlineStr">
        <is>
          <t>Föryngringsavverkning</t>
        </is>
      </c>
      <c r="D1090" s="1" t="n">
        <v>46034</v>
      </c>
      <c r="E1090" s="1" t="n">
        <v>46272</v>
      </c>
      <c r="F1090" t="inlineStr">
        <is>
          <t>GÄVLEBORGS LÄN</t>
        </is>
      </c>
      <c r="G1090" t="inlineStr">
        <is>
          <t>HUDIKSVALL</t>
        </is>
      </c>
      <c r="I1090" t="n">
        <v>1.4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t="n">
        <v>0</v>
      </c>
      <c r="S1090" t="n">
        <v>0</v>
      </c>
      <c r="T1090" t="n">
        <v>0</v>
      </c>
      <c r="U1090" t="n">
        <v>0</v>
      </c>
      <c r="V1090" s="2" t="inlineStr"/>
    </row>
    <row r="1091" ht="15" customHeight="1">
      <c r="A1091" t="inlineStr">
        <is>
          <t>A 56637-2022</t>
        </is>
      </c>
      <c r="B1091" t="inlineStr">
        <is>
          <t>avverkningsanmälan</t>
        </is>
      </c>
      <c r="C1091" t="inlineStr">
        <is>
          <t>Föryngringsavverkning</t>
        </is>
      </c>
      <c r="D1091" s="1" t="n">
        <v>44893</v>
      </c>
      <c r="E1091" s="1" t="n">
        <v>46272</v>
      </c>
      <c r="F1091" t="inlineStr">
        <is>
          <t>GÄVLEBORGS LÄN</t>
        </is>
      </c>
      <c r="G1091" t="inlineStr">
        <is>
          <t>HUDIKSVALL</t>
        </is>
      </c>
      <c r="H1091" t="inlineStr">
        <is>
          <t>Holmen skog AB</t>
        </is>
      </c>
      <c r="I1091" t="n">
        <v>0.8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t="n">
        <v>0</v>
      </c>
      <c r="S1091" t="n">
        <v>0</v>
      </c>
      <c r="T1091" t="n">
        <v>0</v>
      </c>
      <c r="U1091" t="n">
        <v>0</v>
      </c>
      <c r="V1091" s="2" t="inlineStr"/>
    </row>
    <row r="1092" ht="15" customHeight="1">
      <c r="A1092" t="inlineStr">
        <is>
          <t>A 12580-2026</t>
        </is>
      </c>
      <c r="B1092" t="inlineStr">
        <is>
          <t>avverkningsanmälan</t>
        </is>
      </c>
      <c r="C1092" t="inlineStr">
        <is>
          <t>Föryngringsavverkning</t>
        </is>
      </c>
      <c r="D1092" s="1" t="n">
        <v>46090</v>
      </c>
      <c r="E1092" s="1" t="n">
        <v>46272</v>
      </c>
      <c r="F1092" t="inlineStr">
        <is>
          <t>GÄVLEBORGS LÄN</t>
        </is>
      </c>
      <c r="G1092" t="inlineStr">
        <is>
          <t>HUDIKSVALL</t>
        </is>
      </c>
      <c r="H1092" t="inlineStr">
        <is>
          <t>Holmen skog AB</t>
        </is>
      </c>
      <c r="I1092" t="n">
        <v>0.8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t="n">
        <v>0</v>
      </c>
      <c r="S1092" t="n">
        <v>0</v>
      </c>
      <c r="T1092" t="n">
        <v>0</v>
      </c>
      <c r="U1092" t="n">
        <v>0</v>
      </c>
      <c r="V1092" s="2" t="inlineStr"/>
    </row>
    <row r="1093" ht="15" customHeight="1">
      <c r="A1093" t="inlineStr">
        <is>
          <t>A 9582-2026</t>
        </is>
      </c>
      <c r="B1093" t="inlineStr">
        <is>
          <t>avverkningsanmälan</t>
        </is>
      </c>
      <c r="C1093" t="inlineStr">
        <is>
          <t>Föryngringsavverkning</t>
        </is>
      </c>
      <c r="D1093" s="1" t="n">
        <v>46071</v>
      </c>
      <c r="E1093" s="1" t="n">
        <v>46272</v>
      </c>
      <c r="F1093" t="inlineStr">
        <is>
          <t>GÄVLEBORGS LÄN</t>
        </is>
      </c>
      <c r="G1093" t="inlineStr">
        <is>
          <t>HUDIKSVALL</t>
        </is>
      </c>
      <c r="I1093" t="n">
        <v>6.2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t="n">
        <v>0</v>
      </c>
      <c r="S1093" t="n">
        <v>0</v>
      </c>
      <c r="T1093" t="n">
        <v>0</v>
      </c>
      <c r="U1093" t="n">
        <v>0</v>
      </c>
      <c r="V1093" s="2" t="inlineStr"/>
    </row>
    <row r="1094" ht="15" customHeight="1">
      <c r="A1094" t="inlineStr">
        <is>
          <t>A 61938-2022</t>
        </is>
      </c>
      <c r="B1094" t="inlineStr">
        <is>
          <t>avverkningsanmälan</t>
        </is>
      </c>
      <c r="C1094" t="inlineStr">
        <is>
          <t>Föryngringsavverkning</t>
        </is>
      </c>
      <c r="D1094" s="1" t="n">
        <v>44918</v>
      </c>
      <c r="E1094" s="1" t="n">
        <v>46272</v>
      </c>
      <c r="F1094" t="inlineStr">
        <is>
          <t>GÄVLEBORGS LÄN</t>
        </is>
      </c>
      <c r="G1094" t="inlineStr">
        <is>
          <t>HUDIKSVALL</t>
        </is>
      </c>
      <c r="I1094" t="n">
        <v>0.8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t="n">
        <v>0</v>
      </c>
      <c r="S1094" t="n">
        <v>0</v>
      </c>
      <c r="T1094" t="n">
        <v>0</v>
      </c>
      <c r="U1094" t="n">
        <v>0</v>
      </c>
      <c r="V1094" s="2" t="inlineStr"/>
    </row>
    <row r="1095" ht="15" customHeight="1">
      <c r="A1095" t="inlineStr">
        <is>
          <t>A 48448-2025</t>
        </is>
      </c>
      <c r="B1095" t="inlineStr">
        <is>
          <t>avverkningsanmälan</t>
        </is>
      </c>
      <c r="C1095" t="inlineStr">
        <is>
          <t>Föryngringsavverkning</t>
        </is>
      </c>
      <c r="D1095" s="1" t="n">
        <v>45935</v>
      </c>
      <c r="E1095" s="1" t="n">
        <v>46272</v>
      </c>
      <c r="F1095" t="inlineStr">
        <is>
          <t>GÄVLEBORGS LÄN</t>
        </is>
      </c>
      <c r="G1095" t="inlineStr">
        <is>
          <t>HUDIKSVALL</t>
        </is>
      </c>
      <c r="I1095" t="n">
        <v>2.3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t="n">
        <v>0</v>
      </c>
      <c r="S1095" t="n">
        <v>0</v>
      </c>
      <c r="T1095" t="n">
        <v>0</v>
      </c>
      <c r="U1095" t="n">
        <v>0</v>
      </c>
      <c r="V1095" s="2" t="inlineStr"/>
    </row>
    <row r="1096" ht="15" customHeight="1">
      <c r="A1096" t="inlineStr">
        <is>
          <t>A 8778-2026</t>
        </is>
      </c>
      <c r="B1096" t="inlineStr">
        <is>
          <t>avverkningsanmälan</t>
        </is>
      </c>
      <c r="C1096" t="inlineStr">
        <is>
          <t>Föryngringsavverkning</t>
        </is>
      </c>
      <c r="D1096" s="1" t="n">
        <v>46066</v>
      </c>
      <c r="E1096" s="1" t="n">
        <v>46272</v>
      </c>
      <c r="F1096" t="inlineStr">
        <is>
          <t>GÄVLEBORGS LÄN</t>
        </is>
      </c>
      <c r="G1096" t="inlineStr">
        <is>
          <t>HUDIKSVALL</t>
        </is>
      </c>
      <c r="I1096" t="n">
        <v>2.3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t="n">
        <v>0</v>
      </c>
      <c r="S1096" t="n">
        <v>0</v>
      </c>
      <c r="T1096" t="n">
        <v>0</v>
      </c>
      <c r="U1096" t="n">
        <v>0</v>
      </c>
      <c r="V1096" s="2" t="inlineStr"/>
    </row>
    <row r="1097" ht="15" customHeight="1">
      <c r="A1097" t="inlineStr">
        <is>
          <t>A 20458-2026</t>
        </is>
      </c>
      <c r="B1097" t="inlineStr">
        <is>
          <t>avverkningsanmälan</t>
        </is>
      </c>
      <c r="C1097" t="inlineStr">
        <is>
          <t>Föryngringsavverkning</t>
        </is>
      </c>
      <c r="D1097" s="1" t="n">
        <v>46140</v>
      </c>
      <c r="E1097" s="1" t="n">
        <v>46272</v>
      </c>
      <c r="F1097" t="inlineStr">
        <is>
          <t>GÄVLEBORGS LÄN</t>
        </is>
      </c>
      <c r="G1097" t="inlineStr">
        <is>
          <t>HUDIKSVALL</t>
        </is>
      </c>
      <c r="I1097" t="n">
        <v>0.5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t="n">
        <v>0</v>
      </c>
      <c r="S1097" t="n">
        <v>0</v>
      </c>
      <c r="T1097" t="n">
        <v>0</v>
      </c>
      <c r="U1097" t="n">
        <v>0</v>
      </c>
      <c r="V1097" s="2" t="inlineStr"/>
    </row>
    <row r="1098" ht="15" customHeight="1">
      <c r="A1098" t="inlineStr">
        <is>
          <t>A 35737-2023</t>
        </is>
      </c>
      <c r="B1098" t="inlineStr">
        <is>
          <t>avverkningsanmälan</t>
        </is>
      </c>
      <c r="C1098" t="inlineStr">
        <is>
          <t>Föryngringsavverkning</t>
        </is>
      </c>
      <c r="D1098" s="1" t="n">
        <v>45147</v>
      </c>
      <c r="E1098" s="1" t="n">
        <v>46272</v>
      </c>
      <c r="F1098" t="inlineStr">
        <is>
          <t>GÄVLEBORGS LÄN</t>
        </is>
      </c>
      <c r="G1098" t="inlineStr">
        <is>
          <t>HUDIKSVALL</t>
        </is>
      </c>
      <c r="I1098" t="n">
        <v>2.4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t="n">
        <v>0</v>
      </c>
      <c r="S1098" t="n">
        <v>0</v>
      </c>
      <c r="T1098" t="n">
        <v>0</v>
      </c>
      <c r="U1098" t="n">
        <v>0</v>
      </c>
      <c r="V1098" s="2" t="inlineStr"/>
    </row>
    <row r="1099" ht="15" customHeight="1">
      <c r="A1099" t="inlineStr">
        <is>
          <t>A 12392-2026</t>
        </is>
      </c>
      <c r="B1099" t="inlineStr">
        <is>
          <t>avverkningsanmälan</t>
        </is>
      </c>
      <c r="C1099" t="inlineStr">
        <is>
          <t>Föryngringsavverkning</t>
        </is>
      </c>
      <c r="D1099" s="1" t="n">
        <v>46090</v>
      </c>
      <c r="E1099" s="1" t="n">
        <v>46272</v>
      </c>
      <c r="F1099" t="inlineStr">
        <is>
          <t>GÄVLEBORGS LÄN</t>
        </is>
      </c>
      <c r="G1099" t="inlineStr">
        <is>
          <t>HUDIKSVALL</t>
        </is>
      </c>
      <c r="I1099" t="n">
        <v>7.1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t="n">
        <v>0</v>
      </c>
      <c r="S1099" t="n">
        <v>0</v>
      </c>
      <c r="T1099" t="n">
        <v>0</v>
      </c>
      <c r="U1099" t="n">
        <v>0</v>
      </c>
      <c r="V1099" s="2" t="inlineStr"/>
    </row>
    <row r="1100" ht="15" customHeight="1">
      <c r="A1100" t="inlineStr">
        <is>
          <t>A 461-2024</t>
        </is>
      </c>
      <c r="B1100" t="inlineStr">
        <is>
          <t>avverkningsanmälan</t>
        </is>
      </c>
      <c r="C1100" t="inlineStr">
        <is>
          <t>Föryngringsavverkning</t>
        </is>
      </c>
      <c r="D1100" s="1" t="n">
        <v>45297</v>
      </c>
      <c r="E1100" s="1" t="n">
        <v>46272</v>
      </c>
      <c r="F1100" t="inlineStr">
        <is>
          <t>GÄVLEBORGS LÄN</t>
        </is>
      </c>
      <c r="G1100" t="inlineStr">
        <is>
          <t>HUDIKSVALL</t>
        </is>
      </c>
      <c r="I1100" t="n">
        <v>43.2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t="n">
        <v>0</v>
      </c>
      <c r="S1100" t="n">
        <v>0</v>
      </c>
      <c r="T1100" t="n">
        <v>0</v>
      </c>
      <c r="U1100" t="n">
        <v>0</v>
      </c>
      <c r="V1100" s="2" t="inlineStr"/>
    </row>
    <row r="1101" ht="15" customHeight="1">
      <c r="A1101" t="inlineStr">
        <is>
          <t>A 20816-2026</t>
        </is>
      </c>
      <c r="B1101" t="inlineStr">
        <is>
          <t>avverkningsanmälan</t>
        </is>
      </c>
      <c r="C1101" t="inlineStr">
        <is>
          <t>Föryngringsavverkning</t>
        </is>
      </c>
      <c r="D1101" s="1" t="n">
        <v>46141</v>
      </c>
      <c r="E1101" s="1" t="n">
        <v>46272</v>
      </c>
      <c r="F1101" t="inlineStr">
        <is>
          <t>GÄVLEBORGS LÄN</t>
        </is>
      </c>
      <c r="G1101" t="inlineStr">
        <is>
          <t>HUDIKSVALL</t>
        </is>
      </c>
      <c r="I1101" t="n">
        <v>2.8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t="n">
        <v>0</v>
      </c>
      <c r="S1101" t="n">
        <v>0</v>
      </c>
      <c r="T1101" t="n">
        <v>0</v>
      </c>
      <c r="U1101" t="n">
        <v>0</v>
      </c>
      <c r="V1101" s="2" t="inlineStr"/>
    </row>
    <row r="1102" ht="15" customHeight="1">
      <c r="A1102" t="inlineStr">
        <is>
          <t>A 7054-2026</t>
        </is>
      </c>
      <c r="B1102" t="inlineStr">
        <is>
          <t>avverkningsanmälan</t>
        </is>
      </c>
      <c r="C1102" t="inlineStr">
        <is>
          <t>Föryngringsavverkning</t>
        </is>
      </c>
      <c r="D1102" s="1" t="n">
        <v>46057</v>
      </c>
      <c r="E1102" s="1" t="n">
        <v>46272</v>
      </c>
      <c r="F1102" t="inlineStr">
        <is>
          <t>GÄVLEBORGS LÄN</t>
        </is>
      </c>
      <c r="G1102" t="inlineStr">
        <is>
          <t>HUDIKSVALL</t>
        </is>
      </c>
      <c r="H1102" t="inlineStr">
        <is>
          <t>Holmen skog AB</t>
        </is>
      </c>
      <c r="I1102" t="n">
        <v>1.6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t="n">
        <v>0</v>
      </c>
      <c r="S1102" t="n">
        <v>0</v>
      </c>
      <c r="T1102" t="n">
        <v>0</v>
      </c>
      <c r="U1102" t="n">
        <v>0</v>
      </c>
      <c r="V1102" s="2" t="inlineStr"/>
    </row>
    <row r="1103" ht="15" customHeight="1">
      <c r="A1103" t="inlineStr">
        <is>
          <t>A 11735-2026</t>
        </is>
      </c>
      <c r="B1103" t="inlineStr">
        <is>
          <t>avverkningsanmälan</t>
        </is>
      </c>
      <c r="C1103" t="inlineStr">
        <is>
          <t>Föryngringsavverkning</t>
        </is>
      </c>
      <c r="D1103" s="1" t="n">
        <v>46084</v>
      </c>
      <c r="E1103" s="1" t="n">
        <v>46272</v>
      </c>
      <c r="F1103" t="inlineStr">
        <is>
          <t>GÄVLEBORGS LÄN</t>
        </is>
      </c>
      <c r="G1103" t="inlineStr">
        <is>
          <t>HUDIKSVALL</t>
        </is>
      </c>
      <c r="I1103" t="n">
        <v>1.7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t="n">
        <v>0</v>
      </c>
      <c r="S1103" t="n">
        <v>0</v>
      </c>
      <c r="T1103" t="n">
        <v>0</v>
      </c>
      <c r="U1103" t="n">
        <v>0</v>
      </c>
      <c r="V1103" s="2" t="inlineStr"/>
    </row>
    <row r="1104" ht="15" customHeight="1">
      <c r="A1104" t="inlineStr">
        <is>
          <t>A 20638-2026</t>
        </is>
      </c>
      <c r="B1104" t="inlineStr">
        <is>
          <t>avverkningsanmälan</t>
        </is>
      </c>
      <c r="C1104" t="inlineStr">
        <is>
          <t>Föryngringsavverkning</t>
        </is>
      </c>
      <c r="D1104" s="1" t="n">
        <v>46141</v>
      </c>
      <c r="E1104" s="1" t="n">
        <v>46272</v>
      </c>
      <c r="F1104" t="inlineStr">
        <is>
          <t>GÄVLEBORGS LÄN</t>
        </is>
      </c>
      <c r="G1104" t="inlineStr">
        <is>
          <t>HUDIKSVALL</t>
        </is>
      </c>
      <c r="H1104" t="inlineStr">
        <is>
          <t>Holmen skog AB</t>
        </is>
      </c>
      <c r="I1104" t="n">
        <v>2.1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t="n">
        <v>0</v>
      </c>
      <c r="S1104" t="n">
        <v>0</v>
      </c>
      <c r="T1104" t="n">
        <v>0</v>
      </c>
      <c r="U1104" t="n">
        <v>0</v>
      </c>
      <c r="V1104" s="2" t="inlineStr"/>
    </row>
    <row r="1105" ht="15" customHeight="1">
      <c r="A1105" t="inlineStr">
        <is>
          <t>A 43665-2023</t>
        </is>
      </c>
      <c r="B1105" t="inlineStr">
        <is>
          <t>avverkningsanmälan</t>
        </is>
      </c>
      <c r="C1105" t="inlineStr">
        <is>
          <t>Föryngringsavverkning</t>
        </is>
      </c>
      <c r="D1105" s="1" t="n">
        <v>45187</v>
      </c>
      <c r="E1105" s="1" t="n">
        <v>46272</v>
      </c>
      <c r="F1105" t="inlineStr">
        <is>
          <t>GÄVLEBORGS LÄN</t>
        </is>
      </c>
      <c r="G1105" t="inlineStr">
        <is>
          <t>HUDIKSVALL</t>
        </is>
      </c>
      <c r="H1105" t="inlineStr">
        <is>
          <t>Holmen skog AB</t>
        </is>
      </c>
      <c r="I1105" t="n">
        <v>8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t="n">
        <v>0</v>
      </c>
      <c r="S1105" t="n">
        <v>0</v>
      </c>
      <c r="T1105" t="n">
        <v>0</v>
      </c>
      <c r="U1105" t="n">
        <v>0</v>
      </c>
      <c r="V1105" s="2" t="inlineStr"/>
    </row>
    <row r="1106" ht="15" customHeight="1">
      <c r="A1106" t="inlineStr">
        <is>
          <t>A 4279-2026</t>
        </is>
      </c>
      <c r="B1106" t="inlineStr">
        <is>
          <t>avverkningsanmälan</t>
        </is>
      </c>
      <c r="C1106" t="inlineStr">
        <is>
          <t>Föryngringsavverkning</t>
        </is>
      </c>
      <c r="D1106" s="1" t="n">
        <v>46045</v>
      </c>
      <c r="E1106" s="1" t="n">
        <v>46272</v>
      </c>
      <c r="F1106" t="inlineStr">
        <is>
          <t>GÄVLEBORGS LÄN</t>
        </is>
      </c>
      <c r="G1106" t="inlineStr">
        <is>
          <t>HUDIKSVALL</t>
        </is>
      </c>
      <c r="I1106" t="n">
        <v>1.6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t="n">
        <v>0</v>
      </c>
      <c r="S1106" t="n">
        <v>0</v>
      </c>
      <c r="T1106" t="n">
        <v>0</v>
      </c>
      <c r="U1106" t="n">
        <v>0</v>
      </c>
      <c r="V1106" s="2" t="inlineStr"/>
    </row>
    <row r="1107" ht="15" customHeight="1">
      <c r="A1107" t="inlineStr">
        <is>
          <t>A 21251-2023</t>
        </is>
      </c>
      <c r="B1107" t="inlineStr">
        <is>
          <t>avverkningsanmälan</t>
        </is>
      </c>
      <c r="C1107" t="inlineStr">
        <is>
          <t>Avverkning för annat ändamål</t>
        </is>
      </c>
      <c r="D1107" s="1" t="n">
        <v>45062</v>
      </c>
      <c r="E1107" s="1" t="n">
        <v>46272</v>
      </c>
      <c r="F1107" t="inlineStr">
        <is>
          <t>GÄVLEBORGS LÄN</t>
        </is>
      </c>
      <c r="G1107" t="inlineStr">
        <is>
          <t>HUDIKSVALL</t>
        </is>
      </c>
      <c r="I1107" t="n">
        <v>0.6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t="n">
        <v>0</v>
      </c>
      <c r="S1107" t="n">
        <v>0</v>
      </c>
      <c r="T1107" t="n">
        <v>0</v>
      </c>
      <c r="U1107" t="n">
        <v>0</v>
      </c>
      <c r="V1107" s="2" t="inlineStr"/>
    </row>
    <row r="1108" ht="15" customHeight="1">
      <c r="A1108" t="inlineStr">
        <is>
          <t>A 95-2026</t>
        </is>
      </c>
      <c r="B1108" t="inlineStr">
        <is>
          <t>avverkningsanmälan</t>
        </is>
      </c>
      <c r="C1108" t="inlineStr">
        <is>
          <t>Föryngringsavverkning</t>
        </is>
      </c>
      <c r="D1108" s="1" t="n">
        <v>46024</v>
      </c>
      <c r="E1108" s="1" t="n">
        <v>46272</v>
      </c>
      <c r="F1108" t="inlineStr">
        <is>
          <t>GÄVLEBORGS LÄN</t>
        </is>
      </c>
      <c r="G1108" t="inlineStr">
        <is>
          <t>HUDIKSVALL</t>
        </is>
      </c>
      <c r="I1108" t="n">
        <v>1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t="n">
        <v>0</v>
      </c>
      <c r="S1108" t="n">
        <v>0</v>
      </c>
      <c r="T1108" t="n">
        <v>0</v>
      </c>
      <c r="U1108" t="n">
        <v>0</v>
      </c>
      <c r="V1108" s="2" t="inlineStr"/>
    </row>
    <row r="1109" ht="15" customHeight="1">
      <c r="A1109" t="inlineStr">
        <is>
          <t>A 18828-2024</t>
        </is>
      </c>
      <c r="B1109" t="inlineStr">
        <is>
          <t>avverkningsanmälan</t>
        </is>
      </c>
      <c r="C1109" t="inlineStr">
        <is>
          <t>Föryngringsavverkning</t>
        </is>
      </c>
      <c r="D1109" s="1" t="n">
        <v>45426</v>
      </c>
      <c r="E1109" s="1" t="n">
        <v>46272</v>
      </c>
      <c r="F1109" t="inlineStr">
        <is>
          <t>GÄVLEBORGS LÄN</t>
        </is>
      </c>
      <c r="G1109" t="inlineStr">
        <is>
          <t>HUDIKSVALL</t>
        </is>
      </c>
      <c r="I1109" t="n">
        <v>0.6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t="n">
        <v>0</v>
      </c>
      <c r="S1109" t="n">
        <v>0</v>
      </c>
      <c r="T1109" t="n">
        <v>0</v>
      </c>
      <c r="U1109" t="n">
        <v>0</v>
      </c>
      <c r="V1109" s="2" t="inlineStr"/>
    </row>
    <row r="1110" ht="15" customHeight="1">
      <c r="A1110" t="inlineStr">
        <is>
          <t>A 4217-2026</t>
        </is>
      </c>
      <c r="B1110" t="inlineStr">
        <is>
          <t>avverkningsanmälan</t>
        </is>
      </c>
      <c r="C1110" t="inlineStr">
        <is>
          <t>Föryngringsavverkning</t>
        </is>
      </c>
      <c r="D1110" s="1" t="n">
        <v>46044</v>
      </c>
      <c r="E1110" s="1" t="n">
        <v>46272</v>
      </c>
      <c r="F1110" t="inlineStr">
        <is>
          <t>GÄVLEBORGS LÄN</t>
        </is>
      </c>
      <c r="G1110" t="inlineStr">
        <is>
          <t>HUDIKSVALL</t>
        </is>
      </c>
      <c r="I1110" t="n">
        <v>4.6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t="n">
        <v>0</v>
      </c>
      <c r="S1110" t="n">
        <v>0</v>
      </c>
      <c r="T1110" t="n">
        <v>0</v>
      </c>
      <c r="U1110" t="n">
        <v>0</v>
      </c>
      <c r="V1110" s="2" t="inlineStr"/>
    </row>
    <row r="1111" ht="15" customHeight="1">
      <c r="A1111" t="inlineStr">
        <is>
          <t>A 10157-2026</t>
        </is>
      </c>
      <c r="B1111" t="inlineStr">
        <is>
          <t>avverkningsanmälan</t>
        </is>
      </c>
      <c r="C1111" t="inlineStr">
        <is>
          <t>Föryngringsavverkning</t>
        </is>
      </c>
      <c r="D1111" s="1" t="n">
        <v>46076</v>
      </c>
      <c r="E1111" s="1" t="n">
        <v>46272</v>
      </c>
      <c r="F1111" t="inlineStr">
        <is>
          <t>GÄVLEBORGS LÄN</t>
        </is>
      </c>
      <c r="G1111" t="inlineStr">
        <is>
          <t>HUDIKSVALL</t>
        </is>
      </c>
      <c r="H1111" t="inlineStr">
        <is>
          <t>Holmen skog AB</t>
        </is>
      </c>
      <c r="I1111" t="n">
        <v>2.4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t="n">
        <v>0</v>
      </c>
      <c r="S1111" t="n">
        <v>0</v>
      </c>
      <c r="T1111" t="n">
        <v>0</v>
      </c>
      <c r="U1111" t="n">
        <v>0</v>
      </c>
      <c r="V1111" s="2" t="inlineStr"/>
    </row>
    <row r="1112" ht="15" customHeight="1">
      <c r="A1112" t="inlineStr">
        <is>
          <t>A 20411-2026</t>
        </is>
      </c>
      <c r="B1112" t="inlineStr">
        <is>
          <t>avverkningsanmälan</t>
        </is>
      </c>
      <c r="C1112" t="inlineStr">
        <is>
          <t>Föryngringsavverkning</t>
        </is>
      </c>
      <c r="D1112" s="1" t="n">
        <v>46140</v>
      </c>
      <c r="E1112" s="1" t="n">
        <v>46272</v>
      </c>
      <c r="F1112" t="inlineStr">
        <is>
          <t>GÄVLEBORGS LÄN</t>
        </is>
      </c>
      <c r="G1112" t="inlineStr">
        <is>
          <t>HUDIKSVALL</t>
        </is>
      </c>
      <c r="I1112" t="n">
        <v>2.6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t="n">
        <v>0</v>
      </c>
      <c r="S1112" t="n">
        <v>0</v>
      </c>
      <c r="T1112" t="n">
        <v>0</v>
      </c>
      <c r="U1112" t="n">
        <v>0</v>
      </c>
      <c r="V1112" s="2" t="inlineStr"/>
    </row>
    <row r="1113" ht="15" customHeight="1">
      <c r="A1113" t="inlineStr">
        <is>
          <t>A 20791-2026</t>
        </is>
      </c>
      <c r="B1113" t="inlineStr">
        <is>
          <t>avverkningsanmälan</t>
        </is>
      </c>
      <c r="C1113" t="inlineStr">
        <is>
          <t>Föryngringsavverkning</t>
        </is>
      </c>
      <c r="D1113" s="1" t="n">
        <v>46141</v>
      </c>
      <c r="E1113" s="1" t="n">
        <v>46272</v>
      </c>
      <c r="F1113" t="inlineStr">
        <is>
          <t>GÄVLEBORGS LÄN</t>
        </is>
      </c>
      <c r="G1113" t="inlineStr">
        <is>
          <t>HUDIKSVALL</t>
        </is>
      </c>
      <c r="I1113" t="n">
        <v>2.5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t="n">
        <v>0</v>
      </c>
      <c r="S1113" t="n">
        <v>0</v>
      </c>
      <c r="T1113" t="n">
        <v>0</v>
      </c>
      <c r="U1113" t="n">
        <v>0</v>
      </c>
      <c r="V1113" s="2" t="inlineStr"/>
    </row>
    <row r="1114" ht="15" customHeight="1">
      <c r="A1114" t="inlineStr">
        <is>
          <t>A 20825-2026</t>
        </is>
      </c>
      <c r="B1114" t="inlineStr">
        <is>
          <t>avverkningsanmälan</t>
        </is>
      </c>
      <c r="C1114" t="inlineStr">
        <is>
          <t>Föryngringsavverkning</t>
        </is>
      </c>
      <c r="D1114" s="1" t="n">
        <v>46141</v>
      </c>
      <c r="E1114" s="1" t="n">
        <v>46272</v>
      </c>
      <c r="F1114" t="inlineStr">
        <is>
          <t>GÄVLEBORGS LÄN</t>
        </is>
      </c>
      <c r="G1114" t="inlineStr">
        <is>
          <t>HUDIKSVALL</t>
        </is>
      </c>
      <c r="I1114" t="n">
        <v>1.3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t="n">
        <v>0</v>
      </c>
      <c r="S1114" t="n">
        <v>0</v>
      </c>
      <c r="T1114" t="n">
        <v>0</v>
      </c>
      <c r="U1114" t="n">
        <v>0</v>
      </c>
      <c r="V1114" s="2" t="inlineStr"/>
    </row>
    <row r="1115" ht="15" customHeight="1">
      <c r="A1115" t="inlineStr">
        <is>
          <t>A 43496-2025</t>
        </is>
      </c>
      <c r="B1115" t="inlineStr">
        <is>
          <t>avverkningsanmälan</t>
        </is>
      </c>
      <c r="C1115" t="inlineStr">
        <is>
          <t>Föryngringsavverkning</t>
        </is>
      </c>
      <c r="D1115" s="1" t="n">
        <v>45911</v>
      </c>
      <c r="E1115" s="1" t="n">
        <v>46272</v>
      </c>
      <c r="F1115" t="inlineStr">
        <is>
          <t>GÄVLEBORGS LÄN</t>
        </is>
      </c>
      <c r="G1115" t="inlineStr">
        <is>
          <t>HUDIKSVALL</t>
        </is>
      </c>
      <c r="H1115" t="inlineStr">
        <is>
          <t>Naturvårdsverket</t>
        </is>
      </c>
      <c r="I1115" t="n">
        <v>2.4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t="n">
        <v>0</v>
      </c>
      <c r="S1115" t="n">
        <v>0</v>
      </c>
      <c r="T1115" t="n">
        <v>0</v>
      </c>
      <c r="U1115" t="n">
        <v>0</v>
      </c>
      <c r="V1115" s="2" t="inlineStr"/>
    </row>
    <row r="1116" ht="15" customHeight="1">
      <c r="A1116" t="inlineStr">
        <is>
          <t>A 7298-2026</t>
        </is>
      </c>
      <c r="B1116" t="inlineStr">
        <is>
          <t>avverkningsanmälan</t>
        </is>
      </c>
      <c r="C1116" t="inlineStr">
        <is>
          <t>Föryngringsavverkning</t>
        </is>
      </c>
      <c r="D1116" s="1" t="n">
        <v>46058</v>
      </c>
      <c r="E1116" s="1" t="n">
        <v>46272</v>
      </c>
      <c r="F1116" t="inlineStr">
        <is>
          <t>GÄVLEBORGS LÄN</t>
        </is>
      </c>
      <c r="G1116" t="inlineStr">
        <is>
          <t>HUDIKSVALL</t>
        </is>
      </c>
      <c r="I1116" t="n">
        <v>0.8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t="n">
        <v>0</v>
      </c>
      <c r="S1116" t="n">
        <v>0</v>
      </c>
      <c r="T1116" t="n">
        <v>0</v>
      </c>
      <c r="U1116" t="n">
        <v>0</v>
      </c>
      <c r="V1116" s="2" t="inlineStr"/>
    </row>
    <row r="1117" ht="15" customHeight="1">
      <c r="A1117" t="inlineStr">
        <is>
          <t>A 20728-2026</t>
        </is>
      </c>
      <c r="B1117" t="inlineStr">
        <is>
          <t>avverkningsanmälan</t>
        </is>
      </c>
      <c r="C1117" t="inlineStr">
        <is>
          <t>Föryngringsavverkning</t>
        </is>
      </c>
      <c r="D1117" s="1" t="n">
        <v>46141</v>
      </c>
      <c r="E1117" s="1" t="n">
        <v>46272</v>
      </c>
      <c r="F1117" t="inlineStr">
        <is>
          <t>GÄVLEBORGS LÄN</t>
        </is>
      </c>
      <c r="G1117" t="inlineStr">
        <is>
          <t>HUDIKSVALL</t>
        </is>
      </c>
      <c r="I1117" t="n">
        <v>6.1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t="n">
        <v>0</v>
      </c>
      <c r="S1117" t="n">
        <v>0</v>
      </c>
      <c r="T1117" t="n">
        <v>0</v>
      </c>
      <c r="U1117" t="n">
        <v>0</v>
      </c>
      <c r="V1117" s="2" t="inlineStr"/>
    </row>
    <row r="1118" ht="15" customHeight="1">
      <c r="A1118" t="inlineStr">
        <is>
          <t>A 12312-2026</t>
        </is>
      </c>
      <c r="B1118" t="inlineStr">
        <is>
          <t>avverkningsanmälan</t>
        </is>
      </c>
      <c r="C1118" t="inlineStr">
        <is>
          <t>Föryngringsavverkning</t>
        </is>
      </c>
      <c r="D1118" s="1" t="n">
        <v>46087</v>
      </c>
      <c r="E1118" s="1" t="n">
        <v>46272</v>
      </c>
      <c r="F1118" t="inlineStr">
        <is>
          <t>GÄVLEBORGS LÄN</t>
        </is>
      </c>
      <c r="G1118" t="inlineStr">
        <is>
          <t>HUDIKSVALL</t>
        </is>
      </c>
      <c r="H1118" t="inlineStr">
        <is>
          <t>Kyrkan</t>
        </is>
      </c>
      <c r="I1118" t="n">
        <v>4.6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t="n">
        <v>0</v>
      </c>
      <c r="S1118" t="n">
        <v>0</v>
      </c>
      <c r="T1118" t="n">
        <v>0</v>
      </c>
      <c r="U1118" t="n">
        <v>0</v>
      </c>
      <c r="V1118" s="2" t="inlineStr"/>
    </row>
    <row r="1119" ht="15" customHeight="1">
      <c r="A1119" t="inlineStr">
        <is>
          <t>A 20805-2026</t>
        </is>
      </c>
      <c r="B1119" t="inlineStr">
        <is>
          <t>avverkningsanmälan</t>
        </is>
      </c>
      <c r="C1119" t="inlineStr">
        <is>
          <t>Föryngringsavverkning</t>
        </is>
      </c>
      <c r="D1119" s="1" t="n">
        <v>46141</v>
      </c>
      <c r="E1119" s="1" t="n">
        <v>46272</v>
      </c>
      <c r="F1119" t="inlineStr">
        <is>
          <t>GÄVLEBORGS LÄN</t>
        </is>
      </c>
      <c r="G1119" t="inlineStr">
        <is>
          <t>HUDIKSVALL</t>
        </is>
      </c>
      <c r="I1119" t="n">
        <v>1.2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t="n">
        <v>0</v>
      </c>
      <c r="S1119" t="n">
        <v>0</v>
      </c>
      <c r="T1119" t="n">
        <v>0</v>
      </c>
      <c r="U1119" t="n">
        <v>0</v>
      </c>
      <c r="V1119" s="2" t="inlineStr"/>
    </row>
    <row r="1120" ht="15" customHeight="1">
      <c r="A1120" t="inlineStr">
        <is>
          <t>A 20921-2026</t>
        </is>
      </c>
      <c r="B1120" t="inlineStr">
        <is>
          <t>avverkningsanmälan</t>
        </is>
      </c>
      <c r="C1120" t="inlineStr">
        <is>
          <t>Föryngringsavverkning</t>
        </is>
      </c>
      <c r="D1120" s="1" t="n">
        <v>46142</v>
      </c>
      <c r="E1120" s="1" t="n">
        <v>46272</v>
      </c>
      <c r="F1120" t="inlineStr">
        <is>
          <t>GÄVLEBORGS LÄN</t>
        </is>
      </c>
      <c r="G1120" t="inlineStr">
        <is>
          <t>HUDIKSVALL</t>
        </is>
      </c>
      <c r="I1120" t="n">
        <v>1.4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t="n">
        <v>0</v>
      </c>
      <c r="S1120" t="n">
        <v>0</v>
      </c>
      <c r="T1120" t="n">
        <v>0</v>
      </c>
      <c r="U1120" t="n">
        <v>0</v>
      </c>
      <c r="V1120" s="2" t="inlineStr"/>
    </row>
    <row r="1121" ht="15" customHeight="1">
      <c r="A1121" t="inlineStr">
        <is>
          <t>A 20964-2026</t>
        </is>
      </c>
      <c r="B1121" t="inlineStr">
        <is>
          <t>avverkningsanmälan</t>
        </is>
      </c>
      <c r="C1121" t="inlineStr">
        <is>
          <t>Föryngringsavverkning</t>
        </is>
      </c>
      <c r="D1121" s="1" t="n">
        <v>46142</v>
      </c>
      <c r="E1121" s="1" t="n">
        <v>46272</v>
      </c>
      <c r="F1121" t="inlineStr">
        <is>
          <t>GÄVLEBORGS LÄN</t>
        </is>
      </c>
      <c r="G1121" t="inlineStr">
        <is>
          <t>HUDIKSVALL</t>
        </is>
      </c>
      <c r="H1121" t="inlineStr">
        <is>
          <t>Holmen skog AB</t>
        </is>
      </c>
      <c r="I1121" t="n">
        <v>1.9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t="n">
        <v>0</v>
      </c>
      <c r="S1121" t="n">
        <v>0</v>
      </c>
      <c r="T1121" t="n">
        <v>0</v>
      </c>
      <c r="U1121" t="n">
        <v>0</v>
      </c>
      <c r="V1121" s="2" t="inlineStr"/>
    </row>
    <row r="1122" ht="15" customHeight="1">
      <c r="A1122" t="inlineStr">
        <is>
          <t>A 32631-2024</t>
        </is>
      </c>
      <c r="B1122" t="inlineStr">
        <is>
          <t>avverkningsanmälan</t>
        </is>
      </c>
      <c r="C1122" t="inlineStr">
        <is>
          <t>Föryngringsavverkning</t>
        </is>
      </c>
      <c r="D1122" s="1" t="n">
        <v>45513</v>
      </c>
      <c r="E1122" s="1" t="n">
        <v>46272</v>
      </c>
      <c r="F1122" t="inlineStr">
        <is>
          <t>GÄVLEBORGS LÄN</t>
        </is>
      </c>
      <c r="G1122" t="inlineStr">
        <is>
          <t>HUDIKSVALL</t>
        </is>
      </c>
      <c r="H1122" t="inlineStr">
        <is>
          <t>Holmen skog AB</t>
        </is>
      </c>
      <c r="I1122" t="n">
        <v>3.5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t="n">
        <v>0</v>
      </c>
      <c r="S1122" t="n">
        <v>0</v>
      </c>
      <c r="T1122" t="n">
        <v>0</v>
      </c>
      <c r="U1122" t="n">
        <v>0</v>
      </c>
      <c r="V1122" s="2" t="inlineStr"/>
    </row>
    <row r="1123" ht="15" customHeight="1">
      <c r="A1123" t="inlineStr">
        <is>
          <t>A 20920-2026</t>
        </is>
      </c>
      <c r="B1123" t="inlineStr">
        <is>
          <t>avverkningsanmälan</t>
        </is>
      </c>
      <c r="C1123" t="inlineStr">
        <is>
          <t>Föryngringsavverkning</t>
        </is>
      </c>
      <c r="D1123" s="1" t="n">
        <v>46142</v>
      </c>
      <c r="E1123" s="1" t="n">
        <v>46272</v>
      </c>
      <c r="F1123" t="inlineStr">
        <is>
          <t>GÄVLEBORGS LÄN</t>
        </is>
      </c>
      <c r="G1123" t="inlineStr">
        <is>
          <t>HUDIKSVALL</t>
        </is>
      </c>
      <c r="H1123" t="inlineStr">
        <is>
          <t>Holmen skog AB</t>
        </is>
      </c>
      <c r="I1123" t="n">
        <v>1.3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t="n">
        <v>0</v>
      </c>
      <c r="S1123" t="n">
        <v>0</v>
      </c>
      <c r="T1123" t="n">
        <v>0</v>
      </c>
      <c r="U1123" t="n">
        <v>0</v>
      </c>
      <c r="V1123" s="2" t="inlineStr"/>
    </row>
    <row r="1124" ht="15" customHeight="1">
      <c r="A1124" t="inlineStr">
        <is>
          <t>A 46590-2024</t>
        </is>
      </c>
      <c r="B1124" t="inlineStr">
        <is>
          <t>avverkningsanmälan</t>
        </is>
      </c>
      <c r="C1124" t="inlineStr">
        <is>
          <t>Föryngringsavverkning</t>
        </is>
      </c>
      <c r="D1124" s="1" t="n">
        <v>45582</v>
      </c>
      <c r="E1124" s="1" t="n">
        <v>46272</v>
      </c>
      <c r="F1124" t="inlineStr">
        <is>
          <t>GÄVLEBORGS LÄN</t>
        </is>
      </c>
      <c r="G1124" t="inlineStr">
        <is>
          <t>HUDIKSVALL</t>
        </is>
      </c>
      <c r="H1124" t="inlineStr">
        <is>
          <t>Holmen skog AB</t>
        </is>
      </c>
      <c r="I1124" t="n">
        <v>1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t="n">
        <v>0</v>
      </c>
      <c r="S1124" t="n">
        <v>0</v>
      </c>
      <c r="T1124" t="n">
        <v>0</v>
      </c>
      <c r="U1124" t="n">
        <v>0</v>
      </c>
      <c r="V1124" s="2" t="inlineStr"/>
    </row>
    <row r="1125" ht="15" customHeight="1">
      <c r="A1125" t="inlineStr">
        <is>
          <t>A 18657-2023</t>
        </is>
      </c>
      <c r="B1125" t="inlineStr">
        <is>
          <t>avverkningsanmälan</t>
        </is>
      </c>
      <c r="C1125" t="inlineStr">
        <is>
          <t>Föryngringsavverkning</t>
        </is>
      </c>
      <c r="D1125" s="1" t="n">
        <v>45043</v>
      </c>
      <c r="E1125" s="1" t="n">
        <v>46272</v>
      </c>
      <c r="F1125" t="inlineStr">
        <is>
          <t>GÄVLEBORGS LÄN</t>
        </is>
      </c>
      <c r="G1125" t="inlineStr">
        <is>
          <t>HUDIKSVALL</t>
        </is>
      </c>
      <c r="H1125" t="inlineStr">
        <is>
          <t>Holmen skog AB</t>
        </is>
      </c>
      <c r="I1125" t="n">
        <v>2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t="n">
        <v>0</v>
      </c>
      <c r="S1125" t="n">
        <v>0</v>
      </c>
      <c r="T1125" t="n">
        <v>0</v>
      </c>
      <c r="U1125" t="n">
        <v>0</v>
      </c>
      <c r="V1125" s="2" t="inlineStr"/>
    </row>
    <row r="1126" ht="15" customHeight="1">
      <c r="A1126" t="inlineStr">
        <is>
          <t>A 21094-2026</t>
        </is>
      </c>
      <c r="B1126" t="inlineStr">
        <is>
          <t>avverkningsanmälan</t>
        </is>
      </c>
      <c r="C1126" t="inlineStr">
        <is>
          <t>Föryngringsavverkning</t>
        </is>
      </c>
      <c r="D1126" s="1" t="n">
        <v>46146</v>
      </c>
      <c r="E1126" s="1" t="n">
        <v>46272</v>
      </c>
      <c r="F1126" t="inlineStr">
        <is>
          <t>GÄVLEBORGS LÄN</t>
        </is>
      </c>
      <c r="G1126" t="inlineStr">
        <is>
          <t>HUDIKSVALL</t>
        </is>
      </c>
      <c r="I1126" t="n">
        <v>1.2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t="n">
        <v>0</v>
      </c>
      <c r="S1126" t="n">
        <v>0</v>
      </c>
      <c r="T1126" t="n">
        <v>0</v>
      </c>
      <c r="U1126" t="n">
        <v>0</v>
      </c>
      <c r="V1126" s="2" t="inlineStr"/>
    </row>
    <row r="1127" ht="15" customHeight="1">
      <c r="A1127" t="inlineStr">
        <is>
          <t>A 21097-2026</t>
        </is>
      </c>
      <c r="B1127" t="inlineStr">
        <is>
          <t>avverkningsanmälan</t>
        </is>
      </c>
      <c r="C1127" t="inlineStr">
        <is>
          <t>Föryngringsavverkning</t>
        </is>
      </c>
      <c r="D1127" s="1" t="n">
        <v>46146</v>
      </c>
      <c r="E1127" s="1" t="n">
        <v>46272</v>
      </c>
      <c r="F1127" t="inlineStr">
        <is>
          <t>GÄVLEBORGS LÄN</t>
        </is>
      </c>
      <c r="G1127" t="inlineStr">
        <is>
          <t>HUDIKSVALL</t>
        </is>
      </c>
      <c r="I1127" t="n">
        <v>6.6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t="n">
        <v>0</v>
      </c>
      <c r="S1127" t="n">
        <v>0</v>
      </c>
      <c r="T1127" t="n">
        <v>0</v>
      </c>
      <c r="U1127" t="n">
        <v>0</v>
      </c>
      <c r="V1127" s="2" t="inlineStr"/>
    </row>
    <row r="1128" ht="15" customHeight="1">
      <c r="A1128" t="inlineStr">
        <is>
          <t>A 21105-2026</t>
        </is>
      </c>
      <c r="B1128" t="inlineStr">
        <is>
          <t>avverkningsanmälan</t>
        </is>
      </c>
      <c r="C1128" t="inlineStr">
        <is>
          <t>Föryngringsavverkning</t>
        </is>
      </c>
      <c r="D1128" s="1" t="n">
        <v>46146</v>
      </c>
      <c r="E1128" s="1" t="n">
        <v>46272</v>
      </c>
      <c r="F1128" t="inlineStr">
        <is>
          <t>GÄVLEBORGS LÄN</t>
        </is>
      </c>
      <c r="G1128" t="inlineStr">
        <is>
          <t>HUDIKSVALL</t>
        </is>
      </c>
      <c r="I1128" t="n">
        <v>2.6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t="n">
        <v>0</v>
      </c>
      <c r="S1128" t="n">
        <v>0</v>
      </c>
      <c r="T1128" t="n">
        <v>0</v>
      </c>
      <c r="U1128" t="n">
        <v>0</v>
      </c>
      <c r="V1128" s="2" t="inlineStr"/>
    </row>
    <row r="1129" ht="15" customHeight="1">
      <c r="A1129" t="inlineStr">
        <is>
          <t>A 6895-2026</t>
        </is>
      </c>
      <c r="B1129" t="inlineStr">
        <is>
          <t>avverkningsanmälan</t>
        </is>
      </c>
      <c r="C1129" t="inlineStr">
        <is>
          <t>Föryngringsavverkning</t>
        </is>
      </c>
      <c r="D1129" s="1" t="n">
        <v>46057</v>
      </c>
      <c r="E1129" s="1" t="n">
        <v>46272</v>
      </c>
      <c r="F1129" t="inlineStr">
        <is>
          <t>GÄVLEBORGS LÄN</t>
        </is>
      </c>
      <c r="G1129" t="inlineStr">
        <is>
          <t>HUDIKSVALL</t>
        </is>
      </c>
      <c r="I1129" t="n">
        <v>3.2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t="n">
        <v>0</v>
      </c>
      <c r="S1129" t="n">
        <v>0</v>
      </c>
      <c r="T1129" t="n">
        <v>0</v>
      </c>
      <c r="U1129" t="n">
        <v>0</v>
      </c>
      <c r="V1129" s="2" t="inlineStr"/>
    </row>
    <row r="1130" ht="15" customHeight="1">
      <c r="A1130" t="inlineStr">
        <is>
          <t>A 17586-2026</t>
        </is>
      </c>
      <c r="B1130" t="inlineStr">
        <is>
          <t>avverkningsanmälan</t>
        </is>
      </c>
      <c r="C1130" t="inlineStr">
        <is>
          <t>Föryngringsavverkning</t>
        </is>
      </c>
      <c r="D1130" s="1" t="n">
        <v>46121</v>
      </c>
      <c r="E1130" s="1" t="n">
        <v>46272</v>
      </c>
      <c r="F1130" t="inlineStr">
        <is>
          <t>GÄVLEBORGS LÄN</t>
        </is>
      </c>
      <c r="G1130" t="inlineStr">
        <is>
          <t>HUDIKSVALL</t>
        </is>
      </c>
      <c r="I1130" t="n">
        <v>5.6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t="n">
        <v>0</v>
      </c>
      <c r="S1130" t="n">
        <v>0</v>
      </c>
      <c r="T1130" t="n">
        <v>0</v>
      </c>
      <c r="U1130" t="n">
        <v>0</v>
      </c>
      <c r="V1130" s="2" t="inlineStr"/>
    </row>
    <row r="1131" ht="15" customHeight="1">
      <c r="A1131" t="inlineStr">
        <is>
          <t>A 4881-2026</t>
        </is>
      </c>
      <c r="B1131" t="inlineStr">
        <is>
          <t>avverkningsanmälan</t>
        </is>
      </c>
      <c r="C1131" t="inlineStr">
        <is>
          <t>Föryngringsavverkning</t>
        </is>
      </c>
      <c r="D1131" s="1" t="n">
        <v>46048</v>
      </c>
      <c r="E1131" s="1" t="n">
        <v>46272</v>
      </c>
      <c r="F1131" t="inlineStr">
        <is>
          <t>GÄVLEBORGS LÄN</t>
        </is>
      </c>
      <c r="G1131" t="inlineStr">
        <is>
          <t>HUDIKSVALL</t>
        </is>
      </c>
      <c r="I1131" t="n">
        <v>8.1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t="n">
        <v>0</v>
      </c>
      <c r="S1131" t="n">
        <v>0</v>
      </c>
      <c r="T1131" t="n">
        <v>0</v>
      </c>
      <c r="U1131" t="n">
        <v>0</v>
      </c>
      <c r="V1131" s="2" t="inlineStr"/>
    </row>
    <row r="1132" ht="15" customHeight="1">
      <c r="A1132" t="inlineStr">
        <is>
          <t>A 21243-2026</t>
        </is>
      </c>
      <c r="B1132" t="inlineStr">
        <is>
          <t>avverkningsanmälan</t>
        </is>
      </c>
      <c r="C1132" t="inlineStr">
        <is>
          <t>Föryngringsavverkning</t>
        </is>
      </c>
      <c r="D1132" s="1" t="n">
        <v>46147</v>
      </c>
      <c r="E1132" s="1" t="n">
        <v>46272</v>
      </c>
      <c r="F1132" t="inlineStr">
        <is>
          <t>GÄVLEBORGS LÄN</t>
        </is>
      </c>
      <c r="G1132" t="inlineStr">
        <is>
          <t>HUDIKSVALL</t>
        </is>
      </c>
      <c r="I1132" t="n">
        <v>2.6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t="n">
        <v>0</v>
      </c>
      <c r="S1132" t="n">
        <v>0</v>
      </c>
      <c r="T1132" t="n">
        <v>0</v>
      </c>
      <c r="U1132" t="n">
        <v>0</v>
      </c>
      <c r="V1132" s="2" t="inlineStr"/>
    </row>
    <row r="1133" ht="15" customHeight="1">
      <c r="A1133" t="inlineStr">
        <is>
          <t>A 27204-2023</t>
        </is>
      </c>
      <c r="B1133" t="inlineStr">
        <is>
          <t>avverkningsanmälan</t>
        </is>
      </c>
      <c r="C1133" t="inlineStr">
        <is>
          <t>Avverkning för annat ändamål</t>
        </is>
      </c>
      <c r="D1133" s="1" t="n">
        <v>45096</v>
      </c>
      <c r="E1133" s="1" t="n">
        <v>46272</v>
      </c>
      <c r="F1133" t="inlineStr">
        <is>
          <t>GÄVLEBORGS LÄN</t>
        </is>
      </c>
      <c r="G1133" t="inlineStr">
        <is>
          <t>HUDIKSVALL</t>
        </is>
      </c>
      <c r="I1133" t="n">
        <v>0.7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t="n">
        <v>0</v>
      </c>
      <c r="S1133" t="n">
        <v>0</v>
      </c>
      <c r="T1133" t="n">
        <v>0</v>
      </c>
      <c r="U1133" t="n">
        <v>0</v>
      </c>
      <c r="V1133" s="2" t="inlineStr"/>
    </row>
    <row r="1134" ht="15" customHeight="1">
      <c r="A1134" t="inlineStr">
        <is>
          <t>A 12529-2026</t>
        </is>
      </c>
      <c r="B1134" t="inlineStr">
        <is>
          <t>avverkningsanmälan</t>
        </is>
      </c>
      <c r="C1134" t="inlineStr">
        <is>
          <t>Föryngringsavverkning</t>
        </is>
      </c>
      <c r="D1134" s="1" t="n">
        <v>46090</v>
      </c>
      <c r="E1134" s="1" t="n">
        <v>46272</v>
      </c>
      <c r="F1134" t="inlineStr">
        <is>
          <t>GÄVLEBORGS LÄN</t>
        </is>
      </c>
      <c r="G1134" t="inlineStr">
        <is>
          <t>HUDIKSVALL</t>
        </is>
      </c>
      <c r="H1134" t="inlineStr">
        <is>
          <t>Holmen skog AB</t>
        </is>
      </c>
      <c r="I1134" t="n">
        <v>1.3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t="n">
        <v>0</v>
      </c>
      <c r="S1134" t="n">
        <v>0</v>
      </c>
      <c r="T1134" t="n">
        <v>0</v>
      </c>
      <c r="U1134" t="n">
        <v>0</v>
      </c>
      <c r="V1134" s="2" t="inlineStr"/>
    </row>
    <row r="1135" ht="15" customHeight="1">
      <c r="A1135" t="inlineStr">
        <is>
          <t>A 21159-2026</t>
        </is>
      </c>
      <c r="B1135" t="inlineStr">
        <is>
          <t>avverkningsanmälan</t>
        </is>
      </c>
      <c r="C1135" t="inlineStr">
        <is>
          <t>Föryngringsavverkning</t>
        </is>
      </c>
      <c r="D1135" s="1" t="n">
        <v>46146</v>
      </c>
      <c r="E1135" s="1" t="n">
        <v>46272</v>
      </c>
      <c r="F1135" t="inlineStr">
        <is>
          <t>GÄVLEBORGS LÄN</t>
        </is>
      </c>
      <c r="G1135" t="inlineStr">
        <is>
          <t>HUDIKSVALL</t>
        </is>
      </c>
      <c r="H1135" t="inlineStr">
        <is>
          <t>Kyrkan</t>
        </is>
      </c>
      <c r="I1135" t="n">
        <v>0.7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t="n">
        <v>0</v>
      </c>
      <c r="S1135" t="n">
        <v>0</v>
      </c>
      <c r="T1135" t="n">
        <v>0</v>
      </c>
      <c r="U1135" t="n">
        <v>0</v>
      </c>
      <c r="V1135" s="2" t="inlineStr"/>
    </row>
    <row r="1136" ht="15" customHeight="1">
      <c r="A1136" t="inlineStr">
        <is>
          <t>A 21249-2026</t>
        </is>
      </c>
      <c r="B1136" t="inlineStr">
        <is>
          <t>avverkningsanmälan</t>
        </is>
      </c>
      <c r="C1136" t="inlineStr">
        <is>
          <t>Föryngringsavverkning</t>
        </is>
      </c>
      <c r="D1136" s="1" t="n">
        <v>46147</v>
      </c>
      <c r="E1136" s="1" t="n">
        <v>46272</v>
      </c>
      <c r="F1136" t="inlineStr">
        <is>
          <t>GÄVLEBORGS LÄN</t>
        </is>
      </c>
      <c r="G1136" t="inlineStr">
        <is>
          <t>HUDIKSVALL</t>
        </is>
      </c>
      <c r="I1136" t="n">
        <v>13.8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t="n">
        <v>0</v>
      </c>
      <c r="S1136" t="n">
        <v>0</v>
      </c>
      <c r="T1136" t="n">
        <v>0</v>
      </c>
      <c r="U1136" t="n">
        <v>0</v>
      </c>
      <c r="V1136" s="2" t="inlineStr"/>
    </row>
    <row r="1137" ht="15" customHeight="1">
      <c r="A1137" t="inlineStr">
        <is>
          <t>A 21318-2026</t>
        </is>
      </c>
      <c r="B1137" t="inlineStr">
        <is>
          <t>avverkningsanmälan</t>
        </is>
      </c>
      <c r="C1137" t="inlineStr">
        <is>
          <t>Föryngringsavverkning</t>
        </is>
      </c>
      <c r="D1137" s="1" t="n">
        <v>46147</v>
      </c>
      <c r="E1137" s="1" t="n">
        <v>46272</v>
      </c>
      <c r="F1137" t="inlineStr">
        <is>
          <t>GÄVLEBORGS LÄN</t>
        </is>
      </c>
      <c r="G1137" t="inlineStr">
        <is>
          <t>HUDIKSVALL</t>
        </is>
      </c>
      <c r="H1137" t="inlineStr">
        <is>
          <t>Kyrkan</t>
        </is>
      </c>
      <c r="I1137" t="n">
        <v>0.7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t="n">
        <v>0</v>
      </c>
      <c r="S1137" t="n">
        <v>0</v>
      </c>
      <c r="T1137" t="n">
        <v>0</v>
      </c>
      <c r="U1137" t="n">
        <v>0</v>
      </c>
      <c r="V1137" s="2" t="inlineStr"/>
    </row>
    <row r="1138" ht="15" customHeight="1">
      <c r="A1138" t="inlineStr">
        <is>
          <t>A 21323-2026</t>
        </is>
      </c>
      <c r="B1138" t="inlineStr">
        <is>
          <t>avverkningsanmälan</t>
        </is>
      </c>
      <c r="C1138" t="inlineStr">
        <is>
          <t>Föryngringsavverkning</t>
        </is>
      </c>
      <c r="D1138" s="1" t="n">
        <v>46147</v>
      </c>
      <c r="E1138" s="1" t="n">
        <v>46272</v>
      </c>
      <c r="F1138" t="inlineStr">
        <is>
          <t>GÄVLEBORGS LÄN</t>
        </is>
      </c>
      <c r="G1138" t="inlineStr">
        <is>
          <t>HUDIKSVALL</t>
        </is>
      </c>
      <c r="H1138" t="inlineStr">
        <is>
          <t>Kyrkan</t>
        </is>
      </c>
      <c r="I1138" t="n">
        <v>2.3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t="n">
        <v>0</v>
      </c>
      <c r="S1138" t="n">
        <v>0</v>
      </c>
      <c r="T1138" t="n">
        <v>0</v>
      </c>
      <c r="U1138" t="n">
        <v>0</v>
      </c>
      <c r="V1138" s="2" t="inlineStr"/>
    </row>
    <row r="1139" ht="15" customHeight="1">
      <c r="A1139" t="inlineStr">
        <is>
          <t>A 21353-2026</t>
        </is>
      </c>
      <c r="B1139" t="inlineStr">
        <is>
          <t>avverkningsanmälan</t>
        </is>
      </c>
      <c r="C1139" t="inlineStr">
        <is>
          <t>Föryngringsavverkning</t>
        </is>
      </c>
      <c r="D1139" s="1" t="n">
        <v>46147</v>
      </c>
      <c r="E1139" s="1" t="n">
        <v>46272</v>
      </c>
      <c r="F1139" t="inlineStr">
        <is>
          <t>GÄVLEBORGS LÄN</t>
        </is>
      </c>
      <c r="G1139" t="inlineStr">
        <is>
          <t>HUDIKSVALL</t>
        </is>
      </c>
      <c r="I1139" t="n">
        <v>1.3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t="n">
        <v>0</v>
      </c>
      <c r="S1139" t="n">
        <v>0</v>
      </c>
      <c r="T1139" t="n">
        <v>0</v>
      </c>
      <c r="U1139" t="n">
        <v>0</v>
      </c>
      <c r="V1139" s="2" t="inlineStr"/>
    </row>
    <row r="1140" ht="15" customHeight="1">
      <c r="A1140" t="inlineStr">
        <is>
          <t>A 16633-2024</t>
        </is>
      </c>
      <c r="B1140" t="inlineStr">
        <is>
          <t>avverkningsanmälan</t>
        </is>
      </c>
      <c r="C1140" t="inlineStr">
        <is>
          <t>Föryngringsavverkning</t>
        </is>
      </c>
      <c r="D1140" s="1" t="n">
        <v>45408</v>
      </c>
      <c r="E1140" s="1" t="n">
        <v>46272</v>
      </c>
      <c r="F1140" t="inlineStr">
        <is>
          <t>GÄVLEBORGS LÄN</t>
        </is>
      </c>
      <c r="G1140" t="inlineStr">
        <is>
          <t>HUDIKSVALL</t>
        </is>
      </c>
      <c r="I1140" t="n">
        <v>2.2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t="n">
        <v>0</v>
      </c>
      <c r="S1140" t="n">
        <v>0</v>
      </c>
      <c r="T1140" t="n">
        <v>0</v>
      </c>
      <c r="U1140" t="n">
        <v>0</v>
      </c>
      <c r="V1140" s="2" t="inlineStr"/>
    </row>
    <row r="1141" ht="15" customHeight="1">
      <c r="A1141" t="inlineStr">
        <is>
          <t>A 4758-2026</t>
        </is>
      </c>
      <c r="B1141" t="inlineStr">
        <is>
          <t>avverkningsanmälan</t>
        </is>
      </c>
      <c r="C1141" t="inlineStr">
        <is>
          <t>Avverkning för annat ändamål</t>
        </is>
      </c>
      <c r="D1141" s="1" t="n">
        <v>46048</v>
      </c>
      <c r="E1141" s="1" t="n">
        <v>46272</v>
      </c>
      <c r="F1141" t="inlineStr">
        <is>
          <t>GÄVLEBORGS LÄN</t>
        </is>
      </c>
      <c r="G1141" t="inlineStr">
        <is>
          <t>HUDIKSVALL</t>
        </is>
      </c>
      <c r="I1141" t="n">
        <v>1.6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t="n">
        <v>0</v>
      </c>
      <c r="S1141" t="n">
        <v>0</v>
      </c>
      <c r="T1141" t="n">
        <v>0</v>
      </c>
      <c r="U1141" t="n">
        <v>0</v>
      </c>
      <c r="V1141" s="2" t="inlineStr"/>
    </row>
    <row r="1142" ht="15" customHeight="1">
      <c r="A1142" t="inlineStr">
        <is>
          <t>A 21089-2026</t>
        </is>
      </c>
      <c r="B1142" t="inlineStr">
        <is>
          <t>avverkningsanmälan</t>
        </is>
      </c>
      <c r="C1142" t="inlineStr">
        <is>
          <t>Föryngringsavverkning</t>
        </is>
      </c>
      <c r="D1142" s="1" t="n">
        <v>46146</v>
      </c>
      <c r="E1142" s="1" t="n">
        <v>46272</v>
      </c>
      <c r="F1142" t="inlineStr">
        <is>
          <t>GÄVLEBORGS LÄN</t>
        </is>
      </c>
      <c r="G1142" t="inlineStr">
        <is>
          <t>HUDIKSVALL</t>
        </is>
      </c>
      <c r="I1142" t="n">
        <v>1.5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t="n">
        <v>0</v>
      </c>
      <c r="S1142" t="n">
        <v>0</v>
      </c>
      <c r="T1142" t="n">
        <v>0</v>
      </c>
      <c r="U1142" t="n">
        <v>0</v>
      </c>
      <c r="V1142" s="2" t="inlineStr"/>
    </row>
    <row r="1143" ht="15" customHeight="1">
      <c r="A1143" t="inlineStr">
        <is>
          <t>A 17082-2026</t>
        </is>
      </c>
      <c r="B1143" t="inlineStr">
        <is>
          <t>avverkningsanmälan</t>
        </is>
      </c>
      <c r="C1143" t="inlineStr">
        <is>
          <t>Föryngringsavverkning</t>
        </is>
      </c>
      <c r="D1143" s="1" t="n">
        <v>46114</v>
      </c>
      <c r="E1143" s="1" t="n">
        <v>46272</v>
      </c>
      <c r="F1143" t="inlineStr">
        <is>
          <t>GÄVLEBORGS LÄN</t>
        </is>
      </c>
      <c r="G1143" t="inlineStr">
        <is>
          <t>HUDIKSVALL</t>
        </is>
      </c>
      <c r="I1143" t="n">
        <v>1.4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t="n">
        <v>0</v>
      </c>
      <c r="S1143" t="n">
        <v>0</v>
      </c>
      <c r="T1143" t="n">
        <v>0</v>
      </c>
      <c r="U1143" t="n">
        <v>0</v>
      </c>
      <c r="V1143" s="2" t="inlineStr"/>
    </row>
    <row r="1144" ht="15" customHeight="1">
      <c r="A1144" t="inlineStr">
        <is>
          <t>A 25647-2024</t>
        </is>
      </c>
      <c r="B1144" t="inlineStr">
        <is>
          <t>avverkningsanmälan</t>
        </is>
      </c>
      <c r="C1144" t="inlineStr">
        <is>
          <t>Föryngringsavverkning</t>
        </is>
      </c>
      <c r="D1144" s="1" t="n">
        <v>45463</v>
      </c>
      <c r="E1144" s="1" t="n">
        <v>46272</v>
      </c>
      <c r="F1144" t="inlineStr">
        <is>
          <t>GÄVLEBORGS LÄN</t>
        </is>
      </c>
      <c r="G1144" t="inlineStr">
        <is>
          <t>HUDIKSVALL</t>
        </is>
      </c>
      <c r="H1144" t="inlineStr">
        <is>
          <t>Sveaskog</t>
        </is>
      </c>
      <c r="I1144" t="n">
        <v>7.7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t="n">
        <v>0</v>
      </c>
      <c r="S1144" t="n">
        <v>0</v>
      </c>
      <c r="T1144" t="n">
        <v>0</v>
      </c>
      <c r="U1144" t="n">
        <v>0</v>
      </c>
      <c r="V1144" s="2" t="inlineStr"/>
    </row>
    <row r="1145" ht="15" customHeight="1">
      <c r="A1145" t="inlineStr">
        <is>
          <t>A 21431-2026</t>
        </is>
      </c>
      <c r="B1145" t="inlineStr">
        <is>
          <t>avverkningsanmälan</t>
        </is>
      </c>
      <c r="C1145" t="inlineStr">
        <is>
          <t>Föryngringsavverkning</t>
        </is>
      </c>
      <c r="D1145" s="1" t="n">
        <v>46148</v>
      </c>
      <c r="E1145" s="1" t="n">
        <v>46272</v>
      </c>
      <c r="F1145" t="inlineStr">
        <is>
          <t>GÄVLEBORGS LÄN</t>
        </is>
      </c>
      <c r="G1145" t="inlineStr">
        <is>
          <t>HUDIKSVALL</t>
        </is>
      </c>
      <c r="H1145" t="inlineStr">
        <is>
          <t>Kyrkan</t>
        </is>
      </c>
      <c r="I1145" t="n">
        <v>8.800000000000001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t="n">
        <v>0</v>
      </c>
      <c r="S1145" t="n">
        <v>0</v>
      </c>
      <c r="T1145" t="n">
        <v>0</v>
      </c>
      <c r="U1145" t="n">
        <v>0</v>
      </c>
      <c r="V1145" s="2" t="inlineStr"/>
    </row>
    <row r="1146" ht="15" customHeight="1">
      <c r="A1146" t="inlineStr">
        <is>
          <t>A 21473-2026</t>
        </is>
      </c>
      <c r="B1146" t="inlineStr">
        <is>
          <t>avverkningsanmälan</t>
        </is>
      </c>
      <c r="C1146" t="inlineStr">
        <is>
          <t>Föryngringsavverkning</t>
        </is>
      </c>
      <c r="D1146" s="1" t="n">
        <v>46148</v>
      </c>
      <c r="E1146" s="1" t="n">
        <v>46272</v>
      </c>
      <c r="F1146" t="inlineStr">
        <is>
          <t>GÄVLEBORGS LÄN</t>
        </is>
      </c>
      <c r="G1146" t="inlineStr">
        <is>
          <t>HUDIKSVALL</t>
        </is>
      </c>
      <c r="H1146" t="inlineStr">
        <is>
          <t>Kyrkan</t>
        </is>
      </c>
      <c r="I1146" t="n">
        <v>6.9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t="n">
        <v>0</v>
      </c>
      <c r="S1146" t="n">
        <v>0</v>
      </c>
      <c r="T1146" t="n">
        <v>0</v>
      </c>
      <c r="U1146" t="n">
        <v>0</v>
      </c>
      <c r="V1146" s="2" t="inlineStr"/>
    </row>
    <row r="1147" ht="15" customHeight="1">
      <c r="A1147" t="inlineStr">
        <is>
          <t>A 48593-2024</t>
        </is>
      </c>
      <c r="B1147" t="inlineStr">
        <is>
          <t>avverkningsanmälan</t>
        </is>
      </c>
      <c r="C1147" t="inlineStr">
        <is>
          <t>Föryngringsavverkning</t>
        </is>
      </c>
      <c r="D1147" s="1" t="n">
        <v>45593</v>
      </c>
      <c r="E1147" s="1" t="n">
        <v>46272</v>
      </c>
      <c r="F1147" t="inlineStr">
        <is>
          <t>GÄVLEBORGS LÄN</t>
        </is>
      </c>
      <c r="G1147" t="inlineStr">
        <is>
          <t>HUDIKSVALL</t>
        </is>
      </c>
      <c r="I1147" t="n">
        <v>0.5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t="n">
        <v>0</v>
      </c>
      <c r="S1147" t="n">
        <v>0</v>
      </c>
      <c r="T1147" t="n">
        <v>0</v>
      </c>
      <c r="U1147" t="n">
        <v>0</v>
      </c>
      <c r="V1147" s="2" t="inlineStr"/>
    </row>
    <row r="1148" ht="15" customHeight="1">
      <c r="A1148" t="inlineStr">
        <is>
          <t>A 21557-2026</t>
        </is>
      </c>
      <c r="B1148" t="inlineStr">
        <is>
          <t>avverkningsanmälan</t>
        </is>
      </c>
      <c r="C1148" t="inlineStr">
        <is>
          <t>Föryngringsavverkning</t>
        </is>
      </c>
      <c r="D1148" s="1" t="n">
        <v>46148</v>
      </c>
      <c r="E1148" s="1" t="n">
        <v>46272</v>
      </c>
      <c r="F1148" t="inlineStr">
        <is>
          <t>GÄVLEBORGS LÄN</t>
        </is>
      </c>
      <c r="G1148" t="inlineStr">
        <is>
          <t>HUDIKSVALL</t>
        </is>
      </c>
      <c r="I1148" t="n">
        <v>2.1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t="n">
        <v>0</v>
      </c>
      <c r="S1148" t="n">
        <v>0</v>
      </c>
      <c r="T1148" t="n">
        <v>0</v>
      </c>
      <c r="U1148" t="n">
        <v>0</v>
      </c>
      <c r="V1148" s="2" t="inlineStr"/>
    </row>
    <row r="1149" ht="15" customHeight="1">
      <c r="A1149" t="inlineStr">
        <is>
          <t>A 24238-2025</t>
        </is>
      </c>
      <c r="B1149" t="inlineStr">
        <is>
          <t>avverkningsanmälan</t>
        </is>
      </c>
      <c r="C1149" t="inlineStr">
        <is>
          <t>Föryngringsavverkning</t>
        </is>
      </c>
      <c r="D1149" s="1" t="n">
        <v>45797</v>
      </c>
      <c r="E1149" s="1" t="n">
        <v>46272</v>
      </c>
      <c r="F1149" t="inlineStr">
        <is>
          <t>GÄVLEBORGS LÄN</t>
        </is>
      </c>
      <c r="G1149" t="inlineStr">
        <is>
          <t>HUDIKSVALL</t>
        </is>
      </c>
      <c r="I1149" t="n">
        <v>0.9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t="n">
        <v>0</v>
      </c>
      <c r="S1149" t="n">
        <v>0</v>
      </c>
      <c r="T1149" t="n">
        <v>0</v>
      </c>
      <c r="U1149" t="n">
        <v>0</v>
      </c>
      <c r="V1149" s="2" t="inlineStr"/>
    </row>
    <row r="1150" ht="15" customHeight="1">
      <c r="A1150" t="inlineStr">
        <is>
          <t>A 21574-2026</t>
        </is>
      </c>
      <c r="B1150" t="inlineStr">
        <is>
          <t>avverkningsanmälan</t>
        </is>
      </c>
      <c r="C1150" t="inlineStr">
        <is>
          <t>Föryngringsavverkning</t>
        </is>
      </c>
      <c r="D1150" s="1" t="n">
        <v>46148</v>
      </c>
      <c r="E1150" s="1" t="n">
        <v>46272</v>
      </c>
      <c r="F1150" t="inlineStr">
        <is>
          <t>GÄVLEBORGS LÄN</t>
        </is>
      </c>
      <c r="G1150" t="inlineStr">
        <is>
          <t>HUDIKSVALL</t>
        </is>
      </c>
      <c r="I1150" t="n">
        <v>1.3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t="n">
        <v>0</v>
      </c>
      <c r="S1150" t="n">
        <v>0</v>
      </c>
      <c r="T1150" t="n">
        <v>0</v>
      </c>
      <c r="U1150" t="n">
        <v>0</v>
      </c>
      <c r="V1150" s="2" t="inlineStr"/>
    </row>
    <row r="1151" ht="15" customHeight="1">
      <c r="A1151" t="inlineStr">
        <is>
          <t>A 21622-2026</t>
        </is>
      </c>
      <c r="B1151" t="inlineStr">
        <is>
          <t>avverkningsanmälan</t>
        </is>
      </c>
      <c r="C1151" t="inlineStr">
        <is>
          <t>Föryngringsavverkning</t>
        </is>
      </c>
      <c r="D1151" s="1" t="n">
        <v>46149</v>
      </c>
      <c r="E1151" s="1" t="n">
        <v>46272</v>
      </c>
      <c r="F1151" t="inlineStr">
        <is>
          <t>GÄVLEBORGS LÄN</t>
        </is>
      </c>
      <c r="G1151" t="inlineStr">
        <is>
          <t>HUDIKSVALL</t>
        </is>
      </c>
      <c r="H1151" t="inlineStr">
        <is>
          <t>Holmen skog AB</t>
        </is>
      </c>
      <c r="I1151" t="n">
        <v>16.9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t="n">
        <v>0</v>
      </c>
      <c r="S1151" t="n">
        <v>0</v>
      </c>
      <c r="T1151" t="n">
        <v>0</v>
      </c>
      <c r="U1151" t="n">
        <v>0</v>
      </c>
      <c r="V1151" s="2" t="inlineStr"/>
    </row>
    <row r="1152" ht="15" customHeight="1">
      <c r="A1152" t="inlineStr">
        <is>
          <t>A 21508-2026</t>
        </is>
      </c>
      <c r="B1152" t="inlineStr">
        <is>
          <t>avverkningsanmälan</t>
        </is>
      </c>
      <c r="C1152" t="inlineStr">
        <is>
          <t>Föryngringsavverkning</t>
        </is>
      </c>
      <c r="D1152" s="1" t="n">
        <v>46148</v>
      </c>
      <c r="E1152" s="1" t="n">
        <v>46272</v>
      </c>
      <c r="F1152" t="inlineStr">
        <is>
          <t>GÄVLEBORGS LÄN</t>
        </is>
      </c>
      <c r="G1152" t="inlineStr">
        <is>
          <t>HUDIKSVALL</t>
        </is>
      </c>
      <c r="I1152" t="n">
        <v>8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t="n">
        <v>0</v>
      </c>
      <c r="S1152" t="n">
        <v>0</v>
      </c>
      <c r="T1152" t="n">
        <v>0</v>
      </c>
      <c r="U1152" t="n">
        <v>0</v>
      </c>
      <c r="V1152" s="2" t="inlineStr"/>
    </row>
    <row r="1153" ht="15" customHeight="1">
      <c r="A1153" t="inlineStr">
        <is>
          <t>A 40321-2024</t>
        </is>
      </c>
      <c r="B1153" t="inlineStr">
        <is>
          <t>avverkningsanmälan</t>
        </is>
      </c>
      <c r="C1153" t="inlineStr">
        <is>
          <t>Föryngringsavverkning</t>
        </is>
      </c>
      <c r="D1153" s="1" t="n">
        <v>45554</v>
      </c>
      <c r="E1153" s="1" t="n">
        <v>46272</v>
      </c>
      <c r="F1153" t="inlineStr">
        <is>
          <t>GÄVLEBORGS LÄN</t>
        </is>
      </c>
      <c r="G1153" t="inlineStr">
        <is>
          <t>HUDIKSVALL</t>
        </is>
      </c>
      <c r="I1153" t="n">
        <v>1.1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t="n">
        <v>0</v>
      </c>
      <c r="S1153" t="n">
        <v>0</v>
      </c>
      <c r="T1153" t="n">
        <v>0</v>
      </c>
      <c r="U1153" t="n">
        <v>0</v>
      </c>
      <c r="V1153" s="2" t="inlineStr"/>
    </row>
    <row r="1154" ht="15" customHeight="1">
      <c r="A1154" t="inlineStr">
        <is>
          <t>A 21546-2026</t>
        </is>
      </c>
      <c r="B1154" t="inlineStr">
        <is>
          <t>avverkningsanmälan</t>
        </is>
      </c>
      <c r="C1154" t="inlineStr">
        <is>
          <t>Föryngringsavverkning</t>
        </is>
      </c>
      <c r="D1154" s="1" t="n">
        <v>46148</v>
      </c>
      <c r="E1154" s="1" t="n">
        <v>46272</v>
      </c>
      <c r="F1154" t="inlineStr">
        <is>
          <t>GÄVLEBORGS LÄN</t>
        </is>
      </c>
      <c r="G1154" t="inlineStr">
        <is>
          <t>HUDIKSVALL</t>
        </is>
      </c>
      <c r="I1154" t="n">
        <v>3.9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t="n">
        <v>0</v>
      </c>
      <c r="S1154" t="n">
        <v>0</v>
      </c>
      <c r="T1154" t="n">
        <v>0</v>
      </c>
      <c r="U1154" t="n">
        <v>0</v>
      </c>
      <c r="V1154" s="2" t="inlineStr"/>
    </row>
    <row r="1155" ht="15" customHeight="1">
      <c r="A1155" t="inlineStr">
        <is>
          <t>A 21568-2026</t>
        </is>
      </c>
      <c r="B1155" t="inlineStr">
        <is>
          <t>avverkningsanmälan</t>
        </is>
      </c>
      <c r="C1155" t="inlineStr">
        <is>
          <t>Föryngringsavverkning</t>
        </is>
      </c>
      <c r="D1155" s="1" t="n">
        <v>46148</v>
      </c>
      <c r="E1155" s="1" t="n">
        <v>46272</v>
      </c>
      <c r="F1155" t="inlineStr">
        <is>
          <t>GÄVLEBORGS LÄN</t>
        </is>
      </c>
      <c r="G1155" t="inlineStr">
        <is>
          <t>HUDIKSVALL</t>
        </is>
      </c>
      <c r="I1155" t="n">
        <v>2.7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t="n">
        <v>0</v>
      </c>
      <c r="S1155" t="n">
        <v>0</v>
      </c>
      <c r="T1155" t="n">
        <v>0</v>
      </c>
      <c r="U1155" t="n">
        <v>0</v>
      </c>
      <c r="V1155" s="2" t="inlineStr"/>
    </row>
    <row r="1156" ht="15" customHeight="1">
      <c r="A1156" t="inlineStr">
        <is>
          <t>A 3296-2026</t>
        </is>
      </c>
      <c r="B1156" t="inlineStr">
        <is>
          <t>avverkningsanmälan</t>
        </is>
      </c>
      <c r="C1156" t="inlineStr">
        <is>
          <t>Föryngringsavverkning</t>
        </is>
      </c>
      <c r="D1156" s="1" t="n">
        <v>46041</v>
      </c>
      <c r="E1156" s="1" t="n">
        <v>46272</v>
      </c>
      <c r="F1156" t="inlineStr">
        <is>
          <t>GÄVLEBORGS LÄN</t>
        </is>
      </c>
      <c r="G1156" t="inlineStr">
        <is>
          <t>HUDIKSVALL</t>
        </is>
      </c>
      <c r="I1156" t="n">
        <v>1.5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t="n">
        <v>0</v>
      </c>
      <c r="S1156" t="n">
        <v>0</v>
      </c>
      <c r="T1156" t="n">
        <v>0</v>
      </c>
      <c r="U1156" t="n">
        <v>0</v>
      </c>
      <c r="V1156" s="2" t="inlineStr"/>
    </row>
    <row r="1157" ht="15" customHeight="1">
      <c r="A1157" t="inlineStr">
        <is>
          <t>A 46827-2024</t>
        </is>
      </c>
      <c r="B1157" t="inlineStr">
        <is>
          <t>avverkningsanmälan</t>
        </is>
      </c>
      <c r="C1157" t="inlineStr">
        <is>
          <t>Avverkning för att bevara och utveckla /försöksver</t>
        </is>
      </c>
      <c r="D1157" s="1" t="n">
        <v>45583</v>
      </c>
      <c r="E1157" s="1" t="n">
        <v>46272</v>
      </c>
      <c r="F1157" t="inlineStr">
        <is>
          <t>GÄVLEBORGS LÄN</t>
        </is>
      </c>
      <c r="G1157" t="inlineStr">
        <is>
          <t>HUDIKSVALL</t>
        </is>
      </c>
      <c r="H1157" t="inlineStr">
        <is>
          <t>Sveaskog</t>
        </is>
      </c>
      <c r="I1157" t="n">
        <v>5.9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t="n">
        <v>0</v>
      </c>
      <c r="S1157" t="n">
        <v>0</v>
      </c>
      <c r="T1157" t="n">
        <v>0</v>
      </c>
      <c r="U1157" t="n">
        <v>0</v>
      </c>
      <c r="V1157" s="2" t="inlineStr"/>
    </row>
    <row r="1158" ht="15" customHeight="1">
      <c r="A1158" t="inlineStr">
        <is>
          <t>A 21789-2026</t>
        </is>
      </c>
      <c r="B1158" t="inlineStr">
        <is>
          <t>avverkningsanmälan</t>
        </is>
      </c>
      <c r="C1158" t="inlineStr">
        <is>
          <t>Föryngringsavverkning</t>
        </is>
      </c>
      <c r="D1158" s="1" t="n">
        <v>46150</v>
      </c>
      <c r="E1158" s="1" t="n">
        <v>46272</v>
      </c>
      <c r="F1158" t="inlineStr">
        <is>
          <t>GÄVLEBORGS LÄN</t>
        </is>
      </c>
      <c r="G1158" t="inlineStr">
        <is>
          <t>HUDIKSVALL</t>
        </is>
      </c>
      <c r="I1158" t="n">
        <v>3.1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t="n">
        <v>0</v>
      </c>
      <c r="S1158" t="n">
        <v>0</v>
      </c>
      <c r="T1158" t="n">
        <v>0</v>
      </c>
      <c r="U1158" t="n">
        <v>0</v>
      </c>
      <c r="V1158" s="2" t="inlineStr"/>
    </row>
    <row r="1159" ht="15" customHeight="1">
      <c r="A1159" t="inlineStr">
        <is>
          <t>A 17919-2026</t>
        </is>
      </c>
      <c r="B1159" t="inlineStr">
        <is>
          <t>avverkningsanmälan</t>
        </is>
      </c>
      <c r="C1159" t="inlineStr">
        <is>
          <t>Föryngringsavverkning</t>
        </is>
      </c>
      <c r="D1159" s="1" t="n">
        <v>46122</v>
      </c>
      <c r="E1159" s="1" t="n">
        <v>46272</v>
      </c>
      <c r="F1159" t="inlineStr">
        <is>
          <t>GÄVLEBORGS LÄN</t>
        </is>
      </c>
      <c r="G1159" t="inlineStr">
        <is>
          <t>HUDIKSVALL</t>
        </is>
      </c>
      <c r="I1159" t="n">
        <v>2.6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t="n">
        <v>0</v>
      </c>
      <c r="S1159" t="n">
        <v>0</v>
      </c>
      <c r="T1159" t="n">
        <v>0</v>
      </c>
      <c r="U1159" t="n">
        <v>0</v>
      </c>
      <c r="V1159" s="2" t="inlineStr"/>
    </row>
    <row r="1160" ht="15" customHeight="1">
      <c r="A1160" t="inlineStr">
        <is>
          <t>A 37485-2025</t>
        </is>
      </c>
      <c r="B1160" t="inlineStr">
        <is>
          <t>avverkningsanmälan</t>
        </is>
      </c>
      <c r="C1160" t="inlineStr">
        <is>
          <t>Föryngringsavverkning</t>
        </is>
      </c>
      <c r="D1160" s="1" t="n">
        <v>45877</v>
      </c>
      <c r="E1160" s="1" t="n">
        <v>46272</v>
      </c>
      <c r="F1160" t="inlineStr">
        <is>
          <t>GÄVLEBORGS LÄN</t>
        </is>
      </c>
      <c r="G1160" t="inlineStr">
        <is>
          <t>HUDIKSVALL</t>
        </is>
      </c>
      <c r="H1160" t="inlineStr">
        <is>
          <t>Holmen skog AB</t>
        </is>
      </c>
      <c r="I1160" t="n">
        <v>12.9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t="n">
        <v>0</v>
      </c>
      <c r="S1160" t="n">
        <v>0</v>
      </c>
      <c r="T1160" t="n">
        <v>0</v>
      </c>
      <c r="U1160" t="n">
        <v>0</v>
      </c>
      <c r="V1160" s="2" t="inlineStr"/>
    </row>
    <row r="1161" ht="15" customHeight="1">
      <c r="A1161" t="inlineStr">
        <is>
          <t>A 1733-2026</t>
        </is>
      </c>
      <c r="B1161" t="inlineStr">
        <is>
          <t>avverkningsanmälan</t>
        </is>
      </c>
      <c r="C1161" t="inlineStr">
        <is>
          <t>Föryngringsavverkning</t>
        </is>
      </c>
      <c r="D1161" s="1" t="n">
        <v>46034</v>
      </c>
      <c r="E1161" s="1" t="n">
        <v>46272</v>
      </c>
      <c r="F1161" t="inlineStr">
        <is>
          <t>GÄVLEBORGS LÄN</t>
        </is>
      </c>
      <c r="G1161" t="inlineStr">
        <is>
          <t>HUDIKSVALL</t>
        </is>
      </c>
      <c r="I1161" t="n">
        <v>0.7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t="n">
        <v>0</v>
      </c>
      <c r="S1161" t="n">
        <v>0</v>
      </c>
      <c r="T1161" t="n">
        <v>0</v>
      </c>
      <c r="U1161" t="n">
        <v>0</v>
      </c>
      <c r="V1161" s="2" t="inlineStr"/>
    </row>
    <row r="1162" ht="15" customHeight="1">
      <c r="A1162" t="inlineStr">
        <is>
          <t>A 19600-2024</t>
        </is>
      </c>
      <c r="B1162" t="inlineStr">
        <is>
          <t>avverkningsanmälan</t>
        </is>
      </c>
      <c r="C1162" t="inlineStr">
        <is>
          <t>Föryngringsavverkning</t>
        </is>
      </c>
      <c r="D1162" s="1" t="n">
        <v>45431</v>
      </c>
      <c r="E1162" s="1" t="n">
        <v>46272</v>
      </c>
      <c r="F1162" t="inlineStr">
        <is>
          <t>GÄVLEBORGS LÄN</t>
        </is>
      </c>
      <c r="G1162" t="inlineStr">
        <is>
          <t>HUDIKSVALL</t>
        </is>
      </c>
      <c r="H1162" t="inlineStr">
        <is>
          <t>Holmen skog AB</t>
        </is>
      </c>
      <c r="I1162" t="n">
        <v>0.5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t="n">
        <v>0</v>
      </c>
      <c r="S1162" t="n">
        <v>0</v>
      </c>
      <c r="T1162" t="n">
        <v>0</v>
      </c>
      <c r="U1162" t="n">
        <v>0</v>
      </c>
      <c r="V1162" s="2" t="inlineStr"/>
    </row>
    <row r="1163" ht="15" customHeight="1">
      <c r="A1163" t="inlineStr">
        <is>
          <t>A 6312-2026</t>
        </is>
      </c>
      <c r="B1163" t="inlineStr">
        <is>
          <t>avverkningsanmälan</t>
        </is>
      </c>
      <c r="C1163" t="inlineStr">
        <is>
          <t>Föryngringsavverkning</t>
        </is>
      </c>
      <c r="D1163" s="1" t="n">
        <v>46055</v>
      </c>
      <c r="E1163" s="1" t="n">
        <v>46272</v>
      </c>
      <c r="F1163" t="inlineStr">
        <is>
          <t>GÄVLEBORGS LÄN</t>
        </is>
      </c>
      <c r="G1163" t="inlineStr">
        <is>
          <t>HUDIKSVALL</t>
        </is>
      </c>
      <c r="I1163" t="n">
        <v>4.1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t="n">
        <v>0</v>
      </c>
      <c r="S1163" t="n">
        <v>0</v>
      </c>
      <c r="T1163" t="n">
        <v>0</v>
      </c>
      <c r="U1163" t="n">
        <v>0</v>
      </c>
      <c r="V1163" s="2" t="inlineStr"/>
    </row>
    <row r="1164" ht="15" customHeight="1">
      <c r="A1164" t="inlineStr">
        <is>
          <t>A 9834-2026</t>
        </is>
      </c>
      <c r="B1164" t="inlineStr">
        <is>
          <t>avverkningsanmälan</t>
        </is>
      </c>
      <c r="C1164" t="inlineStr">
        <is>
          <t>Föryngringsavverkning</t>
        </is>
      </c>
      <c r="D1164" s="1" t="n">
        <v>46072</v>
      </c>
      <c r="E1164" s="1" t="n">
        <v>46272</v>
      </c>
      <c r="F1164" t="inlineStr">
        <is>
          <t>GÄVLEBORGS LÄN</t>
        </is>
      </c>
      <c r="G1164" t="inlineStr">
        <is>
          <t>HUDIKSVALL</t>
        </is>
      </c>
      <c r="I1164" t="n">
        <v>2.4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t="n">
        <v>0</v>
      </c>
      <c r="S1164" t="n">
        <v>0</v>
      </c>
      <c r="T1164" t="n">
        <v>0</v>
      </c>
      <c r="U1164" t="n">
        <v>0</v>
      </c>
      <c r="V1164" s="2" t="inlineStr"/>
    </row>
    <row r="1165" ht="15" customHeight="1">
      <c r="A1165" t="inlineStr">
        <is>
          <t>A 21792-2026</t>
        </is>
      </c>
      <c r="B1165" t="inlineStr">
        <is>
          <t>avverkningsanmälan</t>
        </is>
      </c>
      <c r="C1165" t="inlineStr">
        <is>
          <t>Föryngringsavverkning</t>
        </is>
      </c>
      <c r="D1165" s="1" t="n">
        <v>46150</v>
      </c>
      <c r="E1165" s="1" t="n">
        <v>46272</v>
      </c>
      <c r="F1165" t="inlineStr">
        <is>
          <t>GÄVLEBORGS LÄN</t>
        </is>
      </c>
      <c r="G1165" t="inlineStr">
        <is>
          <t>HUDIKSVALL</t>
        </is>
      </c>
      <c r="I1165" t="n">
        <v>1.8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t="n">
        <v>0</v>
      </c>
      <c r="S1165" t="n">
        <v>0</v>
      </c>
      <c r="T1165" t="n">
        <v>0</v>
      </c>
      <c r="U1165" t="n">
        <v>0</v>
      </c>
      <c r="V1165" s="2" t="inlineStr"/>
    </row>
    <row r="1166" ht="15" customHeight="1">
      <c r="A1166" t="inlineStr">
        <is>
          <t>A 8752-2023</t>
        </is>
      </c>
      <c r="B1166" t="inlineStr">
        <is>
          <t>avverkningsanmälan</t>
        </is>
      </c>
      <c r="C1166" t="inlineStr">
        <is>
          <t>Föryngringsavverkning</t>
        </is>
      </c>
      <c r="D1166" s="1" t="n">
        <v>44978</v>
      </c>
      <c r="E1166" s="1" t="n">
        <v>46272</v>
      </c>
      <c r="F1166" t="inlineStr">
        <is>
          <t>GÄVLEBORGS LÄN</t>
        </is>
      </c>
      <c r="G1166" t="inlineStr">
        <is>
          <t>HUDIKSVALL</t>
        </is>
      </c>
      <c r="I1166" t="n">
        <v>5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t="n">
        <v>0</v>
      </c>
      <c r="S1166" t="n">
        <v>0</v>
      </c>
      <c r="T1166" t="n">
        <v>0</v>
      </c>
      <c r="U1166" t="n">
        <v>0</v>
      </c>
      <c r="V1166" s="2" t="inlineStr"/>
    </row>
    <row r="1167" ht="15" customHeight="1">
      <c r="A1167" t="inlineStr">
        <is>
          <t>A 7114-2025</t>
        </is>
      </c>
      <c r="B1167" t="inlineStr">
        <is>
          <t>avverkningsanmälan</t>
        </is>
      </c>
      <c r="C1167" t="inlineStr">
        <is>
          <t>Föryngringsavverkning</t>
        </is>
      </c>
      <c r="D1167" s="1" t="n">
        <v>45702</v>
      </c>
      <c r="E1167" s="1" t="n">
        <v>46272</v>
      </c>
      <c r="F1167" t="inlineStr">
        <is>
          <t>GÄVLEBORGS LÄN</t>
        </is>
      </c>
      <c r="G1167" t="inlineStr">
        <is>
          <t>HUDIKSVALL</t>
        </is>
      </c>
      <c r="H1167" t="inlineStr">
        <is>
          <t>Holmen skog AB</t>
        </is>
      </c>
      <c r="I1167" t="n">
        <v>3.1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t="n">
        <v>0</v>
      </c>
      <c r="S1167" t="n">
        <v>0</v>
      </c>
      <c r="T1167" t="n">
        <v>0</v>
      </c>
      <c r="U1167" t="n">
        <v>0</v>
      </c>
      <c r="V1167" s="2" t="inlineStr"/>
    </row>
    <row r="1168" ht="15" customHeight="1">
      <c r="A1168" t="inlineStr">
        <is>
          <t>A 4471-2026</t>
        </is>
      </c>
      <c r="B1168" t="inlineStr">
        <is>
          <t>avverkningsanmälan</t>
        </is>
      </c>
      <c r="C1168" t="inlineStr">
        <is>
          <t>Föryngringsavverkning</t>
        </is>
      </c>
      <c r="D1168" s="1" t="n">
        <v>46045</v>
      </c>
      <c r="E1168" s="1" t="n">
        <v>46272</v>
      </c>
      <c r="F1168" t="inlineStr">
        <is>
          <t>GÄVLEBORGS LÄN</t>
        </is>
      </c>
      <c r="G1168" t="inlineStr">
        <is>
          <t>HUDIKSVALL</t>
        </is>
      </c>
      <c r="I1168" t="n">
        <v>16.1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t="n">
        <v>0</v>
      </c>
      <c r="S1168" t="n">
        <v>0</v>
      </c>
      <c r="T1168" t="n">
        <v>0</v>
      </c>
      <c r="U1168" t="n">
        <v>0</v>
      </c>
      <c r="V1168" s="2" t="inlineStr"/>
    </row>
    <row r="1169" ht="15" customHeight="1">
      <c r="A1169" t="inlineStr">
        <is>
          <t>A 22455-2026</t>
        </is>
      </c>
      <c r="B1169" t="inlineStr">
        <is>
          <t>avverkningsanmälan</t>
        </is>
      </c>
      <c r="C1169" t="inlineStr">
        <is>
          <t>Föryngringsavverkning</t>
        </is>
      </c>
      <c r="D1169" s="1" t="n">
        <v>46155</v>
      </c>
      <c r="E1169" s="1" t="n">
        <v>46272</v>
      </c>
      <c r="F1169" t="inlineStr">
        <is>
          <t>GÄVLEBORGS LÄN</t>
        </is>
      </c>
      <c r="G1169" t="inlineStr">
        <is>
          <t>HUDIKSVALL</t>
        </is>
      </c>
      <c r="H1169" t="inlineStr">
        <is>
          <t>Holmen skog AB</t>
        </is>
      </c>
      <c r="I1169" t="n">
        <v>4.4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t="n">
        <v>0</v>
      </c>
      <c r="S1169" t="n">
        <v>0</v>
      </c>
      <c r="T1169" t="n">
        <v>0</v>
      </c>
      <c r="U1169" t="n">
        <v>0</v>
      </c>
      <c r="V1169" s="2" t="inlineStr"/>
    </row>
    <row r="1170" ht="15" customHeight="1">
      <c r="A1170" t="inlineStr">
        <is>
          <t>A 13484-2023</t>
        </is>
      </c>
      <c r="B1170" t="inlineStr">
        <is>
          <t>avverkningsanmälan</t>
        </is>
      </c>
      <c r="C1170" t="inlineStr">
        <is>
          <t>Föryngringsavverkning</t>
        </is>
      </c>
      <c r="D1170" s="1" t="n">
        <v>45005</v>
      </c>
      <c r="E1170" s="1" t="n">
        <v>46272</v>
      </c>
      <c r="F1170" t="inlineStr">
        <is>
          <t>GÄVLEBORGS LÄN</t>
        </is>
      </c>
      <c r="G1170" t="inlineStr">
        <is>
          <t>HUDIKSVALL</t>
        </is>
      </c>
      <c r="I1170" t="n">
        <v>4.3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t="n">
        <v>0</v>
      </c>
      <c r="S1170" t="n">
        <v>0</v>
      </c>
      <c r="T1170" t="n">
        <v>0</v>
      </c>
      <c r="U1170" t="n">
        <v>0</v>
      </c>
      <c r="V1170" s="2" t="inlineStr"/>
    </row>
    <row r="1171" ht="15" customHeight="1">
      <c r="A1171" t="inlineStr">
        <is>
          <t>A 13246-2026</t>
        </is>
      </c>
      <c r="B1171" t="inlineStr">
        <is>
          <t>avverkningsanmälan</t>
        </is>
      </c>
      <c r="C1171" t="inlineStr">
        <is>
          <t>Föryngringsavverkning</t>
        </is>
      </c>
      <c r="D1171" s="1" t="n">
        <v>46093</v>
      </c>
      <c r="E1171" s="1" t="n">
        <v>46272</v>
      </c>
      <c r="F1171" t="inlineStr">
        <is>
          <t>GÄVLEBORGS LÄN</t>
        </is>
      </c>
      <c r="G1171" t="inlineStr">
        <is>
          <t>HUDIKSVALL</t>
        </is>
      </c>
      <c r="I1171" t="n">
        <v>1.4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t="n">
        <v>0</v>
      </c>
      <c r="S1171" t="n">
        <v>0</v>
      </c>
      <c r="T1171" t="n">
        <v>0</v>
      </c>
      <c r="U1171" t="n">
        <v>0</v>
      </c>
      <c r="V1171" s="2" t="inlineStr"/>
    </row>
    <row r="1172" ht="15" customHeight="1">
      <c r="A1172" t="inlineStr">
        <is>
          <t>A 12474-2026</t>
        </is>
      </c>
      <c r="B1172" t="inlineStr">
        <is>
          <t>avverkningsanmälan</t>
        </is>
      </c>
      <c r="C1172" t="inlineStr">
        <is>
          <t>Föryngringsavverkning</t>
        </is>
      </c>
      <c r="D1172" s="1" t="n">
        <v>46090</v>
      </c>
      <c r="E1172" s="1" t="n">
        <v>46272</v>
      </c>
      <c r="F1172" t="inlineStr">
        <is>
          <t>GÄVLEBORGS LÄN</t>
        </is>
      </c>
      <c r="G1172" t="inlineStr">
        <is>
          <t>HUDIKSVALL</t>
        </is>
      </c>
      <c r="H1172" t="inlineStr">
        <is>
          <t>Naturvårdsverket</t>
        </is>
      </c>
      <c r="I1172" t="n">
        <v>6.3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t="n">
        <v>0</v>
      </c>
      <c r="S1172" t="n">
        <v>0</v>
      </c>
      <c r="T1172" t="n">
        <v>0</v>
      </c>
      <c r="U1172" t="n">
        <v>0</v>
      </c>
      <c r="V1172" s="2" t="inlineStr"/>
    </row>
    <row r="1173" ht="15" customHeight="1">
      <c r="A1173" t="inlineStr">
        <is>
          <t>A 13608-2026</t>
        </is>
      </c>
      <c r="B1173" t="inlineStr">
        <is>
          <t>avverkningsanmälan</t>
        </is>
      </c>
      <c r="C1173" t="inlineStr">
        <is>
          <t>Föryngringsavverkning</t>
        </is>
      </c>
      <c r="D1173" s="1" t="n">
        <v>46097</v>
      </c>
      <c r="E1173" s="1" t="n">
        <v>46272</v>
      </c>
      <c r="F1173" t="inlineStr">
        <is>
          <t>GÄVLEBORGS LÄN</t>
        </is>
      </c>
      <c r="G1173" t="inlineStr">
        <is>
          <t>HUDIKSVALL</t>
        </is>
      </c>
      <c r="I1173" t="n">
        <v>1.6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t="n">
        <v>0</v>
      </c>
      <c r="S1173" t="n">
        <v>0</v>
      </c>
      <c r="T1173" t="n">
        <v>0</v>
      </c>
      <c r="U1173" t="n">
        <v>0</v>
      </c>
      <c r="V1173" s="2" t="inlineStr"/>
    </row>
    <row r="1174" ht="15" customHeight="1">
      <c r="A1174" t="inlineStr">
        <is>
          <t>A 15963-2025</t>
        </is>
      </c>
      <c r="B1174" t="inlineStr">
        <is>
          <t>avverkningsanmälan</t>
        </is>
      </c>
      <c r="C1174" t="inlineStr">
        <is>
          <t>Föryngringsavverkning</t>
        </is>
      </c>
      <c r="D1174" s="1" t="n">
        <v>45749</v>
      </c>
      <c r="E1174" s="1" t="n">
        <v>46272</v>
      </c>
      <c r="F1174" t="inlineStr">
        <is>
          <t>GÄVLEBORGS LÄN</t>
        </is>
      </c>
      <c r="G1174" t="inlineStr">
        <is>
          <t>HUDIKSVALL</t>
        </is>
      </c>
      <c r="I1174" t="n">
        <v>0.6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t="n">
        <v>0</v>
      </c>
      <c r="S1174" t="n">
        <v>0</v>
      </c>
      <c r="T1174" t="n">
        <v>0</v>
      </c>
      <c r="U1174" t="n">
        <v>0</v>
      </c>
      <c r="V1174" s="2" t="inlineStr"/>
    </row>
    <row r="1175" ht="15" customHeight="1">
      <c r="A1175" t="inlineStr">
        <is>
          <t>A 20711-2023</t>
        </is>
      </c>
      <c r="B1175" t="inlineStr">
        <is>
          <t>avverkningsanmälan</t>
        </is>
      </c>
      <c r="C1175" t="inlineStr">
        <is>
          <t>Föryngringsavverkning</t>
        </is>
      </c>
      <c r="D1175" s="1" t="n">
        <v>45058</v>
      </c>
      <c r="E1175" s="1" t="n">
        <v>46272</v>
      </c>
      <c r="F1175" t="inlineStr">
        <is>
          <t>GÄVLEBORGS LÄN</t>
        </is>
      </c>
      <c r="G1175" t="inlineStr">
        <is>
          <t>HUDIKSVALL</t>
        </is>
      </c>
      <c r="I1175" t="n">
        <v>1.9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t="n">
        <v>0</v>
      </c>
      <c r="S1175" t="n">
        <v>0</v>
      </c>
      <c r="T1175" t="n">
        <v>0</v>
      </c>
      <c r="U1175" t="n">
        <v>0</v>
      </c>
      <c r="V1175" s="2" t="inlineStr"/>
    </row>
    <row r="1176" ht="15" customHeight="1">
      <c r="A1176" t="inlineStr">
        <is>
          <t>A 56256-2025</t>
        </is>
      </c>
      <c r="B1176" t="inlineStr">
        <is>
          <t>avverkningsanmälan</t>
        </is>
      </c>
      <c r="C1176" t="inlineStr">
        <is>
          <t>Föryngringsavverkning</t>
        </is>
      </c>
      <c r="D1176" s="1" t="n">
        <v>45974</v>
      </c>
      <c r="E1176" s="1" t="n">
        <v>46272</v>
      </c>
      <c r="F1176" t="inlineStr">
        <is>
          <t>GÄVLEBORGS LÄN</t>
        </is>
      </c>
      <c r="G1176" t="inlineStr">
        <is>
          <t>HUDIKSVALL</t>
        </is>
      </c>
      <c r="H1176" t="inlineStr">
        <is>
          <t>Holmen skog AB</t>
        </is>
      </c>
      <c r="I1176" t="n">
        <v>8.6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t="n">
        <v>0</v>
      </c>
      <c r="S1176" t="n">
        <v>0</v>
      </c>
      <c r="T1176" t="n">
        <v>0</v>
      </c>
      <c r="U1176" t="n">
        <v>0</v>
      </c>
      <c r="V1176" s="2" t="inlineStr"/>
    </row>
    <row r="1177" ht="15" customHeight="1">
      <c r="A1177" t="inlineStr">
        <is>
          <t>A 16849-2023</t>
        </is>
      </c>
      <c r="B1177" t="inlineStr">
        <is>
          <t>avverkningsanmälan</t>
        </is>
      </c>
      <c r="C1177" t="inlineStr">
        <is>
          <t>Föryngringsavverkning</t>
        </is>
      </c>
      <c r="D1177" s="1" t="n">
        <v>45033</v>
      </c>
      <c r="E1177" s="1" t="n">
        <v>46272</v>
      </c>
      <c r="F1177" t="inlineStr">
        <is>
          <t>GÄVLEBORGS LÄN</t>
        </is>
      </c>
      <c r="G1177" t="inlineStr">
        <is>
          <t>HUDIKSVALL</t>
        </is>
      </c>
      <c r="I1177" t="n">
        <v>2.4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t="n">
        <v>0</v>
      </c>
      <c r="S1177" t="n">
        <v>0</v>
      </c>
      <c r="T1177" t="n">
        <v>0</v>
      </c>
      <c r="U1177" t="n">
        <v>0</v>
      </c>
      <c r="V1177" s="2" t="inlineStr"/>
    </row>
    <row r="1178" ht="15" customHeight="1">
      <c r="A1178" t="inlineStr">
        <is>
          <t>A 45096-2023</t>
        </is>
      </c>
      <c r="B1178" t="inlineStr">
        <is>
          <t>avverkningsanmälan</t>
        </is>
      </c>
      <c r="C1178" t="inlineStr">
        <is>
          <t>Föryngringsavverkning</t>
        </is>
      </c>
      <c r="D1178" s="1" t="n">
        <v>45191</v>
      </c>
      <c r="E1178" s="1" t="n">
        <v>46272</v>
      </c>
      <c r="F1178" t="inlineStr">
        <is>
          <t>GÄVLEBORGS LÄN</t>
        </is>
      </c>
      <c r="G1178" t="inlineStr">
        <is>
          <t>HUDIKSVALL</t>
        </is>
      </c>
      <c r="I1178" t="n">
        <v>2.5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t="n">
        <v>0</v>
      </c>
      <c r="S1178" t="n">
        <v>0</v>
      </c>
      <c r="T1178" t="n">
        <v>0</v>
      </c>
      <c r="U1178" t="n">
        <v>0</v>
      </c>
      <c r="V1178" s="2" t="inlineStr"/>
    </row>
    <row r="1179" ht="15" customHeight="1">
      <c r="A1179" t="inlineStr">
        <is>
          <t>A 22553-2026</t>
        </is>
      </c>
      <c r="B1179" t="inlineStr">
        <is>
          <t>avverkningsanmälan</t>
        </is>
      </c>
      <c r="C1179" t="inlineStr">
        <is>
          <t>Föryngringsavverkning</t>
        </is>
      </c>
      <c r="D1179" s="1" t="n">
        <v>46155</v>
      </c>
      <c r="E1179" s="1" t="n">
        <v>46272</v>
      </c>
      <c r="F1179" t="inlineStr">
        <is>
          <t>GÄVLEBORGS LÄN</t>
        </is>
      </c>
      <c r="G1179" t="inlineStr">
        <is>
          <t>HUDIKSVALL</t>
        </is>
      </c>
      <c r="H1179" t="inlineStr">
        <is>
          <t>Holmen skog AB</t>
        </is>
      </c>
      <c r="I1179" t="n">
        <v>67.5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t="n">
        <v>0</v>
      </c>
      <c r="S1179" t="n">
        <v>0</v>
      </c>
      <c r="T1179" t="n">
        <v>0</v>
      </c>
      <c r="U1179" t="n">
        <v>0</v>
      </c>
      <c r="V1179" s="2" t="inlineStr"/>
    </row>
    <row r="1180" ht="15" customHeight="1">
      <c r="A1180" t="inlineStr">
        <is>
          <t>A 5940-2025</t>
        </is>
      </c>
      <c r="B1180" t="inlineStr">
        <is>
          <t>avverkningsanmälan</t>
        </is>
      </c>
      <c r="C1180" t="inlineStr">
        <is>
          <t>Föryngringsavverkning</t>
        </is>
      </c>
      <c r="D1180" s="1" t="n">
        <v>45695</v>
      </c>
      <c r="E1180" s="1" t="n">
        <v>46272</v>
      </c>
      <c r="F1180" t="inlineStr">
        <is>
          <t>GÄVLEBORGS LÄN</t>
        </is>
      </c>
      <c r="G1180" t="inlineStr">
        <is>
          <t>HUDIKSVALL</t>
        </is>
      </c>
      <c r="I1180" t="n">
        <v>0.9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t="n">
        <v>0</v>
      </c>
      <c r="S1180" t="n">
        <v>0</v>
      </c>
      <c r="T1180" t="n">
        <v>0</v>
      </c>
      <c r="U1180" t="n">
        <v>0</v>
      </c>
      <c r="V1180" s="2" t="inlineStr"/>
    </row>
    <row r="1181" ht="15" customHeight="1">
      <c r="A1181" t="inlineStr">
        <is>
          <t>A 5946-2025</t>
        </is>
      </c>
      <c r="B1181" t="inlineStr">
        <is>
          <t>avverkningsanmälan</t>
        </is>
      </c>
      <c r="C1181" t="inlineStr">
        <is>
          <t>Föryngringsavverkning</t>
        </is>
      </c>
      <c r="D1181" s="1" t="n">
        <v>45695</v>
      </c>
      <c r="E1181" s="1" t="n">
        <v>46272</v>
      </c>
      <c r="F1181" t="inlineStr">
        <is>
          <t>GÄVLEBORGS LÄN</t>
        </is>
      </c>
      <c r="G1181" t="inlineStr">
        <is>
          <t>HUDIKSVALL</t>
        </is>
      </c>
      <c r="I1181" t="n">
        <v>1.9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t="n">
        <v>0</v>
      </c>
      <c r="S1181" t="n">
        <v>0</v>
      </c>
      <c r="T1181" t="n">
        <v>0</v>
      </c>
      <c r="U1181" t="n">
        <v>0</v>
      </c>
      <c r="V1181" s="2" t="inlineStr"/>
    </row>
    <row r="1182" ht="15" customHeight="1">
      <c r="A1182" t="inlineStr">
        <is>
          <t>A 22330-2026</t>
        </is>
      </c>
      <c r="B1182" t="inlineStr">
        <is>
          <t>avverkningsanmälan</t>
        </is>
      </c>
      <c r="C1182" t="inlineStr">
        <is>
          <t>Föryngringsavverkning</t>
        </is>
      </c>
      <c r="D1182" s="1" t="n">
        <v>46154</v>
      </c>
      <c r="E1182" s="1" t="n">
        <v>46272</v>
      </c>
      <c r="F1182" t="inlineStr">
        <is>
          <t>GÄVLEBORGS LÄN</t>
        </is>
      </c>
      <c r="G1182" t="inlineStr">
        <is>
          <t>HUDIKSVALL</t>
        </is>
      </c>
      <c r="H1182" t="inlineStr">
        <is>
          <t>Holmen skog AB</t>
        </is>
      </c>
      <c r="I1182" t="n">
        <v>0.7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t="n">
        <v>0</v>
      </c>
      <c r="S1182" t="n">
        <v>0</v>
      </c>
      <c r="T1182" t="n">
        <v>0</v>
      </c>
      <c r="U1182" t="n">
        <v>0</v>
      </c>
      <c r="V1182" s="2" t="inlineStr"/>
    </row>
    <row r="1183" ht="15" customHeight="1">
      <c r="A1183" t="inlineStr">
        <is>
          <t>A 22332-2026</t>
        </is>
      </c>
      <c r="B1183" t="inlineStr">
        <is>
          <t>avverkningsanmälan</t>
        </is>
      </c>
      <c r="C1183" t="inlineStr">
        <is>
          <t>Föryngringsavverkning</t>
        </is>
      </c>
      <c r="D1183" s="1" t="n">
        <v>46154</v>
      </c>
      <c r="E1183" s="1" t="n">
        <v>46272</v>
      </c>
      <c r="F1183" t="inlineStr">
        <is>
          <t>GÄVLEBORGS LÄN</t>
        </is>
      </c>
      <c r="G1183" t="inlineStr">
        <is>
          <t>HUDIKSVALL</t>
        </is>
      </c>
      <c r="H1183" t="inlineStr">
        <is>
          <t>Holmen skog AB</t>
        </is>
      </c>
      <c r="I1183" t="n">
        <v>7.3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t="n">
        <v>0</v>
      </c>
      <c r="S1183" t="n">
        <v>0</v>
      </c>
      <c r="T1183" t="n">
        <v>0</v>
      </c>
      <c r="U1183" t="n">
        <v>0</v>
      </c>
      <c r="V1183" s="2" t="inlineStr"/>
    </row>
    <row r="1184" ht="15" customHeight="1">
      <c r="A1184" t="inlineStr">
        <is>
          <t>A 56366-2024</t>
        </is>
      </c>
      <c r="B1184" t="inlineStr">
        <is>
          <t>avverkningsanmälan</t>
        </is>
      </c>
      <c r="C1184" t="inlineStr">
        <is>
          <t>Föryngringsavverkning</t>
        </is>
      </c>
      <c r="D1184" s="1" t="n">
        <v>45625</v>
      </c>
      <c r="E1184" s="1" t="n">
        <v>46272</v>
      </c>
      <c r="F1184" t="inlineStr">
        <is>
          <t>GÄVLEBORGS LÄN</t>
        </is>
      </c>
      <c r="G1184" t="inlineStr">
        <is>
          <t>HUDIKSVALL</t>
        </is>
      </c>
      <c r="I1184" t="n">
        <v>5.7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t="n">
        <v>0</v>
      </c>
      <c r="S1184" t="n">
        <v>0</v>
      </c>
      <c r="T1184" t="n">
        <v>0</v>
      </c>
      <c r="U1184" t="n">
        <v>0</v>
      </c>
      <c r="V1184" s="2" t="inlineStr"/>
    </row>
    <row r="1185" ht="15" customHeight="1">
      <c r="A1185" t="inlineStr">
        <is>
          <t>A 22427-2026</t>
        </is>
      </c>
      <c r="B1185" t="inlineStr">
        <is>
          <t>avverkningsanmälan</t>
        </is>
      </c>
      <c r="C1185" t="inlineStr">
        <is>
          <t>Föryngringsavverkning</t>
        </is>
      </c>
      <c r="D1185" s="1" t="n">
        <v>46154</v>
      </c>
      <c r="E1185" s="1" t="n">
        <v>46272</v>
      </c>
      <c r="F1185" t="inlineStr">
        <is>
          <t>GÄVLEBORGS LÄN</t>
        </is>
      </c>
      <c r="G1185" t="inlineStr">
        <is>
          <t>HUDIKSVALL</t>
        </is>
      </c>
      <c r="I1185" t="n">
        <v>0.8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t="n">
        <v>0</v>
      </c>
      <c r="S1185" t="n">
        <v>0</v>
      </c>
      <c r="T1185" t="n">
        <v>0</v>
      </c>
      <c r="U1185" t="n">
        <v>0</v>
      </c>
      <c r="V1185" s="2" t="inlineStr"/>
    </row>
    <row r="1186" ht="15" customHeight="1">
      <c r="A1186" t="inlineStr">
        <is>
          <t>A 22466-2026</t>
        </is>
      </c>
      <c r="B1186" t="inlineStr">
        <is>
          <t>avverkningsanmälan</t>
        </is>
      </c>
      <c r="C1186" t="inlineStr">
        <is>
          <t>Föryngringsavverkning</t>
        </is>
      </c>
      <c r="D1186" s="1" t="n">
        <v>46155</v>
      </c>
      <c r="E1186" s="1" t="n">
        <v>46272</v>
      </c>
      <c r="F1186" t="inlineStr">
        <is>
          <t>GÄVLEBORGS LÄN</t>
        </is>
      </c>
      <c r="G1186" t="inlineStr">
        <is>
          <t>HUDIKSVALL</t>
        </is>
      </c>
      <c r="H1186" t="inlineStr">
        <is>
          <t>Holmen skog AB</t>
        </is>
      </c>
      <c r="I1186" t="n">
        <v>1.8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t="n">
        <v>0</v>
      </c>
      <c r="S1186" t="n">
        <v>0</v>
      </c>
      <c r="T1186" t="n">
        <v>0</v>
      </c>
      <c r="U1186" t="n">
        <v>0</v>
      </c>
      <c r="V1186" s="2" t="inlineStr"/>
    </row>
    <row r="1187" ht="15" customHeight="1">
      <c r="A1187" t="inlineStr">
        <is>
          <t>A 11639-2026</t>
        </is>
      </c>
      <c r="B1187" t="inlineStr">
        <is>
          <t>avverkningsanmälan</t>
        </is>
      </c>
      <c r="C1187" t="inlineStr">
        <is>
          <t>Föryngringsavverkning</t>
        </is>
      </c>
      <c r="D1187" s="1" t="n">
        <v>46084</v>
      </c>
      <c r="E1187" s="1" t="n">
        <v>46272</v>
      </c>
      <c r="F1187" t="inlineStr">
        <is>
          <t>GÄVLEBORGS LÄN</t>
        </is>
      </c>
      <c r="G1187" t="inlineStr">
        <is>
          <t>HUDIKSVALL</t>
        </is>
      </c>
      <c r="I1187" t="n">
        <v>1.9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t="n">
        <v>0</v>
      </c>
      <c r="S1187" t="n">
        <v>0</v>
      </c>
      <c r="T1187" t="n">
        <v>0</v>
      </c>
      <c r="U1187" t="n">
        <v>0</v>
      </c>
      <c r="V1187" s="2" t="inlineStr"/>
    </row>
    <row r="1188" ht="15" customHeight="1">
      <c r="A1188" t="inlineStr">
        <is>
          <t>A 16112-2026</t>
        </is>
      </c>
      <c r="B1188" t="inlineStr">
        <is>
          <t>avverkningsanmälan</t>
        </is>
      </c>
      <c r="C1188" t="inlineStr">
        <is>
          <t>Föryngringsavverkning</t>
        </is>
      </c>
      <c r="D1188" s="1" t="n">
        <v>46108</v>
      </c>
      <c r="E1188" s="1" t="n">
        <v>46272</v>
      </c>
      <c r="F1188" t="inlineStr">
        <is>
          <t>GÄVLEBORGS LÄN</t>
        </is>
      </c>
      <c r="G1188" t="inlineStr">
        <is>
          <t>HUDIKSVALL</t>
        </is>
      </c>
      <c r="H1188" t="inlineStr">
        <is>
          <t>Holmen skog AB</t>
        </is>
      </c>
      <c r="I1188" t="n">
        <v>2.1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t="n">
        <v>0</v>
      </c>
      <c r="S1188" t="n">
        <v>0</v>
      </c>
      <c r="T1188" t="n">
        <v>0</v>
      </c>
      <c r="U1188" t="n">
        <v>0</v>
      </c>
      <c r="V1188" s="2" t="inlineStr"/>
    </row>
    <row r="1189" ht="15" customHeight="1">
      <c r="A1189" t="inlineStr">
        <is>
          <t>A 32109-2024</t>
        </is>
      </c>
      <c r="B1189" t="inlineStr">
        <is>
          <t>avverkningsanmälan</t>
        </is>
      </c>
      <c r="C1189" t="inlineStr">
        <is>
          <t>Föryngringsavverkning</t>
        </is>
      </c>
      <c r="D1189" s="1" t="n">
        <v>45511</v>
      </c>
      <c r="E1189" s="1" t="n">
        <v>46272</v>
      </c>
      <c r="F1189" t="inlineStr">
        <is>
          <t>GÄVLEBORGS LÄN</t>
        </is>
      </c>
      <c r="G1189" t="inlineStr">
        <is>
          <t>HUDIKSVALL</t>
        </is>
      </c>
      <c r="I1189" t="n">
        <v>2.7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t="n">
        <v>0</v>
      </c>
      <c r="S1189" t="n">
        <v>0</v>
      </c>
      <c r="T1189" t="n">
        <v>0</v>
      </c>
      <c r="U1189" t="n">
        <v>0</v>
      </c>
      <c r="V1189" s="2" t="inlineStr"/>
    </row>
    <row r="1190" ht="15" customHeight="1">
      <c r="A1190" t="inlineStr">
        <is>
          <t>A 47472-2023</t>
        </is>
      </c>
      <c r="B1190" t="inlineStr">
        <is>
          <t>avverkningsanmälan</t>
        </is>
      </c>
      <c r="C1190" t="inlineStr">
        <is>
          <t>Föryngringsavverkning</t>
        </is>
      </c>
      <c r="D1190" s="1" t="n">
        <v>45202</v>
      </c>
      <c r="E1190" s="1" t="n">
        <v>46272</v>
      </c>
      <c r="F1190" t="inlineStr">
        <is>
          <t>GÄVLEBORGS LÄN</t>
        </is>
      </c>
      <c r="G1190" t="inlineStr">
        <is>
          <t>HUDIKSVALL</t>
        </is>
      </c>
      <c r="I1190" t="n">
        <v>1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t="n">
        <v>0</v>
      </c>
      <c r="S1190" t="n">
        <v>0</v>
      </c>
      <c r="T1190" t="n">
        <v>0</v>
      </c>
      <c r="U1190" t="n">
        <v>0</v>
      </c>
      <c r="V1190" s="2" t="inlineStr"/>
    </row>
    <row r="1191" ht="15" customHeight="1">
      <c r="A1191" t="inlineStr">
        <is>
          <t>A 48597-2024</t>
        </is>
      </c>
      <c r="B1191" t="inlineStr">
        <is>
          <t>avverkningsanmälan</t>
        </is>
      </c>
      <c r="C1191" t="inlineStr">
        <is>
          <t>Föryngringsavverkning</t>
        </is>
      </c>
      <c r="D1191" s="1" t="n">
        <v>45593</v>
      </c>
      <c r="E1191" s="1" t="n">
        <v>46272</v>
      </c>
      <c r="F1191" t="inlineStr">
        <is>
          <t>GÄVLEBORGS LÄN</t>
        </is>
      </c>
      <c r="G1191" t="inlineStr">
        <is>
          <t>HUDIKSVALL</t>
        </is>
      </c>
      <c r="I1191" t="n">
        <v>0.5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t="n">
        <v>0</v>
      </c>
      <c r="S1191" t="n">
        <v>0</v>
      </c>
      <c r="T1191" t="n">
        <v>0</v>
      </c>
      <c r="U1191" t="n">
        <v>0</v>
      </c>
      <c r="V1191" s="2" t="inlineStr"/>
    </row>
    <row r="1192" ht="15" customHeight="1">
      <c r="A1192" t="inlineStr">
        <is>
          <t>A 59741-2022</t>
        </is>
      </c>
      <c r="B1192" t="inlineStr">
        <is>
          <t>avverkningsanmälan</t>
        </is>
      </c>
      <c r="C1192" t="inlineStr">
        <is>
          <t>Föryngringsavverkning</t>
        </is>
      </c>
      <c r="D1192" s="1" t="n">
        <v>44908</v>
      </c>
      <c r="E1192" s="1" t="n">
        <v>46272</v>
      </c>
      <c r="F1192" t="inlineStr">
        <is>
          <t>GÄVLEBORGS LÄN</t>
        </is>
      </c>
      <c r="G1192" t="inlineStr">
        <is>
          <t>HUDIKSVALL</t>
        </is>
      </c>
      <c r="I1192" t="n">
        <v>7.3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t="n">
        <v>0</v>
      </c>
      <c r="S1192" t="n">
        <v>0</v>
      </c>
      <c r="T1192" t="n">
        <v>0</v>
      </c>
      <c r="U1192" t="n">
        <v>0</v>
      </c>
      <c r="V1192" s="2" t="inlineStr"/>
    </row>
    <row r="1193" ht="15" customHeight="1">
      <c r="A1193" t="inlineStr">
        <is>
          <t>A 59742-2022</t>
        </is>
      </c>
      <c r="B1193" t="inlineStr">
        <is>
          <t>avverkningsanmälan</t>
        </is>
      </c>
      <c r="C1193" t="inlineStr">
        <is>
          <t>Föryngringsavverkning</t>
        </is>
      </c>
      <c r="D1193" s="1" t="n">
        <v>44908</v>
      </c>
      <c r="E1193" s="1" t="n">
        <v>46272</v>
      </c>
      <c r="F1193" t="inlineStr">
        <is>
          <t>GÄVLEBORGS LÄN</t>
        </is>
      </c>
      <c r="G1193" t="inlineStr">
        <is>
          <t>HUDIKSVALL</t>
        </is>
      </c>
      <c r="H1193" t="inlineStr">
        <is>
          <t>Holmen skog AB</t>
        </is>
      </c>
      <c r="I1193" t="n">
        <v>0.8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t="n">
        <v>0</v>
      </c>
      <c r="S1193" t="n">
        <v>0</v>
      </c>
      <c r="T1193" t="n">
        <v>0</v>
      </c>
      <c r="U1193" t="n">
        <v>0</v>
      </c>
      <c r="V1193" s="2" t="inlineStr"/>
    </row>
    <row r="1194" ht="15" customHeight="1">
      <c r="A1194" t="inlineStr">
        <is>
          <t>A 22783-2026</t>
        </is>
      </c>
      <c r="B1194" t="inlineStr">
        <is>
          <t>avverkningsanmälan</t>
        </is>
      </c>
      <c r="C1194" t="inlineStr">
        <is>
          <t>Föryngringsavverkning</t>
        </is>
      </c>
      <c r="D1194" s="1" t="n">
        <v>46157</v>
      </c>
      <c r="E1194" s="1" t="n">
        <v>46272</v>
      </c>
      <c r="F1194" t="inlineStr">
        <is>
          <t>GÄVLEBORGS LÄN</t>
        </is>
      </c>
      <c r="G1194" t="inlineStr">
        <is>
          <t>HUDIKSVALL</t>
        </is>
      </c>
      <c r="H1194" t="inlineStr">
        <is>
          <t>Holmen skog AB</t>
        </is>
      </c>
      <c r="I1194" t="n">
        <v>3.1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t="n">
        <v>0</v>
      </c>
      <c r="S1194" t="n">
        <v>0</v>
      </c>
      <c r="T1194" t="n">
        <v>0</v>
      </c>
      <c r="U1194" t="n">
        <v>0</v>
      </c>
      <c r="V1194" s="2" t="inlineStr"/>
    </row>
    <row r="1195" ht="15" customHeight="1">
      <c r="A1195" t="inlineStr">
        <is>
          <t>A 22673-2026</t>
        </is>
      </c>
      <c r="B1195" t="inlineStr">
        <is>
          <t>avverkningsanmälan</t>
        </is>
      </c>
      <c r="C1195" t="inlineStr">
        <is>
          <t>Föryngringsavverkning</t>
        </is>
      </c>
      <c r="D1195" s="1" t="n">
        <v>46155</v>
      </c>
      <c r="E1195" s="1" t="n">
        <v>46272</v>
      </c>
      <c r="F1195" t="inlineStr">
        <is>
          <t>GÄVLEBORGS LÄN</t>
        </is>
      </c>
      <c r="G1195" t="inlineStr">
        <is>
          <t>HUDIKSVALL</t>
        </is>
      </c>
      <c r="I1195" t="n">
        <v>4.3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t="n">
        <v>0</v>
      </c>
      <c r="S1195" t="n">
        <v>0</v>
      </c>
      <c r="T1195" t="n">
        <v>0</v>
      </c>
      <c r="U1195" t="n">
        <v>0</v>
      </c>
      <c r="V1195" s="2" t="inlineStr"/>
    </row>
    <row r="1196" ht="15" customHeight="1">
      <c r="A1196" t="inlineStr">
        <is>
          <t>A 45725-2023</t>
        </is>
      </c>
      <c r="B1196" t="inlineStr">
        <is>
          <t>avverkningsanmälan</t>
        </is>
      </c>
      <c r="C1196" t="inlineStr">
        <is>
          <t>Avverkning för annat ändamål</t>
        </is>
      </c>
      <c r="D1196" s="1" t="n">
        <v>45195</v>
      </c>
      <c r="E1196" s="1" t="n">
        <v>46272</v>
      </c>
      <c r="F1196" t="inlineStr">
        <is>
          <t>GÄVLEBORGS LÄN</t>
        </is>
      </c>
      <c r="G1196" t="inlineStr">
        <is>
          <t>HUDIKSVALL</t>
        </is>
      </c>
      <c r="H1196" t="inlineStr">
        <is>
          <t>Holmen skog AB</t>
        </is>
      </c>
      <c r="I1196" t="n">
        <v>1.1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t="n">
        <v>0</v>
      </c>
      <c r="S1196" t="n">
        <v>0</v>
      </c>
      <c r="T1196" t="n">
        <v>0</v>
      </c>
      <c r="U1196" t="n">
        <v>0</v>
      </c>
      <c r="V1196" s="2" t="inlineStr"/>
    </row>
    <row r="1197" ht="15" customHeight="1">
      <c r="A1197" t="inlineStr">
        <is>
          <t>A 36408-2024</t>
        </is>
      </c>
      <c r="B1197" t="inlineStr">
        <is>
          <t>avverkningsanmälan</t>
        </is>
      </c>
      <c r="C1197" t="inlineStr">
        <is>
          <t>Föryngringsavverkning</t>
        </is>
      </c>
      <c r="D1197" s="1" t="n">
        <v>45535</v>
      </c>
      <c r="E1197" s="1" t="n">
        <v>46272</v>
      </c>
      <c r="F1197" t="inlineStr">
        <is>
          <t>GÄVLEBORGS LÄN</t>
        </is>
      </c>
      <c r="G1197" t="inlineStr">
        <is>
          <t>HUDIKSVALL</t>
        </is>
      </c>
      <c r="H1197" t="inlineStr">
        <is>
          <t>Holmen skog AB</t>
        </is>
      </c>
      <c r="I1197" t="n">
        <v>0.6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t="n">
        <v>0</v>
      </c>
      <c r="S1197" t="n">
        <v>0</v>
      </c>
      <c r="T1197" t="n">
        <v>0</v>
      </c>
      <c r="U1197" t="n">
        <v>0</v>
      </c>
      <c r="V1197" s="2" t="inlineStr"/>
    </row>
    <row r="1198" ht="15" customHeight="1">
      <c r="A1198" t="inlineStr">
        <is>
          <t>A 57891-2023</t>
        </is>
      </c>
      <c r="B1198" t="inlineStr">
        <is>
          <t>avverkningsanmälan</t>
        </is>
      </c>
      <c r="C1198" t="inlineStr">
        <is>
          <t>Föryngringsavverkning</t>
        </is>
      </c>
      <c r="D1198" s="1" t="n">
        <v>45247</v>
      </c>
      <c r="E1198" s="1" t="n">
        <v>46272</v>
      </c>
      <c r="F1198" t="inlineStr">
        <is>
          <t>GÄVLEBORGS LÄN</t>
        </is>
      </c>
      <c r="G1198" t="inlineStr">
        <is>
          <t>HUDIKSVALL</t>
        </is>
      </c>
      <c r="H1198" t="inlineStr">
        <is>
          <t>Holmen skog AB</t>
        </is>
      </c>
      <c r="I1198" t="n">
        <v>1.8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t="n">
        <v>0</v>
      </c>
      <c r="S1198" t="n">
        <v>0</v>
      </c>
      <c r="T1198" t="n">
        <v>0</v>
      </c>
      <c r="U1198" t="n">
        <v>0</v>
      </c>
      <c r="V1198" s="2" t="inlineStr"/>
    </row>
    <row r="1199" ht="15" customHeight="1">
      <c r="A1199" t="inlineStr">
        <is>
          <t>A 23067-2026</t>
        </is>
      </c>
      <c r="B1199" t="inlineStr">
        <is>
          <t>avverkningsanmälan</t>
        </is>
      </c>
      <c r="C1199" t="inlineStr">
        <is>
          <t>Föryngringsavverkning</t>
        </is>
      </c>
      <c r="D1199" s="1" t="n">
        <v>46161</v>
      </c>
      <c r="E1199" s="1" t="n">
        <v>46272</v>
      </c>
      <c r="F1199" t="inlineStr">
        <is>
          <t>GÄVLEBORGS LÄN</t>
        </is>
      </c>
      <c r="G1199" t="inlineStr">
        <is>
          <t>HUDIKSVALL</t>
        </is>
      </c>
      <c r="H1199" t="inlineStr">
        <is>
          <t>Holmen skog AB</t>
        </is>
      </c>
      <c r="I1199" t="n">
        <v>3.2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t="n">
        <v>0</v>
      </c>
      <c r="S1199" t="n">
        <v>0</v>
      </c>
      <c r="T1199" t="n">
        <v>0</v>
      </c>
      <c r="U1199" t="n">
        <v>0</v>
      </c>
      <c r="V1199" s="2" t="inlineStr"/>
    </row>
    <row r="1200" ht="15" customHeight="1">
      <c r="A1200" t="inlineStr">
        <is>
          <t>A 23070-2026</t>
        </is>
      </c>
      <c r="B1200" t="inlineStr">
        <is>
          <t>avverkningsanmälan</t>
        </is>
      </c>
      <c r="C1200" t="inlineStr">
        <is>
          <t>Föryngringsavverkning</t>
        </is>
      </c>
      <c r="D1200" s="1" t="n">
        <v>46161</v>
      </c>
      <c r="E1200" s="1" t="n">
        <v>46272</v>
      </c>
      <c r="F1200" t="inlineStr">
        <is>
          <t>GÄVLEBORGS LÄN</t>
        </is>
      </c>
      <c r="G1200" t="inlineStr">
        <is>
          <t>HUDIKSVALL</t>
        </is>
      </c>
      <c r="H1200" t="inlineStr">
        <is>
          <t>Holmen skog AB</t>
        </is>
      </c>
      <c r="I1200" t="n">
        <v>17.4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t="n">
        <v>0</v>
      </c>
      <c r="S1200" t="n">
        <v>0</v>
      </c>
      <c r="T1200" t="n">
        <v>0</v>
      </c>
      <c r="U1200" t="n">
        <v>0</v>
      </c>
      <c r="V1200" s="2" t="inlineStr"/>
    </row>
    <row r="1201" ht="15" customHeight="1">
      <c r="A1201" t="inlineStr">
        <is>
          <t>A 22828-2026</t>
        </is>
      </c>
      <c r="B1201" t="inlineStr">
        <is>
          <t>avverkningsanmälan</t>
        </is>
      </c>
      <c r="C1201" t="inlineStr">
        <is>
          <t>Föryngringsavverkning</t>
        </is>
      </c>
      <c r="D1201" s="1" t="n">
        <v>46160</v>
      </c>
      <c r="E1201" s="1" t="n">
        <v>46272</v>
      </c>
      <c r="F1201" t="inlineStr">
        <is>
          <t>GÄVLEBORGS LÄN</t>
        </is>
      </c>
      <c r="G1201" t="inlineStr">
        <is>
          <t>HUDIKSVALL</t>
        </is>
      </c>
      <c r="H1201" t="inlineStr">
        <is>
          <t>Kyrkan</t>
        </is>
      </c>
      <c r="I1201" t="n">
        <v>1.6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t="n">
        <v>0</v>
      </c>
      <c r="S1201" t="n">
        <v>0</v>
      </c>
      <c r="T1201" t="n">
        <v>0</v>
      </c>
      <c r="U1201" t="n">
        <v>0</v>
      </c>
      <c r="V1201" s="2" t="inlineStr"/>
    </row>
    <row r="1202" ht="15" customHeight="1">
      <c r="A1202" t="inlineStr">
        <is>
          <t>A 14647-2026</t>
        </is>
      </c>
      <c r="B1202" t="inlineStr">
        <is>
          <t>avverkningsanmälan</t>
        </is>
      </c>
      <c r="C1202" t="inlineStr">
        <is>
          <t>Föryngringsavverkning</t>
        </is>
      </c>
      <c r="D1202" s="1" t="n">
        <v>46101</v>
      </c>
      <c r="E1202" s="1" t="n">
        <v>46272</v>
      </c>
      <c r="F1202" t="inlineStr">
        <is>
          <t>GÄVLEBORGS LÄN</t>
        </is>
      </c>
      <c r="G1202" t="inlineStr">
        <is>
          <t>HUDIKSVALL</t>
        </is>
      </c>
      <c r="I1202" t="n">
        <v>3.8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t="n">
        <v>0</v>
      </c>
      <c r="S1202" t="n">
        <v>0</v>
      </c>
      <c r="T1202" t="n">
        <v>0</v>
      </c>
      <c r="U1202" t="n">
        <v>0</v>
      </c>
      <c r="V1202" s="2" t="inlineStr"/>
    </row>
    <row r="1203" ht="15" customHeight="1">
      <c r="A1203" t="inlineStr">
        <is>
          <t>A 34293-2024</t>
        </is>
      </c>
      <c r="B1203" t="inlineStr">
        <is>
          <t>avverkningsanmälan</t>
        </is>
      </c>
      <c r="C1203" t="inlineStr">
        <is>
          <t>Föryngringsavverkning</t>
        </is>
      </c>
      <c r="D1203" s="1" t="n">
        <v>45524</v>
      </c>
      <c r="E1203" s="1" t="n">
        <v>46272</v>
      </c>
      <c r="F1203" t="inlineStr">
        <is>
          <t>GÄVLEBORGS LÄN</t>
        </is>
      </c>
      <c r="G1203" t="inlineStr">
        <is>
          <t>HUDIKSVALL</t>
        </is>
      </c>
      <c r="H1203" t="inlineStr">
        <is>
          <t>Holmen skog AB</t>
        </is>
      </c>
      <c r="I1203" t="n">
        <v>0.9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t="n">
        <v>0</v>
      </c>
      <c r="S1203" t="n">
        <v>0</v>
      </c>
      <c r="T1203" t="n">
        <v>0</v>
      </c>
      <c r="U1203" t="n">
        <v>0</v>
      </c>
      <c r="V1203" s="2" t="inlineStr"/>
    </row>
    <row r="1204" ht="15" customHeight="1">
      <c r="A1204" t="inlineStr">
        <is>
          <t>A 28810-2023</t>
        </is>
      </c>
      <c r="B1204" t="inlineStr">
        <is>
          <t>avverkningsanmälan</t>
        </is>
      </c>
      <c r="C1204" t="inlineStr">
        <is>
          <t>Avverkning för att bevara och utveckla /försöksver</t>
        </is>
      </c>
      <c r="D1204" s="1" t="n">
        <v>45104</v>
      </c>
      <c r="E1204" s="1" t="n">
        <v>46272</v>
      </c>
      <c r="F1204" t="inlineStr">
        <is>
          <t>GÄVLEBORGS LÄN</t>
        </is>
      </c>
      <c r="G1204" t="inlineStr">
        <is>
          <t>HUDIKSVALL</t>
        </is>
      </c>
      <c r="I1204" t="n">
        <v>1.3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t="n">
        <v>0</v>
      </c>
      <c r="S1204" t="n">
        <v>0</v>
      </c>
      <c r="T1204" t="n">
        <v>0</v>
      </c>
      <c r="U1204" t="n">
        <v>0</v>
      </c>
      <c r="V1204" s="2" t="inlineStr"/>
    </row>
    <row r="1205" ht="15" customHeight="1">
      <c r="A1205" t="inlineStr">
        <is>
          <t>A 20024-2024</t>
        </is>
      </c>
      <c r="B1205" t="inlineStr">
        <is>
          <t>avverkningsanmälan</t>
        </is>
      </c>
      <c r="C1205" t="inlineStr">
        <is>
          <t>Föryngringsavverkning</t>
        </is>
      </c>
      <c r="D1205" s="1" t="n">
        <v>45434</v>
      </c>
      <c r="E1205" s="1" t="n">
        <v>46272</v>
      </c>
      <c r="F1205" t="inlineStr">
        <is>
          <t>GÄVLEBORGS LÄN</t>
        </is>
      </c>
      <c r="G1205" t="inlineStr">
        <is>
          <t>HUDIKSVALL</t>
        </is>
      </c>
      <c r="I1205" t="n">
        <v>1.9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t="n">
        <v>0</v>
      </c>
      <c r="S1205" t="n">
        <v>0</v>
      </c>
      <c r="T1205" t="n">
        <v>0</v>
      </c>
      <c r="U1205" t="n">
        <v>0</v>
      </c>
      <c r="V1205" s="2" t="inlineStr"/>
    </row>
    <row r="1206" ht="15" customHeight="1">
      <c r="A1206" t="inlineStr">
        <is>
          <t>A 19473-2026</t>
        </is>
      </c>
      <c r="B1206" t="inlineStr">
        <is>
          <t>avverkningsanmälan</t>
        </is>
      </c>
      <c r="C1206" t="inlineStr">
        <is>
          <t>Föryngringsavverkning</t>
        </is>
      </c>
      <c r="D1206" s="1" t="n">
        <v>46133</v>
      </c>
      <c r="E1206" s="1" t="n">
        <v>46272</v>
      </c>
      <c r="F1206" t="inlineStr">
        <is>
          <t>GÄVLEBORGS LÄN</t>
        </is>
      </c>
      <c r="G1206" t="inlineStr">
        <is>
          <t>HUDIKSVALL</t>
        </is>
      </c>
      <c r="H1206" t="inlineStr">
        <is>
          <t>Holmen skog AB</t>
        </is>
      </c>
      <c r="I1206" t="n">
        <v>1.3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t="n">
        <v>0</v>
      </c>
      <c r="S1206" t="n">
        <v>0</v>
      </c>
      <c r="T1206" t="n">
        <v>0</v>
      </c>
      <c r="U1206" t="n">
        <v>0</v>
      </c>
      <c r="V1206" s="2" t="inlineStr"/>
    </row>
    <row r="1207" ht="15" customHeight="1">
      <c r="A1207" t="inlineStr">
        <is>
          <t>A 22936-2026</t>
        </is>
      </c>
      <c r="B1207" t="inlineStr">
        <is>
          <t>avverkningsanmälan</t>
        </is>
      </c>
      <c r="C1207" t="inlineStr">
        <is>
          <t>Föryngringsavverkning</t>
        </is>
      </c>
      <c r="D1207" s="1" t="n">
        <v>46160</v>
      </c>
      <c r="E1207" s="1" t="n">
        <v>46272</v>
      </c>
      <c r="F1207" t="inlineStr">
        <is>
          <t>GÄVLEBORGS LÄN</t>
        </is>
      </c>
      <c r="G1207" t="inlineStr">
        <is>
          <t>HUDIKSVALL</t>
        </is>
      </c>
      <c r="H1207" t="inlineStr">
        <is>
          <t>Naturvårdsverket</t>
        </is>
      </c>
      <c r="I1207" t="n">
        <v>2.8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t="n">
        <v>0</v>
      </c>
      <c r="S1207" t="n">
        <v>0</v>
      </c>
      <c r="T1207" t="n">
        <v>0</v>
      </c>
      <c r="U1207" t="n">
        <v>0</v>
      </c>
      <c r="V1207" s="2" t="inlineStr"/>
    </row>
    <row r="1208" ht="15" customHeight="1">
      <c r="A1208" t="inlineStr">
        <is>
          <t>A 22996-2026</t>
        </is>
      </c>
      <c r="B1208" t="inlineStr">
        <is>
          <t>avverkningsanmälan</t>
        </is>
      </c>
      <c r="C1208" t="inlineStr">
        <is>
          <t>Föryngringsavverkning</t>
        </is>
      </c>
      <c r="D1208" s="1" t="n">
        <v>46160</v>
      </c>
      <c r="E1208" s="1" t="n">
        <v>46272</v>
      </c>
      <c r="F1208" t="inlineStr">
        <is>
          <t>GÄVLEBORGS LÄN</t>
        </is>
      </c>
      <c r="G1208" t="inlineStr">
        <is>
          <t>HUDIKSVALL</t>
        </is>
      </c>
      <c r="H1208" t="inlineStr">
        <is>
          <t>Holmen skog AB</t>
        </is>
      </c>
      <c r="I1208" t="n">
        <v>3.4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t="n">
        <v>0</v>
      </c>
      <c r="S1208" t="n">
        <v>0</v>
      </c>
      <c r="T1208" t="n">
        <v>0</v>
      </c>
      <c r="U1208" t="n">
        <v>0</v>
      </c>
      <c r="V1208" s="2" t="inlineStr"/>
    </row>
    <row r="1209" ht="15" customHeight="1">
      <c r="A1209" t="inlineStr">
        <is>
          <t>A 22893-2026</t>
        </is>
      </c>
      <c r="B1209" t="inlineStr">
        <is>
          <t>avverkningsanmälan</t>
        </is>
      </c>
      <c r="C1209" t="inlineStr">
        <is>
          <t>Föryngringsavverkning</t>
        </is>
      </c>
      <c r="D1209" s="1" t="n">
        <v>46160</v>
      </c>
      <c r="E1209" s="1" t="n">
        <v>46272</v>
      </c>
      <c r="F1209" t="inlineStr">
        <is>
          <t>GÄVLEBORGS LÄN</t>
        </is>
      </c>
      <c r="G1209" t="inlineStr">
        <is>
          <t>HUDIKSVALL</t>
        </is>
      </c>
      <c r="H1209" t="inlineStr">
        <is>
          <t>Kyrkan</t>
        </is>
      </c>
      <c r="I1209" t="n">
        <v>1.1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t="n">
        <v>0</v>
      </c>
      <c r="S1209" t="n">
        <v>0</v>
      </c>
      <c r="T1209" t="n">
        <v>0</v>
      </c>
      <c r="U1209" t="n">
        <v>0</v>
      </c>
      <c r="V1209" s="2" t="inlineStr"/>
    </row>
    <row r="1210" ht="15" customHeight="1">
      <c r="A1210" t="inlineStr">
        <is>
          <t>A 29904-2024</t>
        </is>
      </c>
      <c r="B1210" t="inlineStr">
        <is>
          <t>avverkningsanmälan</t>
        </is>
      </c>
      <c r="C1210" t="inlineStr">
        <is>
          <t>Föryngringsavverkning</t>
        </is>
      </c>
      <c r="D1210" s="1" t="n">
        <v>45487</v>
      </c>
      <c r="E1210" s="1" t="n">
        <v>46272</v>
      </c>
      <c r="F1210" t="inlineStr">
        <is>
          <t>GÄVLEBORGS LÄN</t>
        </is>
      </c>
      <c r="G1210" t="inlineStr">
        <is>
          <t>HUDIKSVALL</t>
        </is>
      </c>
      <c r="I1210" t="n">
        <v>0.7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t="n">
        <v>0</v>
      </c>
      <c r="S1210" t="n">
        <v>0</v>
      </c>
      <c r="T1210" t="n">
        <v>0</v>
      </c>
      <c r="U1210" t="n">
        <v>0</v>
      </c>
      <c r="V1210" s="2" t="inlineStr"/>
    </row>
    <row r="1211" ht="15" customHeight="1">
      <c r="A1211" t="inlineStr">
        <is>
          <t>A 47530-2023</t>
        </is>
      </c>
      <c r="B1211" t="inlineStr">
        <is>
          <t>avverkningsanmälan</t>
        </is>
      </c>
      <c r="C1211" t="inlineStr">
        <is>
          <t>Föryngringsavverkning</t>
        </is>
      </c>
      <c r="D1211" s="1" t="n">
        <v>45203</v>
      </c>
      <c r="E1211" s="1" t="n">
        <v>46272</v>
      </c>
      <c r="F1211" t="inlineStr">
        <is>
          <t>GÄVLEBORGS LÄN</t>
        </is>
      </c>
      <c r="G1211" t="inlineStr">
        <is>
          <t>HUDIKSVALL</t>
        </is>
      </c>
      <c r="H1211" t="inlineStr">
        <is>
          <t>Holmen skog AB</t>
        </is>
      </c>
      <c r="I1211" t="n">
        <v>37.8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t="n">
        <v>0</v>
      </c>
      <c r="S1211" t="n">
        <v>0</v>
      </c>
      <c r="T1211" t="n">
        <v>0</v>
      </c>
      <c r="U1211" t="n">
        <v>0</v>
      </c>
      <c r="V1211" s="2" t="inlineStr"/>
    </row>
    <row r="1212" ht="15" customHeight="1">
      <c r="A1212" t="inlineStr">
        <is>
          <t>A 35805-2024</t>
        </is>
      </c>
      <c r="B1212" t="inlineStr">
        <is>
          <t>avverkningsanmälan</t>
        </is>
      </c>
      <c r="C1212" t="inlineStr">
        <is>
          <t>Föryngringsavverkning</t>
        </is>
      </c>
      <c r="D1212" s="1" t="n">
        <v>45532</v>
      </c>
      <c r="E1212" s="1" t="n">
        <v>46272</v>
      </c>
      <c r="F1212" t="inlineStr">
        <is>
          <t>GÄVLEBORGS LÄN</t>
        </is>
      </c>
      <c r="G1212" t="inlineStr">
        <is>
          <t>HUDIKSVALL</t>
        </is>
      </c>
      <c r="I1212" t="n">
        <v>1.5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t="n">
        <v>0</v>
      </c>
      <c r="S1212" t="n">
        <v>0</v>
      </c>
      <c r="T1212" t="n">
        <v>0</v>
      </c>
      <c r="U1212" t="n">
        <v>0</v>
      </c>
      <c r="V1212" s="2" t="inlineStr"/>
    </row>
    <row r="1213" ht="15" customHeight="1">
      <c r="A1213" t="inlineStr">
        <is>
          <t>A 23339-2026</t>
        </is>
      </c>
      <c r="B1213" t="inlineStr">
        <is>
          <t>avverkningsanmälan</t>
        </is>
      </c>
      <c r="C1213" t="inlineStr">
        <is>
          <t>Föryngringsavverkning</t>
        </is>
      </c>
      <c r="D1213" s="1" t="n">
        <v>46162</v>
      </c>
      <c r="E1213" s="1" t="n">
        <v>46272</v>
      </c>
      <c r="F1213" t="inlineStr">
        <is>
          <t>GÄVLEBORGS LÄN</t>
        </is>
      </c>
      <c r="G1213" t="inlineStr">
        <is>
          <t>HUDIKSVALL</t>
        </is>
      </c>
      <c r="H1213" t="inlineStr">
        <is>
          <t>Holmen skog AB</t>
        </is>
      </c>
      <c r="I1213" t="n">
        <v>2.2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t="n">
        <v>0</v>
      </c>
      <c r="S1213" t="n">
        <v>0</v>
      </c>
      <c r="T1213" t="n">
        <v>0</v>
      </c>
      <c r="U1213" t="n">
        <v>0</v>
      </c>
      <c r="V1213" s="2" t="inlineStr"/>
    </row>
    <row r="1214" ht="15" customHeight="1">
      <c r="A1214" t="inlineStr">
        <is>
          <t>A 30983-2024</t>
        </is>
      </c>
      <c r="B1214" t="inlineStr">
        <is>
          <t>avverkningsanmälan</t>
        </is>
      </c>
      <c r="C1214" t="inlineStr">
        <is>
          <t>Föryngringsavverkning</t>
        </is>
      </c>
      <c r="D1214" s="1" t="n">
        <v>45499</v>
      </c>
      <c r="E1214" s="1" t="n">
        <v>46272</v>
      </c>
      <c r="F1214" t="inlineStr">
        <is>
          <t>GÄVLEBORGS LÄN</t>
        </is>
      </c>
      <c r="G1214" t="inlineStr">
        <is>
          <t>HUDIKSVALL</t>
        </is>
      </c>
      <c r="I1214" t="n">
        <v>0.5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t="n">
        <v>0</v>
      </c>
      <c r="S1214" t="n">
        <v>0</v>
      </c>
      <c r="T1214" t="n">
        <v>0</v>
      </c>
      <c r="U1214" t="n">
        <v>0</v>
      </c>
      <c r="V1214" s="2" t="inlineStr"/>
    </row>
    <row r="1215" ht="15" customHeight="1">
      <c r="A1215" t="inlineStr">
        <is>
          <t>A 23463-2026</t>
        </is>
      </c>
      <c r="B1215" t="inlineStr">
        <is>
          <t>avverkningsanmälan</t>
        </is>
      </c>
      <c r="C1215" t="inlineStr">
        <is>
          <t>Föryngringsavverkning</t>
        </is>
      </c>
      <c r="D1215" s="1" t="n">
        <v>46163</v>
      </c>
      <c r="E1215" s="1" t="n">
        <v>46272</v>
      </c>
      <c r="F1215" t="inlineStr">
        <is>
          <t>GÄVLEBORGS LÄN</t>
        </is>
      </c>
      <c r="G1215" t="inlineStr">
        <is>
          <t>HUDIKSVALL</t>
        </is>
      </c>
      <c r="H1215" t="inlineStr">
        <is>
          <t>Kyrkan</t>
        </is>
      </c>
      <c r="I1215" t="n">
        <v>4.2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t="n">
        <v>0</v>
      </c>
      <c r="S1215" t="n">
        <v>0</v>
      </c>
      <c r="T1215" t="n">
        <v>0</v>
      </c>
      <c r="U1215" t="n">
        <v>0</v>
      </c>
      <c r="V1215" s="2" t="inlineStr"/>
    </row>
    <row r="1216" ht="15" customHeight="1">
      <c r="A1216" t="inlineStr">
        <is>
          <t>A 55182-2023</t>
        </is>
      </c>
      <c r="B1216" t="inlineStr">
        <is>
          <t>avverkningsanmälan</t>
        </is>
      </c>
      <c r="C1216" t="inlineStr">
        <is>
          <t>Föryngringsavverkning</t>
        </is>
      </c>
      <c r="D1216" s="1" t="n">
        <v>45230</v>
      </c>
      <c r="E1216" s="1" t="n">
        <v>46272</v>
      </c>
      <c r="F1216" t="inlineStr">
        <is>
          <t>GÄVLEBORGS LÄN</t>
        </is>
      </c>
      <c r="G1216" t="inlineStr">
        <is>
          <t>HUDIKSVALL</t>
        </is>
      </c>
      <c r="I1216" t="n">
        <v>1.5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t="n">
        <v>0</v>
      </c>
      <c r="S1216" t="n">
        <v>0</v>
      </c>
      <c r="T1216" t="n">
        <v>0</v>
      </c>
      <c r="U1216" t="n">
        <v>0</v>
      </c>
      <c r="V1216" s="2" t="inlineStr"/>
    </row>
    <row r="1217" ht="15" customHeight="1">
      <c r="A1217" t="inlineStr">
        <is>
          <t>A 18829-2024</t>
        </is>
      </c>
      <c r="B1217" t="inlineStr">
        <is>
          <t>avverkningsanmälan</t>
        </is>
      </c>
      <c r="C1217" t="inlineStr">
        <is>
          <t>Föryngringsavverkning</t>
        </is>
      </c>
      <c r="D1217" s="1" t="n">
        <v>45426</v>
      </c>
      <c r="E1217" s="1" t="n">
        <v>46272</v>
      </c>
      <c r="F1217" t="inlineStr">
        <is>
          <t>GÄVLEBORGS LÄN</t>
        </is>
      </c>
      <c r="G1217" t="inlineStr">
        <is>
          <t>HUDIKSVALL</t>
        </is>
      </c>
      <c r="I1217" t="n">
        <v>0.7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t="n">
        <v>0</v>
      </c>
      <c r="S1217" t="n">
        <v>0</v>
      </c>
      <c r="T1217" t="n">
        <v>0</v>
      </c>
      <c r="U1217" t="n">
        <v>0</v>
      </c>
      <c r="V1217" s="2" t="inlineStr"/>
    </row>
    <row r="1218" ht="15" customHeight="1">
      <c r="A1218" t="inlineStr">
        <is>
          <t>A 23224-2026</t>
        </is>
      </c>
      <c r="B1218" t="inlineStr">
        <is>
          <t>avverkningsanmälan</t>
        </is>
      </c>
      <c r="C1218" t="inlineStr">
        <is>
          <t>Föryngringsavverkning</t>
        </is>
      </c>
      <c r="D1218" s="1" t="n">
        <v>46162</v>
      </c>
      <c r="E1218" s="1" t="n">
        <v>46272</v>
      </c>
      <c r="F1218" t="inlineStr">
        <is>
          <t>GÄVLEBORGS LÄN</t>
        </is>
      </c>
      <c r="G1218" t="inlineStr">
        <is>
          <t>HUDIKSVALL</t>
        </is>
      </c>
      <c r="H1218" t="inlineStr">
        <is>
          <t>Kyrkan</t>
        </is>
      </c>
      <c r="I1218" t="n">
        <v>1.3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t="n">
        <v>0</v>
      </c>
      <c r="S1218" t="n">
        <v>0</v>
      </c>
      <c r="T1218" t="n">
        <v>0</v>
      </c>
      <c r="U1218" t="n">
        <v>0</v>
      </c>
      <c r="V1218" s="2" t="inlineStr"/>
    </row>
    <row r="1219" ht="15" customHeight="1">
      <c r="A1219" t="inlineStr">
        <is>
          <t>A 23246-2026</t>
        </is>
      </c>
      <c r="B1219" t="inlineStr">
        <is>
          <t>avverkningsanmälan</t>
        </is>
      </c>
      <c r="C1219" t="inlineStr">
        <is>
          <t>Föryngringsavverkning</t>
        </is>
      </c>
      <c r="D1219" s="1" t="n">
        <v>46162</v>
      </c>
      <c r="E1219" s="1" t="n">
        <v>46272</v>
      </c>
      <c r="F1219" t="inlineStr">
        <is>
          <t>GÄVLEBORGS LÄN</t>
        </is>
      </c>
      <c r="G1219" t="inlineStr">
        <is>
          <t>HUDIKSVALL</t>
        </is>
      </c>
      <c r="I1219" t="n">
        <v>16.2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t="n">
        <v>0</v>
      </c>
      <c r="S1219" t="n">
        <v>0</v>
      </c>
      <c r="T1219" t="n">
        <v>0</v>
      </c>
      <c r="U1219" t="n">
        <v>0</v>
      </c>
      <c r="V1219" s="2" t="inlineStr"/>
    </row>
    <row r="1220" ht="15" customHeight="1">
      <c r="A1220" t="inlineStr">
        <is>
          <t>A 8269-2022</t>
        </is>
      </c>
      <c r="B1220" t="inlineStr">
        <is>
          <t>avverkningsanmälan</t>
        </is>
      </c>
      <c r="C1220" t="inlineStr">
        <is>
          <t>Föryngringsavverkning</t>
        </is>
      </c>
      <c r="D1220" s="1" t="n">
        <v>44610</v>
      </c>
      <c r="E1220" s="1" t="n">
        <v>46272</v>
      </c>
      <c r="F1220" t="inlineStr">
        <is>
          <t>GÄVLEBORGS LÄN</t>
        </is>
      </c>
      <c r="G1220" t="inlineStr">
        <is>
          <t>HUDIKSVALL</t>
        </is>
      </c>
      <c r="I1220" t="n">
        <v>1.2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t="n">
        <v>0</v>
      </c>
      <c r="S1220" t="n">
        <v>0</v>
      </c>
      <c r="T1220" t="n">
        <v>0</v>
      </c>
      <c r="U1220" t="n">
        <v>0</v>
      </c>
      <c r="V1220" s="2" t="inlineStr"/>
    </row>
    <row r="1221" ht="15" customHeight="1">
      <c r="A1221" t="inlineStr">
        <is>
          <t>A 20858-2026</t>
        </is>
      </c>
      <c r="B1221" t="inlineStr">
        <is>
          <t>avverkningsanmälan</t>
        </is>
      </c>
      <c r="C1221" t="inlineStr">
        <is>
          <t>Föryngringsavverkning</t>
        </is>
      </c>
      <c r="D1221" s="1" t="n">
        <v>46142</v>
      </c>
      <c r="E1221" s="1" t="n">
        <v>46272</v>
      </c>
      <c r="F1221" t="inlineStr">
        <is>
          <t>GÄVLEBORGS LÄN</t>
        </is>
      </c>
      <c r="G1221" t="inlineStr">
        <is>
          <t>HUDIKSVALL</t>
        </is>
      </c>
      <c r="I1221" t="n">
        <v>5.8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t="n">
        <v>0</v>
      </c>
      <c r="S1221" t="n">
        <v>0</v>
      </c>
      <c r="T1221" t="n">
        <v>0</v>
      </c>
      <c r="U1221" t="n">
        <v>0</v>
      </c>
      <c r="V1221" s="2" t="inlineStr"/>
    </row>
    <row r="1222" ht="15" customHeight="1">
      <c r="A1222" t="inlineStr">
        <is>
          <t>A 14659-2026</t>
        </is>
      </c>
      <c r="B1222" t="inlineStr">
        <is>
          <t>avverkningsanmälan</t>
        </is>
      </c>
      <c r="C1222" t="inlineStr">
        <is>
          <t>Föryngringsavverkning</t>
        </is>
      </c>
      <c r="D1222" s="1" t="n">
        <v>46101</v>
      </c>
      <c r="E1222" s="1" t="n">
        <v>46272</v>
      </c>
      <c r="F1222" t="inlineStr">
        <is>
          <t>GÄVLEBORGS LÄN</t>
        </is>
      </c>
      <c r="G1222" t="inlineStr">
        <is>
          <t>HUDIKSVALL</t>
        </is>
      </c>
      <c r="I1222" t="n">
        <v>1.9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t="n">
        <v>0</v>
      </c>
      <c r="S1222" t="n">
        <v>0</v>
      </c>
      <c r="T1222" t="n">
        <v>0</v>
      </c>
      <c r="U1222" t="n">
        <v>0</v>
      </c>
      <c r="V1222" s="2" t="inlineStr"/>
    </row>
    <row r="1223" ht="15" customHeight="1">
      <c r="A1223" t="inlineStr">
        <is>
          <t>A 27477-2024</t>
        </is>
      </c>
      <c r="B1223" t="inlineStr">
        <is>
          <t>avverkningsanmälan</t>
        </is>
      </c>
      <c r="C1223" t="inlineStr">
        <is>
          <t>Föryngringsavverkning</t>
        </is>
      </c>
      <c r="D1223" s="1" t="n">
        <v>45474</v>
      </c>
      <c r="E1223" s="1" t="n">
        <v>46272</v>
      </c>
      <c r="F1223" t="inlineStr">
        <is>
          <t>GÄVLEBORGS LÄN</t>
        </is>
      </c>
      <c r="G1223" t="inlineStr">
        <is>
          <t>HUDIKSVALL</t>
        </is>
      </c>
      <c r="H1223" t="inlineStr">
        <is>
          <t>Holmen skog AB</t>
        </is>
      </c>
      <c r="I1223" t="n">
        <v>1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t="n">
        <v>0</v>
      </c>
      <c r="S1223" t="n">
        <v>0</v>
      </c>
      <c r="T1223" t="n">
        <v>0</v>
      </c>
      <c r="U1223" t="n">
        <v>0</v>
      </c>
      <c r="V1223" s="2" t="inlineStr"/>
    </row>
    <row r="1224" ht="15" customHeight="1">
      <c r="A1224" t="inlineStr">
        <is>
          <t>A 16073-2023</t>
        </is>
      </c>
      <c r="B1224" t="inlineStr">
        <is>
          <t>avverkningsanmälan</t>
        </is>
      </c>
      <c r="C1224" t="inlineStr">
        <is>
          <t>Föryngringsavverkning</t>
        </is>
      </c>
      <c r="D1224" s="1" t="n">
        <v>45027</v>
      </c>
      <c r="E1224" s="1" t="n">
        <v>46272</v>
      </c>
      <c r="F1224" t="inlineStr">
        <is>
          <t>GÄVLEBORGS LÄN</t>
        </is>
      </c>
      <c r="G1224" t="inlineStr">
        <is>
          <t>HUDIKSVALL</t>
        </is>
      </c>
      <c r="I1224" t="n">
        <v>2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t="n">
        <v>0</v>
      </c>
      <c r="S1224" t="n">
        <v>0</v>
      </c>
      <c r="T1224" t="n">
        <v>0</v>
      </c>
      <c r="U1224" t="n">
        <v>0</v>
      </c>
      <c r="V1224" s="2" t="inlineStr"/>
    </row>
    <row r="1225" ht="15" customHeight="1">
      <c r="A1225" t="inlineStr">
        <is>
          <t>A 54219-2023</t>
        </is>
      </c>
      <c r="B1225" t="inlineStr">
        <is>
          <t>avverkningsanmälan</t>
        </is>
      </c>
      <c r="C1225" t="inlineStr">
        <is>
          <t>Föryngringsavverkning</t>
        </is>
      </c>
      <c r="D1225" s="1" t="n">
        <v>45232</v>
      </c>
      <c r="E1225" s="1" t="n">
        <v>46272</v>
      </c>
      <c r="F1225" t="inlineStr">
        <is>
          <t>GÄVLEBORGS LÄN</t>
        </is>
      </c>
      <c r="G1225" t="inlineStr">
        <is>
          <t>HUDIKSVALL</t>
        </is>
      </c>
      <c r="I1225" t="n">
        <v>0.7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t="n">
        <v>0</v>
      </c>
      <c r="S1225" t="n">
        <v>0</v>
      </c>
      <c r="T1225" t="n">
        <v>0</v>
      </c>
      <c r="U1225" t="n">
        <v>0</v>
      </c>
      <c r="V1225" s="2" t="inlineStr"/>
    </row>
    <row r="1226" ht="15" customHeight="1">
      <c r="A1226" t="inlineStr">
        <is>
          <t>A 38201-2024</t>
        </is>
      </c>
      <c r="B1226" t="inlineStr">
        <is>
          <t>avverkningsanmälan</t>
        </is>
      </c>
      <c r="C1226" t="inlineStr">
        <is>
          <t>Föryngringsavverkning</t>
        </is>
      </c>
      <c r="D1226" s="1" t="n">
        <v>45545</v>
      </c>
      <c r="E1226" s="1" t="n">
        <v>46272</v>
      </c>
      <c r="F1226" t="inlineStr">
        <is>
          <t>GÄVLEBORGS LÄN</t>
        </is>
      </c>
      <c r="G1226" t="inlineStr">
        <is>
          <t>HUDIKSVALL</t>
        </is>
      </c>
      <c r="H1226" t="inlineStr">
        <is>
          <t>Holmen skog AB</t>
        </is>
      </c>
      <c r="I1226" t="n">
        <v>0.5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t="n">
        <v>0</v>
      </c>
      <c r="S1226" t="n">
        <v>0</v>
      </c>
      <c r="T1226" t="n">
        <v>0</v>
      </c>
      <c r="U1226" t="n">
        <v>0</v>
      </c>
      <c r="V1226" s="2" t="inlineStr"/>
    </row>
    <row r="1227" ht="15" customHeight="1">
      <c r="A1227" t="inlineStr">
        <is>
          <t>A 22380-2026</t>
        </is>
      </c>
      <c r="B1227" t="inlineStr">
        <is>
          <t>avverkningsanmälan</t>
        </is>
      </c>
      <c r="C1227" t="inlineStr">
        <is>
          <t>Föryngringsavverkning</t>
        </is>
      </c>
      <c r="D1227" s="1" t="n">
        <v>46154</v>
      </c>
      <c r="E1227" s="1" t="n">
        <v>46272</v>
      </c>
      <c r="F1227" t="inlineStr">
        <is>
          <t>GÄVLEBORGS LÄN</t>
        </is>
      </c>
      <c r="G1227" t="inlineStr">
        <is>
          <t>HUDIKSVALL</t>
        </is>
      </c>
      <c r="I1227" t="n">
        <v>4.3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t="n">
        <v>0</v>
      </c>
      <c r="S1227" t="n">
        <v>0</v>
      </c>
      <c r="T1227" t="n">
        <v>0</v>
      </c>
      <c r="U1227" t="n">
        <v>0</v>
      </c>
      <c r="V1227" s="2" t="inlineStr"/>
    </row>
    <row r="1228" ht="15" customHeight="1">
      <c r="A1228" t="inlineStr">
        <is>
          <t>A 56738-2023</t>
        </is>
      </c>
      <c r="B1228" t="inlineStr">
        <is>
          <t>avverkningsanmälan</t>
        </is>
      </c>
      <c r="C1228" t="inlineStr">
        <is>
          <t>Föryngringsavverkning</t>
        </is>
      </c>
      <c r="D1228" s="1" t="n">
        <v>45244</v>
      </c>
      <c r="E1228" s="1" t="n">
        <v>46272</v>
      </c>
      <c r="F1228" t="inlineStr">
        <is>
          <t>GÄVLEBORGS LÄN</t>
        </is>
      </c>
      <c r="G1228" t="inlineStr">
        <is>
          <t>HUDIKSVALL</t>
        </is>
      </c>
      <c r="H1228" t="inlineStr">
        <is>
          <t>Holmen skog AB</t>
        </is>
      </c>
      <c r="I1228" t="n">
        <v>2.1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t="n">
        <v>0</v>
      </c>
      <c r="S1228" t="n">
        <v>0</v>
      </c>
      <c r="T1228" t="n">
        <v>0</v>
      </c>
      <c r="U1228" t="n">
        <v>0</v>
      </c>
      <c r="V1228" s="2" t="inlineStr"/>
    </row>
    <row r="1229" ht="15" customHeight="1">
      <c r="A1229" t="inlineStr">
        <is>
          <t>A 56755-2023</t>
        </is>
      </c>
      <c r="B1229" t="inlineStr">
        <is>
          <t>avverkningsanmälan</t>
        </is>
      </c>
      <c r="C1229" t="inlineStr">
        <is>
          <t>Föryngringsavverkning</t>
        </is>
      </c>
      <c r="D1229" s="1" t="n">
        <v>45244</v>
      </c>
      <c r="E1229" s="1" t="n">
        <v>46272</v>
      </c>
      <c r="F1229" t="inlineStr">
        <is>
          <t>GÄVLEBORGS LÄN</t>
        </is>
      </c>
      <c r="G1229" t="inlineStr">
        <is>
          <t>HUDIKSVALL</t>
        </is>
      </c>
      <c r="H1229" t="inlineStr">
        <is>
          <t>Holmen skog AB</t>
        </is>
      </c>
      <c r="I1229" t="n">
        <v>2.8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t="n">
        <v>0</v>
      </c>
      <c r="S1229" t="n">
        <v>0</v>
      </c>
      <c r="T1229" t="n">
        <v>0</v>
      </c>
      <c r="U1229" t="n">
        <v>0</v>
      </c>
      <c r="V1229" s="2" t="inlineStr"/>
    </row>
    <row r="1230" ht="15" customHeight="1">
      <c r="A1230" t="inlineStr">
        <is>
          <t>A 24890-2023</t>
        </is>
      </c>
      <c r="B1230" t="inlineStr">
        <is>
          <t>avverkningsanmälan</t>
        </is>
      </c>
      <c r="C1230" t="inlineStr">
        <is>
          <t>Föryngringsavverkning</t>
        </is>
      </c>
      <c r="D1230" s="1" t="n">
        <v>45085</v>
      </c>
      <c r="E1230" s="1" t="n">
        <v>46272</v>
      </c>
      <c r="F1230" t="inlineStr">
        <is>
          <t>GÄVLEBORGS LÄN</t>
        </is>
      </c>
      <c r="G1230" t="inlineStr">
        <is>
          <t>HUDIKSVALL</t>
        </is>
      </c>
      <c r="I1230" t="n">
        <v>2.5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t="n">
        <v>0</v>
      </c>
      <c r="S1230" t="n">
        <v>0</v>
      </c>
      <c r="T1230" t="n">
        <v>0</v>
      </c>
      <c r="U1230" t="n">
        <v>0</v>
      </c>
      <c r="V1230" s="2" t="inlineStr"/>
    </row>
    <row r="1231" ht="15" customHeight="1">
      <c r="A1231" t="inlineStr">
        <is>
          <t>A 39440-2024</t>
        </is>
      </c>
      <c r="B1231" t="inlineStr">
        <is>
          <t>avverkningsanmälan</t>
        </is>
      </c>
      <c r="C1231" t="inlineStr">
        <is>
          <t>Föryngringsavverkning</t>
        </is>
      </c>
      <c r="D1231" s="1" t="n">
        <v>45551</v>
      </c>
      <c r="E1231" s="1" t="n">
        <v>46272</v>
      </c>
      <c r="F1231" t="inlineStr">
        <is>
          <t>GÄVLEBORGS LÄN</t>
        </is>
      </c>
      <c r="G1231" t="inlineStr">
        <is>
          <t>HUDIKSVALL</t>
        </is>
      </c>
      <c r="H1231" t="inlineStr">
        <is>
          <t>Holmen skog AB</t>
        </is>
      </c>
      <c r="I1231" t="n">
        <v>3.5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t="n">
        <v>0</v>
      </c>
      <c r="S1231" t="n">
        <v>0</v>
      </c>
      <c r="T1231" t="n">
        <v>0</v>
      </c>
      <c r="U1231" t="n">
        <v>0</v>
      </c>
      <c r="V1231" s="2" t="inlineStr"/>
    </row>
    <row r="1232" ht="15" customHeight="1">
      <c r="A1232" t="inlineStr">
        <is>
          <t>A 41521-2024</t>
        </is>
      </c>
      <c r="B1232" t="inlineStr">
        <is>
          <t>avverkningsanmälan</t>
        </is>
      </c>
      <c r="C1232" t="inlineStr">
        <is>
          <t>Föryngringsavverkning</t>
        </is>
      </c>
      <c r="D1232" s="1" t="n">
        <v>45560</v>
      </c>
      <c r="E1232" s="1" t="n">
        <v>46272</v>
      </c>
      <c r="F1232" t="inlineStr">
        <is>
          <t>GÄVLEBORGS LÄN</t>
        </is>
      </c>
      <c r="G1232" t="inlineStr">
        <is>
          <t>HUDIKSVALL</t>
        </is>
      </c>
      <c r="H1232" t="inlineStr">
        <is>
          <t>Holmen skog AB</t>
        </is>
      </c>
      <c r="I1232" t="n">
        <v>0.4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t="n">
        <v>0</v>
      </c>
      <c r="S1232" t="n">
        <v>0</v>
      </c>
      <c r="T1232" t="n">
        <v>0</v>
      </c>
      <c r="U1232" t="n">
        <v>0</v>
      </c>
      <c r="V1232" s="2" t="inlineStr"/>
    </row>
    <row r="1233" ht="15" customHeight="1">
      <c r="A1233" t="inlineStr">
        <is>
          <t>A 23768-2026</t>
        </is>
      </c>
      <c r="B1233" t="inlineStr">
        <is>
          <t>avverkningsanmälan</t>
        </is>
      </c>
      <c r="C1233" t="inlineStr">
        <is>
          <t>Föryngringsavverkning</t>
        </is>
      </c>
      <c r="D1233" s="1" t="n">
        <v>46164</v>
      </c>
      <c r="E1233" s="1" t="n">
        <v>46272</v>
      </c>
      <c r="F1233" t="inlineStr">
        <is>
          <t>GÄVLEBORGS LÄN</t>
        </is>
      </c>
      <c r="G1233" t="inlineStr">
        <is>
          <t>HUDIKSVALL</t>
        </is>
      </c>
      <c r="I1233" t="n">
        <v>1.5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t="n">
        <v>0</v>
      </c>
      <c r="S1233" t="n">
        <v>0</v>
      </c>
      <c r="T1233" t="n">
        <v>0</v>
      </c>
      <c r="U1233" t="n">
        <v>0</v>
      </c>
      <c r="V1233" s="2" t="inlineStr"/>
    </row>
    <row r="1234" ht="15" customHeight="1">
      <c r="A1234" t="inlineStr">
        <is>
          <t>A 31707-2024</t>
        </is>
      </c>
      <c r="B1234" t="inlineStr">
        <is>
          <t>avverkningsanmälan</t>
        </is>
      </c>
      <c r="C1234" t="inlineStr">
        <is>
          <t>Föryngringsavverkning</t>
        </is>
      </c>
      <c r="D1234" s="1" t="n">
        <v>45508</v>
      </c>
      <c r="E1234" s="1" t="n">
        <v>46272</v>
      </c>
      <c r="F1234" t="inlineStr">
        <is>
          <t>GÄVLEBORGS LÄN</t>
        </is>
      </c>
      <c r="G1234" t="inlineStr">
        <is>
          <t>HUDIKSVALL</t>
        </is>
      </c>
      <c r="I1234" t="n">
        <v>2.3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t="n">
        <v>0</v>
      </c>
      <c r="S1234" t="n">
        <v>0</v>
      </c>
      <c r="T1234" t="n">
        <v>0</v>
      </c>
      <c r="U1234" t="n">
        <v>0</v>
      </c>
      <c r="V1234" s="2" t="inlineStr"/>
    </row>
    <row r="1235" ht="15" customHeight="1">
      <c r="A1235" t="inlineStr">
        <is>
          <t>A 44070-2023</t>
        </is>
      </c>
      <c r="B1235" t="inlineStr">
        <is>
          <t>avverkningsanmälan</t>
        </is>
      </c>
      <c r="C1235" t="inlineStr">
        <is>
          <t>Föryngringsavverkning</t>
        </is>
      </c>
      <c r="D1235" s="1" t="n">
        <v>45188</v>
      </c>
      <c r="E1235" s="1" t="n">
        <v>46272</v>
      </c>
      <c r="F1235" t="inlineStr">
        <is>
          <t>GÄVLEBORGS LÄN</t>
        </is>
      </c>
      <c r="G1235" t="inlineStr">
        <is>
          <t>HUDIKSVALL</t>
        </is>
      </c>
      <c r="H1235" t="inlineStr">
        <is>
          <t>Holmen skog AB</t>
        </is>
      </c>
      <c r="I1235" t="n">
        <v>11.6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t="n">
        <v>0</v>
      </c>
      <c r="S1235" t="n">
        <v>0</v>
      </c>
      <c r="T1235" t="n">
        <v>0</v>
      </c>
      <c r="U1235" t="n">
        <v>0</v>
      </c>
      <c r="V1235" s="2" t="inlineStr"/>
    </row>
    <row r="1236" ht="15" customHeight="1">
      <c r="A1236" t="inlineStr">
        <is>
          <t>A 44084-2023</t>
        </is>
      </c>
      <c r="B1236" t="inlineStr">
        <is>
          <t>avverkningsanmälan</t>
        </is>
      </c>
      <c r="C1236" t="inlineStr">
        <is>
          <t>Föryngringsavverkning</t>
        </is>
      </c>
      <c r="D1236" s="1" t="n">
        <v>45188</v>
      </c>
      <c r="E1236" s="1" t="n">
        <v>46272</v>
      </c>
      <c r="F1236" t="inlineStr">
        <is>
          <t>GÄVLEBORGS LÄN</t>
        </is>
      </c>
      <c r="G1236" t="inlineStr">
        <is>
          <t>HUDIKSVALL</t>
        </is>
      </c>
      <c r="H1236" t="inlineStr">
        <is>
          <t>Holmen skog AB</t>
        </is>
      </c>
      <c r="I1236" t="n">
        <v>1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t="n">
        <v>0</v>
      </c>
      <c r="S1236" t="n">
        <v>0</v>
      </c>
      <c r="T1236" t="n">
        <v>0</v>
      </c>
      <c r="U1236" t="n">
        <v>0</v>
      </c>
      <c r="V1236" s="2" t="inlineStr"/>
    </row>
    <row r="1237" ht="15" customHeight="1">
      <c r="A1237" t="inlineStr">
        <is>
          <t>A 11093-2025</t>
        </is>
      </c>
      <c r="B1237" t="inlineStr">
        <is>
          <t>avverkningsanmälan</t>
        </is>
      </c>
      <c r="C1237" t="inlineStr">
        <is>
          <t>Föryngringsavverkning</t>
        </is>
      </c>
      <c r="D1237" s="1" t="n">
        <v>45723</v>
      </c>
      <c r="E1237" s="1" t="n">
        <v>46272</v>
      </c>
      <c r="F1237" t="inlineStr">
        <is>
          <t>GÄVLEBORGS LÄN</t>
        </is>
      </c>
      <c r="G1237" t="inlineStr">
        <is>
          <t>HUDIKSVALL</t>
        </is>
      </c>
      <c r="H1237" t="inlineStr">
        <is>
          <t>Holmen skog AB</t>
        </is>
      </c>
      <c r="I1237" t="n">
        <v>6.1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t="n">
        <v>0</v>
      </c>
      <c r="S1237" t="n">
        <v>0</v>
      </c>
      <c r="T1237" t="n">
        <v>0</v>
      </c>
      <c r="U1237" t="n">
        <v>0</v>
      </c>
      <c r="V1237" s="2" t="inlineStr"/>
    </row>
    <row r="1238" ht="15" customHeight="1">
      <c r="A1238" t="inlineStr">
        <is>
          <t>A 2889-2025</t>
        </is>
      </c>
      <c r="B1238" t="inlineStr">
        <is>
          <t>avverkningsanmälan</t>
        </is>
      </c>
      <c r="C1238" t="inlineStr">
        <is>
          <t>Föryngringsavverkning</t>
        </is>
      </c>
      <c r="D1238" s="1" t="n">
        <v>45677</v>
      </c>
      <c r="E1238" s="1" t="n">
        <v>46272</v>
      </c>
      <c r="F1238" t="inlineStr">
        <is>
          <t>GÄVLEBORGS LÄN</t>
        </is>
      </c>
      <c r="G1238" t="inlineStr">
        <is>
          <t>HUDIKSVALL</t>
        </is>
      </c>
      <c r="I1238" t="n">
        <v>3.2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t="n">
        <v>0</v>
      </c>
      <c r="S1238" t="n">
        <v>0</v>
      </c>
      <c r="T1238" t="n">
        <v>0</v>
      </c>
      <c r="U1238" t="n">
        <v>0</v>
      </c>
      <c r="V1238" s="2" t="inlineStr"/>
    </row>
    <row r="1239" ht="15" customHeight="1">
      <c r="A1239" t="inlineStr">
        <is>
          <t>A 23686-2026</t>
        </is>
      </c>
      <c r="B1239" t="inlineStr">
        <is>
          <t>avverkningsanmälan</t>
        </is>
      </c>
      <c r="C1239" t="inlineStr">
        <is>
          <t>Föryngringsavverkning</t>
        </is>
      </c>
      <c r="D1239" s="1" t="n">
        <v>46164</v>
      </c>
      <c r="E1239" s="1" t="n">
        <v>46272</v>
      </c>
      <c r="F1239" t="inlineStr">
        <is>
          <t>GÄVLEBORGS LÄN</t>
        </is>
      </c>
      <c r="G1239" t="inlineStr">
        <is>
          <t>HUDIKSVALL</t>
        </is>
      </c>
      <c r="H1239" t="inlineStr">
        <is>
          <t>Kommuner</t>
        </is>
      </c>
      <c r="I1239" t="n">
        <v>1.4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t="n">
        <v>0</v>
      </c>
      <c r="S1239" t="n">
        <v>0</v>
      </c>
      <c r="T1239" t="n">
        <v>0</v>
      </c>
      <c r="U1239" t="n">
        <v>0</v>
      </c>
      <c r="V1239" s="2" t="inlineStr"/>
    </row>
    <row r="1240" ht="15" customHeight="1">
      <c r="A1240" t="inlineStr">
        <is>
          <t>A 5788-2025</t>
        </is>
      </c>
      <c r="B1240" t="inlineStr">
        <is>
          <t>avverkningsanmälan</t>
        </is>
      </c>
      <c r="C1240" t="inlineStr">
        <is>
          <t>Föryngringsavverkning</t>
        </is>
      </c>
      <c r="D1240" s="1" t="n">
        <v>45694</v>
      </c>
      <c r="E1240" s="1" t="n">
        <v>46272</v>
      </c>
      <c r="F1240" t="inlineStr">
        <is>
          <t>GÄVLEBORGS LÄN</t>
        </is>
      </c>
      <c r="G1240" t="inlineStr">
        <is>
          <t>HUDIKSVALL</t>
        </is>
      </c>
      <c r="I1240" t="n">
        <v>1.2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t="n">
        <v>0</v>
      </c>
      <c r="S1240" t="n">
        <v>0</v>
      </c>
      <c r="T1240" t="n">
        <v>0</v>
      </c>
      <c r="U1240" t="n">
        <v>0</v>
      </c>
      <c r="V1240" s="2" t="inlineStr"/>
    </row>
    <row r="1241" ht="15" customHeight="1">
      <c r="A1241" t="inlineStr">
        <is>
          <t>A 24017-2026</t>
        </is>
      </c>
      <c r="B1241" t="inlineStr">
        <is>
          <t>avverkningsanmälan</t>
        </is>
      </c>
      <c r="C1241" t="inlineStr">
        <is>
          <t>Föryngringsavverkning</t>
        </is>
      </c>
      <c r="D1241" s="1" t="n">
        <v>46167</v>
      </c>
      <c r="E1241" s="1" t="n">
        <v>46272</v>
      </c>
      <c r="F1241" t="inlineStr">
        <is>
          <t>GÄVLEBORGS LÄN</t>
        </is>
      </c>
      <c r="G1241" t="inlineStr">
        <is>
          <t>HUDIKSVALL</t>
        </is>
      </c>
      <c r="I1241" t="n">
        <v>1.6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t="n">
        <v>0</v>
      </c>
      <c r="S1241" t="n">
        <v>0</v>
      </c>
      <c r="T1241" t="n">
        <v>0</v>
      </c>
      <c r="U1241" t="n">
        <v>0</v>
      </c>
      <c r="V1241" s="2" t="inlineStr"/>
    </row>
    <row r="1242" ht="15" customHeight="1">
      <c r="A1242" t="inlineStr">
        <is>
          <t>A 5905-2025</t>
        </is>
      </c>
      <c r="B1242" t="inlineStr">
        <is>
          <t>avverkningsanmälan</t>
        </is>
      </c>
      <c r="C1242" t="inlineStr">
        <is>
          <t>Föryngringsavverkning</t>
        </is>
      </c>
      <c r="D1242" s="1" t="n">
        <v>45695</v>
      </c>
      <c r="E1242" s="1" t="n">
        <v>46272</v>
      </c>
      <c r="F1242" t="inlineStr">
        <is>
          <t>GÄVLEBORGS LÄN</t>
        </is>
      </c>
      <c r="G1242" t="inlineStr">
        <is>
          <t>HUDIKSVALL</t>
        </is>
      </c>
      <c r="H1242" t="inlineStr">
        <is>
          <t>Holmen skog AB</t>
        </is>
      </c>
      <c r="I1242" t="n">
        <v>7.6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t="n">
        <v>0</v>
      </c>
      <c r="S1242" t="n">
        <v>0</v>
      </c>
      <c r="T1242" t="n">
        <v>0</v>
      </c>
      <c r="U1242" t="n">
        <v>0</v>
      </c>
      <c r="V1242" s="2" t="inlineStr"/>
    </row>
    <row r="1243" ht="15" customHeight="1">
      <c r="A1243" t="inlineStr">
        <is>
          <t>A 46207-2024</t>
        </is>
      </c>
      <c r="B1243" t="inlineStr">
        <is>
          <t>avverkningsanmälan</t>
        </is>
      </c>
      <c r="C1243" t="inlineStr">
        <is>
          <t>Föryngringsavverkning</t>
        </is>
      </c>
      <c r="D1243" s="1" t="n">
        <v>45581</v>
      </c>
      <c r="E1243" s="1" t="n">
        <v>46272</v>
      </c>
      <c r="F1243" t="inlineStr">
        <is>
          <t>GÄVLEBORGS LÄN</t>
        </is>
      </c>
      <c r="G1243" t="inlineStr">
        <is>
          <t>HUDIKSVALL</t>
        </is>
      </c>
      <c r="H1243" t="inlineStr">
        <is>
          <t>Holmen skog AB</t>
        </is>
      </c>
      <c r="I1243" t="n">
        <v>3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t="n">
        <v>0</v>
      </c>
      <c r="S1243" t="n">
        <v>0</v>
      </c>
      <c r="T1243" t="n">
        <v>0</v>
      </c>
      <c r="U1243" t="n">
        <v>0</v>
      </c>
      <c r="V1243" s="2" t="inlineStr"/>
    </row>
    <row r="1244" ht="15" customHeight="1">
      <c r="A1244" t="inlineStr">
        <is>
          <t>A 23293-2026</t>
        </is>
      </c>
      <c r="B1244" t="inlineStr">
        <is>
          <t>avverkningsanmälan</t>
        </is>
      </c>
      <c r="C1244" t="inlineStr">
        <is>
          <t>Föryngringsavverkning</t>
        </is>
      </c>
      <c r="D1244" s="1" t="n">
        <v>46162</v>
      </c>
      <c r="E1244" s="1" t="n">
        <v>46272</v>
      </c>
      <c r="F1244" t="inlineStr">
        <is>
          <t>GÄVLEBORGS LÄN</t>
        </is>
      </c>
      <c r="G1244" t="inlineStr">
        <is>
          <t>HUDIKSVALL</t>
        </is>
      </c>
      <c r="I1244" t="n">
        <v>1.9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t="n">
        <v>0</v>
      </c>
      <c r="S1244" t="n">
        <v>0</v>
      </c>
      <c r="T1244" t="n">
        <v>0</v>
      </c>
      <c r="U1244" t="n">
        <v>0</v>
      </c>
      <c r="V1244" s="2" t="inlineStr"/>
    </row>
    <row r="1245" ht="15" customHeight="1">
      <c r="A1245" t="inlineStr">
        <is>
          <t>A 12526-2024</t>
        </is>
      </c>
      <c r="B1245" t="inlineStr">
        <is>
          <t>avverkningsanmälan</t>
        </is>
      </c>
      <c r="C1245" t="inlineStr">
        <is>
          <t>Föryngringsavverkning</t>
        </is>
      </c>
      <c r="D1245" s="1" t="n">
        <v>45379</v>
      </c>
      <c r="E1245" s="1" t="n">
        <v>46272</v>
      </c>
      <c r="F1245" t="inlineStr">
        <is>
          <t>GÄVLEBORGS LÄN</t>
        </is>
      </c>
      <c r="G1245" t="inlineStr">
        <is>
          <t>HUDIKSVALL</t>
        </is>
      </c>
      <c r="I1245" t="n">
        <v>1.3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t="n">
        <v>0</v>
      </c>
      <c r="S1245" t="n">
        <v>0</v>
      </c>
      <c r="T1245" t="n">
        <v>0</v>
      </c>
      <c r="U1245" t="n">
        <v>0</v>
      </c>
      <c r="V1245" s="2" t="inlineStr"/>
    </row>
    <row r="1246" ht="15" customHeight="1">
      <c r="A1246" t="inlineStr">
        <is>
          <t>A 60736-2023</t>
        </is>
      </c>
      <c r="B1246" t="inlineStr">
        <is>
          <t>avverkningsanmälan</t>
        </is>
      </c>
      <c r="C1246" t="inlineStr">
        <is>
          <t>Föryngringsavverkning</t>
        </is>
      </c>
      <c r="D1246" s="1" t="n">
        <v>45260</v>
      </c>
      <c r="E1246" s="1" t="n">
        <v>46272</v>
      </c>
      <c r="F1246" t="inlineStr">
        <is>
          <t>GÄVLEBORGS LÄN</t>
        </is>
      </c>
      <c r="G1246" t="inlineStr">
        <is>
          <t>HUDIKSVALL</t>
        </is>
      </c>
      <c r="H1246" t="inlineStr">
        <is>
          <t>Holmen skog AB</t>
        </is>
      </c>
      <c r="I1246" t="n">
        <v>3.1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t="n">
        <v>0</v>
      </c>
      <c r="S1246" t="n">
        <v>0</v>
      </c>
      <c r="T1246" t="n">
        <v>0</v>
      </c>
      <c r="U1246" t="n">
        <v>0</v>
      </c>
      <c r="V1246" s="2" t="inlineStr"/>
    </row>
    <row r="1247" ht="15" customHeight="1">
      <c r="A1247" t="inlineStr">
        <is>
          <t>A 56882-2023</t>
        </is>
      </c>
      <c r="B1247" t="inlineStr">
        <is>
          <t>avverkningsanmälan</t>
        </is>
      </c>
      <c r="C1247" t="inlineStr">
        <is>
          <t>Föryngringsavverkning</t>
        </is>
      </c>
      <c r="D1247" s="1" t="n">
        <v>45244</v>
      </c>
      <c r="E1247" s="1" t="n">
        <v>46272</v>
      </c>
      <c r="F1247" t="inlineStr">
        <is>
          <t>GÄVLEBORGS LÄN</t>
        </is>
      </c>
      <c r="G1247" t="inlineStr">
        <is>
          <t>HUDIKSVALL</t>
        </is>
      </c>
      <c r="I1247" t="n">
        <v>7.7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t="n">
        <v>0</v>
      </c>
      <c r="S1247" t="n">
        <v>0</v>
      </c>
      <c r="T1247" t="n">
        <v>0</v>
      </c>
      <c r="U1247" t="n">
        <v>0</v>
      </c>
      <c r="V1247" s="2" t="inlineStr"/>
    </row>
    <row r="1248" ht="15" customHeight="1">
      <c r="A1248" t="inlineStr">
        <is>
          <t>A 4493-2026</t>
        </is>
      </c>
      <c r="B1248" t="inlineStr">
        <is>
          <t>avverkningsanmälan</t>
        </is>
      </c>
      <c r="C1248" t="inlineStr">
        <is>
          <t>Föryngringsavverkning</t>
        </is>
      </c>
      <c r="D1248" s="1" t="n">
        <v>46045</v>
      </c>
      <c r="E1248" s="1" t="n">
        <v>46272</v>
      </c>
      <c r="F1248" t="inlineStr">
        <is>
          <t>GÄVLEBORGS LÄN</t>
        </is>
      </c>
      <c r="G1248" t="inlineStr">
        <is>
          <t>HUDIKSVALL</t>
        </is>
      </c>
      <c r="I1248" t="n">
        <v>1.6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t="n">
        <v>0</v>
      </c>
      <c r="S1248" t="n">
        <v>0</v>
      </c>
      <c r="T1248" t="n">
        <v>0</v>
      </c>
      <c r="U1248" t="n">
        <v>0</v>
      </c>
      <c r="V1248" s="2" t="inlineStr"/>
    </row>
    <row r="1249" ht="15" customHeight="1">
      <c r="A1249" t="inlineStr">
        <is>
          <t>A 38670-2023</t>
        </is>
      </c>
      <c r="B1249" t="inlineStr">
        <is>
          <t>avverkningsanmälan</t>
        </is>
      </c>
      <c r="C1249" t="inlineStr">
        <is>
          <t>Föryngringsavverkning</t>
        </is>
      </c>
      <c r="D1249" s="1" t="n">
        <v>45162</v>
      </c>
      <c r="E1249" s="1" t="n">
        <v>46272</v>
      </c>
      <c r="F1249" t="inlineStr">
        <is>
          <t>GÄVLEBORGS LÄN</t>
        </is>
      </c>
      <c r="G1249" t="inlineStr">
        <is>
          <t>HUDIKSVALL</t>
        </is>
      </c>
      <c r="I1249" t="n">
        <v>1.9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t="n">
        <v>0</v>
      </c>
      <c r="S1249" t="n">
        <v>0</v>
      </c>
      <c r="T1249" t="n">
        <v>0</v>
      </c>
      <c r="U1249" t="n">
        <v>0</v>
      </c>
      <c r="V1249" s="2" t="inlineStr"/>
    </row>
    <row r="1250" ht="15" customHeight="1">
      <c r="A1250" t="inlineStr">
        <is>
          <t>A 5725-2024</t>
        </is>
      </c>
      <c r="B1250" t="inlineStr">
        <is>
          <t>avverkningsanmälan</t>
        </is>
      </c>
      <c r="C1250" t="inlineStr">
        <is>
          <t>Föryngringsavverkning</t>
        </is>
      </c>
      <c r="D1250" s="1" t="n">
        <v>45334</v>
      </c>
      <c r="E1250" s="1" t="n">
        <v>46272</v>
      </c>
      <c r="F1250" t="inlineStr">
        <is>
          <t>GÄVLEBORGS LÄN</t>
        </is>
      </c>
      <c r="G1250" t="inlineStr">
        <is>
          <t>HUDIKSVALL</t>
        </is>
      </c>
      <c r="I1250" t="n">
        <v>1.2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t="n">
        <v>0</v>
      </c>
      <c r="S1250" t="n">
        <v>0</v>
      </c>
      <c r="T1250" t="n">
        <v>0</v>
      </c>
      <c r="U1250" t="n">
        <v>0</v>
      </c>
      <c r="V1250" s="2" t="inlineStr"/>
    </row>
    <row r="1251" ht="15" customHeight="1">
      <c r="A1251" t="inlineStr">
        <is>
          <t>A 53434-2023</t>
        </is>
      </c>
      <c r="B1251" t="inlineStr">
        <is>
          <t>avverkningsanmälan</t>
        </is>
      </c>
      <c r="C1251" t="inlineStr">
        <is>
          <t>Föryngringsavverkning</t>
        </is>
      </c>
      <c r="D1251" s="1" t="n">
        <v>45229</v>
      </c>
      <c r="E1251" s="1" t="n">
        <v>46272</v>
      </c>
      <c r="F1251" t="inlineStr">
        <is>
          <t>GÄVLEBORGS LÄN</t>
        </is>
      </c>
      <c r="G1251" t="inlineStr">
        <is>
          <t>HUDIKSVALL</t>
        </is>
      </c>
      <c r="I1251" t="n">
        <v>0.5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t="n">
        <v>0</v>
      </c>
      <c r="S1251" t="n">
        <v>0</v>
      </c>
      <c r="T1251" t="n">
        <v>0</v>
      </c>
      <c r="U1251" t="n">
        <v>0</v>
      </c>
      <c r="V1251" s="2" t="inlineStr"/>
    </row>
    <row r="1252" ht="15" customHeight="1">
      <c r="A1252" t="inlineStr">
        <is>
          <t>A 68662-2021</t>
        </is>
      </c>
      <c r="B1252" t="inlineStr">
        <is>
          <t>avverkningsanmälan</t>
        </is>
      </c>
      <c r="C1252" t="inlineStr">
        <is>
          <t>Föryngringsavverkning</t>
        </is>
      </c>
      <c r="D1252" s="1" t="n">
        <v>44529</v>
      </c>
      <c r="E1252" s="1" t="n">
        <v>46272</v>
      </c>
      <c r="F1252" t="inlineStr">
        <is>
          <t>GÄVLEBORGS LÄN</t>
        </is>
      </c>
      <c r="G1252" t="inlineStr">
        <is>
          <t>HUDIKSVALL</t>
        </is>
      </c>
      <c r="H1252" t="inlineStr">
        <is>
          <t>Holmen skog AB</t>
        </is>
      </c>
      <c r="I1252" t="n">
        <v>1.2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t="n">
        <v>0</v>
      </c>
      <c r="S1252" t="n">
        <v>0</v>
      </c>
      <c r="T1252" t="n">
        <v>0</v>
      </c>
      <c r="U1252" t="n">
        <v>0</v>
      </c>
      <c r="V1252" s="2" t="inlineStr"/>
    </row>
    <row r="1253" ht="15" customHeight="1">
      <c r="A1253" t="inlineStr">
        <is>
          <t>A 7992-2024</t>
        </is>
      </c>
      <c r="B1253" t="inlineStr">
        <is>
          <t>avverkningsanmälan</t>
        </is>
      </c>
      <c r="C1253" t="inlineStr">
        <is>
          <t>Föryngringsavverkning</t>
        </is>
      </c>
      <c r="D1253" s="1" t="n">
        <v>45350</v>
      </c>
      <c r="E1253" s="1" t="n">
        <v>46272</v>
      </c>
      <c r="F1253" t="inlineStr">
        <is>
          <t>GÄVLEBORGS LÄN</t>
        </is>
      </c>
      <c r="G1253" t="inlineStr">
        <is>
          <t>HUDIKSVALL</t>
        </is>
      </c>
      <c r="H1253" t="inlineStr">
        <is>
          <t>Holmen skog AB</t>
        </is>
      </c>
      <c r="I1253" t="n">
        <v>0.8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t="n">
        <v>0</v>
      </c>
      <c r="S1253" t="n">
        <v>0</v>
      </c>
      <c r="T1253" t="n">
        <v>0</v>
      </c>
      <c r="U1253" t="n">
        <v>0</v>
      </c>
      <c r="V1253" s="2" t="inlineStr"/>
    </row>
    <row r="1254" ht="15" customHeight="1">
      <c r="A1254" t="inlineStr">
        <is>
          <t>A 58005-2024</t>
        </is>
      </c>
      <c r="B1254" t="inlineStr">
        <is>
          <t>avverkningsanmälan</t>
        </is>
      </c>
      <c r="C1254" t="inlineStr">
        <is>
          <t>Föryngringsavverkning</t>
        </is>
      </c>
      <c r="D1254" s="1" t="n">
        <v>45631</v>
      </c>
      <c r="E1254" s="1" t="n">
        <v>46272</v>
      </c>
      <c r="F1254" t="inlineStr">
        <is>
          <t>GÄVLEBORGS LÄN</t>
        </is>
      </c>
      <c r="G1254" t="inlineStr">
        <is>
          <t>HUDIKSVALL</t>
        </is>
      </c>
      <c r="I1254" t="n">
        <v>1.1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t="n">
        <v>0</v>
      </c>
      <c r="S1254" t="n">
        <v>0</v>
      </c>
      <c r="T1254" t="n">
        <v>0</v>
      </c>
      <c r="U1254" t="n">
        <v>0</v>
      </c>
      <c r="V1254" s="2" t="inlineStr"/>
    </row>
    <row r="1255" ht="15" customHeight="1">
      <c r="A1255" t="inlineStr">
        <is>
          <t>A 24868-2026</t>
        </is>
      </c>
      <c r="B1255" t="inlineStr">
        <is>
          <t>avverkningsanmälan</t>
        </is>
      </c>
      <c r="C1255" t="inlineStr">
        <is>
          <t>Föryngringsavverkning</t>
        </is>
      </c>
      <c r="D1255" s="1" t="n">
        <v>46174</v>
      </c>
      <c r="E1255" s="1" t="n">
        <v>46272</v>
      </c>
      <c r="F1255" t="inlineStr">
        <is>
          <t>GÄVLEBORGS LÄN</t>
        </is>
      </c>
      <c r="G1255" t="inlineStr">
        <is>
          <t>HUDIKSVALL</t>
        </is>
      </c>
      <c r="I1255" t="n">
        <v>2.1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t="n">
        <v>0</v>
      </c>
      <c r="S1255" t="n">
        <v>0</v>
      </c>
      <c r="T1255" t="n">
        <v>0</v>
      </c>
      <c r="U1255" t="n">
        <v>0</v>
      </c>
      <c r="V1255" s="2" t="inlineStr"/>
    </row>
    <row r="1256" ht="15" customHeight="1">
      <c r="A1256" t="inlineStr">
        <is>
          <t>A 25043-2026</t>
        </is>
      </c>
      <c r="B1256" t="inlineStr">
        <is>
          <t>avverkningsanmälan</t>
        </is>
      </c>
      <c r="C1256" t="inlineStr">
        <is>
          <t>Föryngringsavverkning</t>
        </is>
      </c>
      <c r="D1256" s="1" t="n">
        <v>46174</v>
      </c>
      <c r="E1256" s="1" t="n">
        <v>46272</v>
      </c>
      <c r="F1256" t="inlineStr">
        <is>
          <t>GÄVLEBORGS LÄN</t>
        </is>
      </c>
      <c r="G1256" t="inlineStr">
        <is>
          <t>HUDIKSVALL</t>
        </is>
      </c>
      <c r="I1256" t="n">
        <v>9.4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t="n">
        <v>0</v>
      </c>
      <c r="S1256" t="n">
        <v>0</v>
      </c>
      <c r="T1256" t="n">
        <v>0</v>
      </c>
      <c r="U1256" t="n">
        <v>0</v>
      </c>
      <c r="V1256" s="2" t="inlineStr"/>
    </row>
    <row r="1257" ht="15" customHeight="1">
      <c r="A1257" t="inlineStr">
        <is>
          <t>A 22976-2024</t>
        </is>
      </c>
      <c r="B1257" t="inlineStr">
        <is>
          <t>avverkningsanmälan</t>
        </is>
      </c>
      <c r="C1257" t="inlineStr">
        <is>
          <t>Föryngringsavverkning</t>
        </is>
      </c>
      <c r="D1257" s="1" t="n">
        <v>45449</v>
      </c>
      <c r="E1257" s="1" t="n">
        <v>46272</v>
      </c>
      <c r="F1257" t="inlineStr">
        <is>
          <t>GÄVLEBORGS LÄN</t>
        </is>
      </c>
      <c r="G1257" t="inlineStr">
        <is>
          <t>HUDIKSVALL</t>
        </is>
      </c>
      <c r="H1257" t="inlineStr">
        <is>
          <t>Holmen skog AB</t>
        </is>
      </c>
      <c r="I1257" t="n">
        <v>5.9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t="n">
        <v>0</v>
      </c>
      <c r="S1257" t="n">
        <v>0</v>
      </c>
      <c r="T1257" t="n">
        <v>0</v>
      </c>
      <c r="U1257" t="n">
        <v>0</v>
      </c>
      <c r="V1257" s="2" t="inlineStr"/>
    </row>
    <row r="1258" ht="15" customHeight="1">
      <c r="A1258" t="inlineStr">
        <is>
          <t>A 24863-2026</t>
        </is>
      </c>
      <c r="B1258" t="inlineStr">
        <is>
          <t>avverkningsanmälan</t>
        </is>
      </c>
      <c r="C1258" t="inlineStr">
        <is>
          <t>Föryngringsavverkning</t>
        </is>
      </c>
      <c r="D1258" s="1" t="n">
        <v>46174</v>
      </c>
      <c r="E1258" s="1" t="n">
        <v>46272</v>
      </c>
      <c r="F1258" t="inlineStr">
        <is>
          <t>GÄVLEBORGS LÄN</t>
        </is>
      </c>
      <c r="G1258" t="inlineStr">
        <is>
          <t>HUDIKSVALL</t>
        </is>
      </c>
      <c r="I1258" t="n">
        <v>2.1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t="n">
        <v>0</v>
      </c>
      <c r="S1258" t="n">
        <v>0</v>
      </c>
      <c r="T1258" t="n">
        <v>0</v>
      </c>
      <c r="U1258" t="n">
        <v>0</v>
      </c>
      <c r="V1258" s="2" t="inlineStr"/>
    </row>
    <row r="1259" ht="15" customHeight="1">
      <c r="A1259" t="inlineStr">
        <is>
          <t>A 24853-2026</t>
        </is>
      </c>
      <c r="B1259" t="inlineStr">
        <is>
          <t>avverkningsanmälan</t>
        </is>
      </c>
      <c r="C1259" t="inlineStr">
        <is>
          <t>Föryngringsavverkning</t>
        </is>
      </c>
      <c r="D1259" s="1" t="n">
        <v>46174</v>
      </c>
      <c r="E1259" s="1" t="n">
        <v>46272</v>
      </c>
      <c r="F1259" t="inlineStr">
        <is>
          <t>GÄVLEBORGS LÄN</t>
        </is>
      </c>
      <c r="G1259" t="inlineStr">
        <is>
          <t>HUDIKSVALL</t>
        </is>
      </c>
      <c r="I1259" t="n">
        <v>1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t="n">
        <v>0</v>
      </c>
      <c r="S1259" t="n">
        <v>0</v>
      </c>
      <c r="T1259" t="n">
        <v>0</v>
      </c>
      <c r="U1259" t="n">
        <v>0</v>
      </c>
      <c r="V1259" s="2" t="inlineStr"/>
    </row>
    <row r="1260" ht="15" customHeight="1">
      <c r="A1260" t="inlineStr">
        <is>
          <t>A 33968-2024</t>
        </is>
      </c>
      <c r="B1260" t="inlineStr">
        <is>
          <t>avverkningsanmälan</t>
        </is>
      </c>
      <c r="C1260" t="inlineStr">
        <is>
          <t>Föryngringsavverkning</t>
        </is>
      </c>
      <c r="D1260" s="1" t="n">
        <v>45523</v>
      </c>
      <c r="E1260" s="1" t="n">
        <v>46272</v>
      </c>
      <c r="F1260" t="inlineStr">
        <is>
          <t>GÄVLEBORGS LÄN</t>
        </is>
      </c>
      <c r="G1260" t="inlineStr">
        <is>
          <t>HUDIKSVALL</t>
        </is>
      </c>
      <c r="I1260" t="n">
        <v>1.4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t="n">
        <v>0</v>
      </c>
      <c r="S1260" t="n">
        <v>0</v>
      </c>
      <c r="T1260" t="n">
        <v>0</v>
      </c>
      <c r="U1260" t="n">
        <v>0</v>
      </c>
      <c r="V1260" s="2" t="inlineStr"/>
    </row>
    <row r="1261" ht="15" customHeight="1">
      <c r="A1261" t="inlineStr">
        <is>
          <t>A 25187-2025</t>
        </is>
      </c>
      <c r="B1261" t="inlineStr">
        <is>
          <t>avverkningsanmälan</t>
        </is>
      </c>
      <c r="C1261" t="inlineStr">
        <is>
          <t>Föryngringsavverkning</t>
        </is>
      </c>
      <c r="D1261" s="1" t="n">
        <v>45800</v>
      </c>
      <c r="E1261" s="1" t="n">
        <v>46272</v>
      </c>
      <c r="F1261" t="inlineStr">
        <is>
          <t>GÄVLEBORGS LÄN</t>
        </is>
      </c>
      <c r="G1261" t="inlineStr">
        <is>
          <t>HUDIKSVALL</t>
        </is>
      </c>
      <c r="H1261" t="inlineStr">
        <is>
          <t>Holmen skog AB</t>
        </is>
      </c>
      <c r="I1261" t="n">
        <v>53.6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t="n">
        <v>0</v>
      </c>
      <c r="S1261" t="n">
        <v>0</v>
      </c>
      <c r="T1261" t="n">
        <v>0</v>
      </c>
      <c r="U1261" t="n">
        <v>0</v>
      </c>
      <c r="V1261" s="2" t="inlineStr"/>
    </row>
    <row r="1262" ht="15" customHeight="1">
      <c r="A1262" t="inlineStr">
        <is>
          <t>A 19366-2026</t>
        </is>
      </c>
      <c r="B1262" t="inlineStr">
        <is>
          <t>avverkningsanmälan</t>
        </is>
      </c>
      <c r="C1262" t="inlineStr">
        <is>
          <t>Föryngringsavverkning</t>
        </is>
      </c>
      <c r="D1262" s="1" t="n">
        <v>46133</v>
      </c>
      <c r="E1262" s="1" t="n">
        <v>46272</v>
      </c>
      <c r="F1262" t="inlineStr">
        <is>
          <t>GÄVLEBORGS LÄN</t>
        </is>
      </c>
      <c r="G1262" t="inlineStr">
        <is>
          <t>HUDIKSVALL</t>
        </is>
      </c>
      <c r="I1262" t="n">
        <v>1.6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t="n">
        <v>0</v>
      </c>
      <c r="S1262" t="n">
        <v>0</v>
      </c>
      <c r="T1262" t="n">
        <v>0</v>
      </c>
      <c r="U1262" t="n">
        <v>0</v>
      </c>
      <c r="V1262" s="2" t="inlineStr"/>
    </row>
    <row r="1263" ht="15" customHeight="1">
      <c r="A1263" t="inlineStr">
        <is>
          <t>A 61579-2024</t>
        </is>
      </c>
      <c r="B1263" t="inlineStr">
        <is>
          <t>avverkningsanmälan</t>
        </is>
      </c>
      <c r="C1263" t="inlineStr">
        <is>
          <t>Föryngringsavverkning</t>
        </is>
      </c>
      <c r="D1263" s="1" t="n">
        <v>45646</v>
      </c>
      <c r="E1263" s="1" t="n">
        <v>46272</v>
      </c>
      <c r="F1263" t="inlineStr">
        <is>
          <t>GÄVLEBORGS LÄN</t>
        </is>
      </c>
      <c r="G1263" t="inlineStr">
        <is>
          <t>HUDIKSVALL</t>
        </is>
      </c>
      <c r="I1263" t="n">
        <v>0.9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t="n">
        <v>0</v>
      </c>
      <c r="S1263" t="n">
        <v>0</v>
      </c>
      <c r="T1263" t="n">
        <v>0</v>
      </c>
      <c r="U1263" t="n">
        <v>0</v>
      </c>
      <c r="V1263" s="2" t="inlineStr"/>
    </row>
    <row r="1264" ht="15" customHeight="1">
      <c r="A1264" t="inlineStr">
        <is>
          <t>A 45700-2024</t>
        </is>
      </c>
      <c r="B1264" t="inlineStr">
        <is>
          <t>avverkningsanmälan</t>
        </is>
      </c>
      <c r="C1264" t="inlineStr">
        <is>
          <t>Föryngringsavverkning</t>
        </is>
      </c>
      <c r="D1264" s="1" t="n">
        <v>45579</v>
      </c>
      <c r="E1264" s="1" t="n">
        <v>46272</v>
      </c>
      <c r="F1264" t="inlineStr">
        <is>
          <t>GÄVLEBORGS LÄN</t>
        </is>
      </c>
      <c r="G1264" t="inlineStr">
        <is>
          <t>HUDIKSVALL</t>
        </is>
      </c>
      <c r="H1264" t="inlineStr">
        <is>
          <t>Holmen skog AB</t>
        </is>
      </c>
      <c r="I1264" t="n">
        <v>4.1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t="n">
        <v>0</v>
      </c>
      <c r="S1264" t="n">
        <v>0</v>
      </c>
      <c r="T1264" t="n">
        <v>0</v>
      </c>
      <c r="U1264" t="n">
        <v>0</v>
      </c>
      <c r="V1264" s="2" t="inlineStr"/>
    </row>
    <row r="1265" ht="15" customHeight="1">
      <c r="A1265" t="inlineStr">
        <is>
          <t>A 67049-2021</t>
        </is>
      </c>
      <c r="B1265" t="inlineStr">
        <is>
          <t>avverkningsanmälan</t>
        </is>
      </c>
      <c r="C1265" t="inlineStr">
        <is>
          <t>Föryngringsavverkning</t>
        </is>
      </c>
      <c r="D1265" s="1" t="n">
        <v>44522</v>
      </c>
      <c r="E1265" s="1" t="n">
        <v>46272</v>
      </c>
      <c r="F1265" t="inlineStr">
        <is>
          <t>GÄVLEBORGS LÄN</t>
        </is>
      </c>
      <c r="G1265" t="inlineStr">
        <is>
          <t>HUDIKSVALL</t>
        </is>
      </c>
      <c r="I1265" t="n">
        <v>1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t="n">
        <v>0</v>
      </c>
      <c r="S1265" t="n">
        <v>0</v>
      </c>
      <c r="T1265" t="n">
        <v>0</v>
      </c>
      <c r="U1265" t="n">
        <v>0</v>
      </c>
      <c r="V1265" s="2" t="inlineStr"/>
    </row>
    <row r="1266" ht="15" customHeight="1">
      <c r="A1266" t="inlineStr">
        <is>
          <t>A 67082-2021</t>
        </is>
      </c>
      <c r="B1266" t="inlineStr">
        <is>
          <t>avverkningsanmälan</t>
        </is>
      </c>
      <c r="C1266" t="inlineStr">
        <is>
          <t>Föryngringsavverkning</t>
        </is>
      </c>
      <c r="D1266" s="1" t="n">
        <v>44522</v>
      </c>
      <c r="E1266" s="1" t="n">
        <v>46272</v>
      </c>
      <c r="F1266" t="inlineStr">
        <is>
          <t>GÄVLEBORGS LÄN</t>
        </is>
      </c>
      <c r="G1266" t="inlineStr">
        <is>
          <t>HUDIKSVALL</t>
        </is>
      </c>
      <c r="I1266" t="n">
        <v>2.5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t="n">
        <v>0</v>
      </c>
      <c r="S1266" t="n">
        <v>0</v>
      </c>
      <c r="T1266" t="n">
        <v>0</v>
      </c>
      <c r="U1266" t="n">
        <v>0</v>
      </c>
      <c r="V1266" s="2" t="inlineStr"/>
    </row>
    <row r="1267" ht="15" customHeight="1">
      <c r="A1267" t="inlineStr">
        <is>
          <t>A 25191-2026</t>
        </is>
      </c>
      <c r="B1267" t="inlineStr">
        <is>
          <t>avverkningsanmälan</t>
        </is>
      </c>
      <c r="C1267" t="inlineStr">
        <is>
          <t>Föryngringsavverkning</t>
        </is>
      </c>
      <c r="D1267" s="1" t="n">
        <v>46175</v>
      </c>
      <c r="E1267" s="1" t="n">
        <v>46272</v>
      </c>
      <c r="F1267" t="inlineStr">
        <is>
          <t>GÄVLEBORGS LÄN</t>
        </is>
      </c>
      <c r="G1267" t="inlineStr">
        <is>
          <t>HUDIKSVALL</t>
        </is>
      </c>
      <c r="I1267" t="n">
        <v>1.1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t="n">
        <v>0</v>
      </c>
      <c r="S1267" t="n">
        <v>0</v>
      </c>
      <c r="T1267" t="n">
        <v>0</v>
      </c>
      <c r="U1267" t="n">
        <v>0</v>
      </c>
      <c r="V1267" s="2" t="inlineStr"/>
    </row>
    <row r="1268" ht="15" customHeight="1">
      <c r="A1268" t="inlineStr">
        <is>
          <t>A 24092-2023</t>
        </is>
      </c>
      <c r="B1268" t="inlineStr">
        <is>
          <t>avverkningsanmälan</t>
        </is>
      </c>
      <c r="C1268" t="inlineStr">
        <is>
          <t>Föryngringsavverkning</t>
        </is>
      </c>
      <c r="D1268" s="1" t="n">
        <v>45079</v>
      </c>
      <c r="E1268" s="1" t="n">
        <v>46272</v>
      </c>
      <c r="F1268" t="inlineStr">
        <is>
          <t>GÄVLEBORGS LÄN</t>
        </is>
      </c>
      <c r="G1268" t="inlineStr">
        <is>
          <t>HUDIKSVALL</t>
        </is>
      </c>
      <c r="H1268" t="inlineStr">
        <is>
          <t>Holmen skog AB</t>
        </is>
      </c>
      <c r="I1268" t="n">
        <v>1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t="n">
        <v>0</v>
      </c>
      <c r="S1268" t="n">
        <v>0</v>
      </c>
      <c r="T1268" t="n">
        <v>0</v>
      </c>
      <c r="U1268" t="n">
        <v>0</v>
      </c>
      <c r="V1268" s="2" t="inlineStr"/>
    </row>
    <row r="1269" ht="15" customHeight="1">
      <c r="A1269" t="inlineStr">
        <is>
          <t>A 25311-2026</t>
        </is>
      </c>
      <c r="B1269" t="inlineStr">
        <is>
          <t>avverkningsanmälan</t>
        </is>
      </c>
      <c r="C1269" t="inlineStr">
        <is>
          <t>Föryngringsavverkning</t>
        </is>
      </c>
      <c r="D1269" s="1" t="n">
        <v>46176</v>
      </c>
      <c r="E1269" s="1" t="n">
        <v>46272</v>
      </c>
      <c r="F1269" t="inlineStr">
        <is>
          <t>GÄVLEBORGS LÄN</t>
        </is>
      </c>
      <c r="G1269" t="inlineStr">
        <is>
          <t>HUDIKSVALL</t>
        </is>
      </c>
      <c r="I1269" t="n">
        <v>1.8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t="n">
        <v>0</v>
      </c>
      <c r="S1269" t="n">
        <v>0</v>
      </c>
      <c r="T1269" t="n">
        <v>0</v>
      </c>
      <c r="U1269" t="n">
        <v>0</v>
      </c>
      <c r="V1269" s="2" t="inlineStr"/>
    </row>
    <row r="1270" ht="15" customHeight="1">
      <c r="A1270" t="inlineStr">
        <is>
          <t>A 21539-2026</t>
        </is>
      </c>
      <c r="B1270" t="inlineStr">
        <is>
          <t>avverkningsanmälan</t>
        </is>
      </c>
      <c r="C1270" t="inlineStr">
        <is>
          <t>Föryngringsavverkning</t>
        </is>
      </c>
      <c r="D1270" s="1" t="n">
        <v>46148</v>
      </c>
      <c r="E1270" s="1" t="n">
        <v>46272</v>
      </c>
      <c r="F1270" t="inlineStr">
        <is>
          <t>GÄVLEBORGS LÄN</t>
        </is>
      </c>
      <c r="G1270" t="inlineStr">
        <is>
          <t>HUDIKSVALL</t>
        </is>
      </c>
      <c r="I1270" t="n">
        <v>1.2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t="n">
        <v>0</v>
      </c>
      <c r="S1270" t="n">
        <v>0</v>
      </c>
      <c r="T1270" t="n">
        <v>0</v>
      </c>
      <c r="U1270" t="n">
        <v>0</v>
      </c>
      <c r="V1270" s="2" t="inlineStr"/>
    </row>
    <row r="1271" ht="15" customHeight="1">
      <c r="A1271" t="inlineStr">
        <is>
          <t>A 16594-2024</t>
        </is>
      </c>
      <c r="B1271" t="inlineStr">
        <is>
          <t>avverkningsanmälan</t>
        </is>
      </c>
      <c r="C1271" t="inlineStr">
        <is>
          <t>Föryngringsavverkning</t>
        </is>
      </c>
      <c r="D1271" s="1" t="n">
        <v>45408</v>
      </c>
      <c r="E1271" s="1" t="n">
        <v>46272</v>
      </c>
      <c r="F1271" t="inlineStr">
        <is>
          <t>GÄVLEBORGS LÄN</t>
        </is>
      </c>
      <c r="G1271" t="inlineStr">
        <is>
          <t>HUDIKSVALL</t>
        </is>
      </c>
      <c r="I1271" t="n">
        <v>11.8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t="n">
        <v>0</v>
      </c>
      <c r="S1271" t="n">
        <v>0</v>
      </c>
      <c r="T1271" t="n">
        <v>0</v>
      </c>
      <c r="U1271" t="n">
        <v>0</v>
      </c>
      <c r="V1271" s="2" t="inlineStr"/>
    </row>
    <row r="1272" ht="15" customHeight="1">
      <c r="A1272" t="inlineStr">
        <is>
          <t>A 25318-2026</t>
        </is>
      </c>
      <c r="B1272" t="inlineStr">
        <is>
          <t>avverkningsanmälan</t>
        </is>
      </c>
      <c r="C1272" t="inlineStr">
        <is>
          <t>Föryngringsavverkning</t>
        </is>
      </c>
      <c r="D1272" s="1" t="n">
        <v>46176</v>
      </c>
      <c r="E1272" s="1" t="n">
        <v>46272</v>
      </c>
      <c r="F1272" t="inlineStr">
        <is>
          <t>GÄVLEBORGS LÄN</t>
        </is>
      </c>
      <c r="G1272" t="inlineStr">
        <is>
          <t>HUDIKSVALL</t>
        </is>
      </c>
      <c r="I1272" t="n">
        <v>6.7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t="n">
        <v>0</v>
      </c>
      <c r="S1272" t="n">
        <v>0</v>
      </c>
      <c r="T1272" t="n">
        <v>0</v>
      </c>
      <c r="U1272" t="n">
        <v>0</v>
      </c>
      <c r="V1272" s="2" t="inlineStr"/>
    </row>
    <row r="1273" ht="15" customHeight="1">
      <c r="A1273" t="inlineStr">
        <is>
          <t>A 10332-2023</t>
        </is>
      </c>
      <c r="B1273" t="inlineStr">
        <is>
          <t>avverkningsanmälan</t>
        </is>
      </c>
      <c r="C1273" t="inlineStr">
        <is>
          <t>Föryngringsavverkning</t>
        </is>
      </c>
      <c r="D1273" s="1" t="n">
        <v>44987</v>
      </c>
      <c r="E1273" s="1" t="n">
        <v>46272</v>
      </c>
      <c r="F1273" t="inlineStr">
        <is>
          <t>GÄVLEBORGS LÄN</t>
        </is>
      </c>
      <c r="G1273" t="inlineStr">
        <is>
          <t>HUDIKSVALL</t>
        </is>
      </c>
      <c r="H1273" t="inlineStr">
        <is>
          <t>Holmen skog AB</t>
        </is>
      </c>
      <c r="I1273" t="n">
        <v>1.2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t="n">
        <v>0</v>
      </c>
      <c r="S1273" t="n">
        <v>0</v>
      </c>
      <c r="T1273" t="n">
        <v>0</v>
      </c>
      <c r="U1273" t="n">
        <v>0</v>
      </c>
      <c r="V1273" s="2" t="inlineStr"/>
    </row>
    <row r="1274" ht="15" customHeight="1">
      <c r="A1274" t="inlineStr">
        <is>
          <t>A 56832-2025</t>
        </is>
      </c>
      <c r="B1274" t="inlineStr">
        <is>
          <t>avverkningsanmälan</t>
        </is>
      </c>
      <c r="C1274" t="inlineStr">
        <is>
          <t>Föryngringsavverkning</t>
        </is>
      </c>
      <c r="D1274" s="1" t="n">
        <v>45978</v>
      </c>
      <c r="E1274" s="1" t="n">
        <v>46272</v>
      </c>
      <c r="F1274" t="inlineStr">
        <is>
          <t>GÄVLEBORGS LÄN</t>
        </is>
      </c>
      <c r="G1274" t="inlineStr">
        <is>
          <t>HUDIKSVALL</t>
        </is>
      </c>
      <c r="I1274" t="n">
        <v>1.4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t="n">
        <v>0</v>
      </c>
      <c r="S1274" t="n">
        <v>0</v>
      </c>
      <c r="T1274" t="n">
        <v>0</v>
      </c>
      <c r="U1274" t="n">
        <v>0</v>
      </c>
      <c r="V1274" s="2" t="inlineStr"/>
    </row>
    <row r="1275" ht="15" customHeight="1">
      <c r="A1275" t="inlineStr">
        <is>
          <t>A 61234-2023</t>
        </is>
      </c>
      <c r="B1275" t="inlineStr">
        <is>
          <t>avverkningsanmälan</t>
        </is>
      </c>
      <c r="C1275" t="inlineStr">
        <is>
          <t>Föryngringsavverkning</t>
        </is>
      </c>
      <c r="D1275" s="1" t="n">
        <v>45264</v>
      </c>
      <c r="E1275" s="1" t="n">
        <v>46272</v>
      </c>
      <c r="F1275" t="inlineStr">
        <is>
          <t>GÄVLEBORGS LÄN</t>
        </is>
      </c>
      <c r="G1275" t="inlineStr">
        <is>
          <t>HUDIKSVALL</t>
        </is>
      </c>
      <c r="I1275" t="n">
        <v>0.9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t="n">
        <v>0</v>
      </c>
      <c r="S1275" t="n">
        <v>0</v>
      </c>
      <c r="T1275" t="n">
        <v>0</v>
      </c>
      <c r="U1275" t="n">
        <v>0</v>
      </c>
      <c r="V1275" s="2" t="inlineStr"/>
    </row>
    <row r="1276" ht="15" customHeight="1">
      <c r="A1276" t="inlineStr">
        <is>
          <t>A 60917-2023</t>
        </is>
      </c>
      <c r="B1276" t="inlineStr">
        <is>
          <t>avverkningsanmälan</t>
        </is>
      </c>
      <c r="C1276" t="inlineStr">
        <is>
          <t>Avverkning för att bevara och utveckla /försöksver</t>
        </is>
      </c>
      <c r="D1276" s="1" t="n">
        <v>45261</v>
      </c>
      <c r="E1276" s="1" t="n">
        <v>46272</v>
      </c>
      <c r="F1276" t="inlineStr">
        <is>
          <t>GÄVLEBORGS LÄN</t>
        </is>
      </c>
      <c r="G1276" t="inlineStr">
        <is>
          <t>HUDIKSVALL</t>
        </is>
      </c>
      <c r="H1276" t="inlineStr">
        <is>
          <t>Holmen skog AB</t>
        </is>
      </c>
      <c r="I1276" t="n">
        <v>3.4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t="n">
        <v>0</v>
      </c>
      <c r="S1276" t="n">
        <v>0</v>
      </c>
      <c r="T1276" t="n">
        <v>0</v>
      </c>
      <c r="U1276" t="n">
        <v>0</v>
      </c>
      <c r="V1276" s="2" t="inlineStr"/>
    </row>
    <row r="1277" ht="15" customHeight="1">
      <c r="A1277" t="inlineStr">
        <is>
          <t>A 60938-2023</t>
        </is>
      </c>
      <c r="B1277" t="inlineStr">
        <is>
          <t>avverkningsanmälan</t>
        </is>
      </c>
      <c r="C1277" t="inlineStr">
        <is>
          <t>Föryngringsavverkning</t>
        </is>
      </c>
      <c r="D1277" s="1" t="n">
        <v>45261</v>
      </c>
      <c r="E1277" s="1" t="n">
        <v>46272</v>
      </c>
      <c r="F1277" t="inlineStr">
        <is>
          <t>GÄVLEBORGS LÄN</t>
        </is>
      </c>
      <c r="G1277" t="inlineStr">
        <is>
          <t>HUDIKSVALL</t>
        </is>
      </c>
      <c r="H1277" t="inlineStr">
        <is>
          <t>Holmen skog AB</t>
        </is>
      </c>
      <c r="I1277" t="n">
        <v>2.2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t="n">
        <v>0</v>
      </c>
      <c r="S1277" t="n">
        <v>0</v>
      </c>
      <c r="T1277" t="n">
        <v>0</v>
      </c>
      <c r="U1277" t="n">
        <v>0</v>
      </c>
      <c r="V1277" s="2" t="inlineStr"/>
    </row>
    <row r="1278" ht="15" customHeight="1">
      <c r="A1278" t="inlineStr">
        <is>
          <t>A 16745-2025</t>
        </is>
      </c>
      <c r="B1278" t="inlineStr">
        <is>
          <t>avverkningsanmälan</t>
        </is>
      </c>
      <c r="C1278" t="inlineStr">
        <is>
          <t>Föryngringsavverkning</t>
        </is>
      </c>
      <c r="D1278" s="1" t="n">
        <v>45754</v>
      </c>
      <c r="E1278" s="1" t="n">
        <v>46272</v>
      </c>
      <c r="F1278" t="inlineStr">
        <is>
          <t>GÄVLEBORGS LÄN</t>
        </is>
      </c>
      <c r="G1278" t="inlineStr">
        <is>
          <t>HUDIKSVALL</t>
        </is>
      </c>
      <c r="I1278" t="n">
        <v>1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t="n">
        <v>0</v>
      </c>
      <c r="S1278" t="n">
        <v>0</v>
      </c>
      <c r="T1278" t="n">
        <v>0</v>
      </c>
      <c r="U1278" t="n">
        <v>0</v>
      </c>
      <c r="V1278" s="2" t="inlineStr"/>
    </row>
    <row r="1279" ht="15" customHeight="1">
      <c r="A1279" t="inlineStr">
        <is>
          <t>A 62628-2023</t>
        </is>
      </c>
      <c r="B1279" t="inlineStr">
        <is>
          <t>avverkningsanmälan</t>
        </is>
      </c>
      <c r="C1279" t="inlineStr">
        <is>
          <t>Föryngringsavverkning</t>
        </is>
      </c>
      <c r="D1279" s="1" t="n">
        <v>45271</v>
      </c>
      <c r="E1279" s="1" t="n">
        <v>46272</v>
      </c>
      <c r="F1279" t="inlineStr">
        <is>
          <t>GÄVLEBORGS LÄN</t>
        </is>
      </c>
      <c r="G1279" t="inlineStr">
        <is>
          <t>HUDIKSVALL</t>
        </is>
      </c>
      <c r="I1279" t="n">
        <v>0.5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t="n">
        <v>0</v>
      </c>
      <c r="S1279" t="n">
        <v>0</v>
      </c>
      <c r="T1279" t="n">
        <v>0</v>
      </c>
      <c r="U1279" t="n">
        <v>0</v>
      </c>
      <c r="V1279" s="2" t="inlineStr"/>
    </row>
    <row r="1280" ht="15" customHeight="1">
      <c r="A1280" t="inlineStr">
        <is>
          <t>A 27955-2024</t>
        </is>
      </c>
      <c r="B1280" t="inlineStr">
        <is>
          <t>avverkningsanmälan</t>
        </is>
      </c>
      <c r="C1280" t="inlineStr">
        <is>
          <t>Föryngringsavverkning</t>
        </is>
      </c>
      <c r="D1280" s="1" t="n">
        <v>45476</v>
      </c>
      <c r="E1280" s="1" t="n">
        <v>46272</v>
      </c>
      <c r="F1280" t="inlineStr">
        <is>
          <t>GÄVLEBORGS LÄN</t>
        </is>
      </c>
      <c r="G1280" t="inlineStr">
        <is>
          <t>HUDIKSVALL</t>
        </is>
      </c>
      <c r="H1280" t="inlineStr">
        <is>
          <t>Holmen skog AB</t>
        </is>
      </c>
      <c r="I1280" t="n">
        <v>0.9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t="n">
        <v>0</v>
      </c>
      <c r="S1280" t="n">
        <v>0</v>
      </c>
      <c r="T1280" t="n">
        <v>0</v>
      </c>
      <c r="U1280" t="n">
        <v>0</v>
      </c>
      <c r="V1280" s="2" t="inlineStr"/>
    </row>
    <row r="1281" ht="15" customHeight="1">
      <c r="A1281" t="inlineStr">
        <is>
          <t>A 25268-2024</t>
        </is>
      </c>
      <c r="B1281" t="inlineStr">
        <is>
          <t>avverkningsanmälan</t>
        </is>
      </c>
      <c r="C1281" t="inlineStr">
        <is>
          <t>Föryngringsavverkning</t>
        </is>
      </c>
      <c r="D1281" s="1" t="n">
        <v>45462</v>
      </c>
      <c r="E1281" s="1" t="n">
        <v>46272</v>
      </c>
      <c r="F1281" t="inlineStr">
        <is>
          <t>GÄVLEBORGS LÄN</t>
        </is>
      </c>
      <c r="G1281" t="inlineStr">
        <is>
          <t>HUDIKSVALL</t>
        </is>
      </c>
      <c r="H1281" t="inlineStr">
        <is>
          <t>Holmen skog AB</t>
        </is>
      </c>
      <c r="I1281" t="n">
        <v>1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t="n">
        <v>0</v>
      </c>
      <c r="S1281" t="n">
        <v>0</v>
      </c>
      <c r="T1281" t="n">
        <v>0</v>
      </c>
      <c r="U1281" t="n">
        <v>0</v>
      </c>
      <c r="V1281" s="2" t="inlineStr"/>
    </row>
    <row r="1282" ht="15" customHeight="1">
      <c r="A1282" t="inlineStr">
        <is>
          <t>A 44229-2024</t>
        </is>
      </c>
      <c r="B1282" t="inlineStr">
        <is>
          <t>avverkningsanmälan</t>
        </is>
      </c>
      <c r="C1282" t="inlineStr">
        <is>
          <t>Föryngringsavverkning</t>
        </is>
      </c>
      <c r="D1282" s="1" t="n">
        <v>45573</v>
      </c>
      <c r="E1282" s="1" t="n">
        <v>46272</v>
      </c>
      <c r="F1282" t="inlineStr">
        <is>
          <t>GÄVLEBORGS LÄN</t>
        </is>
      </c>
      <c r="G1282" t="inlineStr">
        <is>
          <t>HUDIKSVALL</t>
        </is>
      </c>
      <c r="I1282" t="n">
        <v>0.9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t="n">
        <v>0</v>
      </c>
      <c r="S1282" t="n">
        <v>0</v>
      </c>
      <c r="T1282" t="n">
        <v>0</v>
      </c>
      <c r="U1282" t="n">
        <v>0</v>
      </c>
      <c r="V1282" s="2" t="inlineStr"/>
    </row>
    <row r="1283" ht="15" customHeight="1">
      <c r="A1283" t="inlineStr">
        <is>
          <t>A 30107-2024</t>
        </is>
      </c>
      <c r="B1283" t="inlineStr">
        <is>
          <t>avverkningsanmälan</t>
        </is>
      </c>
      <c r="C1283" t="inlineStr">
        <is>
          <t>Föryngringsavverkning</t>
        </is>
      </c>
      <c r="D1283" s="1" t="n">
        <v>45489</v>
      </c>
      <c r="E1283" s="1" t="n">
        <v>46272</v>
      </c>
      <c r="F1283" t="inlineStr">
        <is>
          <t>GÄVLEBORGS LÄN</t>
        </is>
      </c>
      <c r="G1283" t="inlineStr">
        <is>
          <t>HUDIKSVALL</t>
        </is>
      </c>
      <c r="H1283" t="inlineStr">
        <is>
          <t>Holmen skog AB</t>
        </is>
      </c>
      <c r="I1283" t="n">
        <v>3.2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t="n">
        <v>0</v>
      </c>
      <c r="S1283" t="n">
        <v>0</v>
      </c>
      <c r="T1283" t="n">
        <v>0</v>
      </c>
      <c r="U1283" t="n">
        <v>0</v>
      </c>
      <c r="V1283" s="2" t="inlineStr"/>
    </row>
    <row r="1284" ht="15" customHeight="1">
      <c r="A1284" t="inlineStr">
        <is>
          <t>A 40364-2024</t>
        </is>
      </c>
      <c r="B1284" t="inlineStr">
        <is>
          <t>avverkningsanmälan</t>
        </is>
      </c>
      <c r="C1284" t="inlineStr">
        <is>
          <t>Föryngringsavverkning</t>
        </is>
      </c>
      <c r="D1284" s="1" t="n">
        <v>45555</v>
      </c>
      <c r="E1284" s="1" t="n">
        <v>46272</v>
      </c>
      <c r="F1284" t="inlineStr">
        <is>
          <t>GÄVLEBORGS LÄN</t>
        </is>
      </c>
      <c r="G1284" t="inlineStr">
        <is>
          <t>HUDIKSVALL</t>
        </is>
      </c>
      <c r="I1284" t="n">
        <v>1.2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t="n">
        <v>0</v>
      </c>
      <c r="S1284" t="n">
        <v>0</v>
      </c>
      <c r="T1284" t="n">
        <v>0</v>
      </c>
      <c r="U1284" t="n">
        <v>0</v>
      </c>
      <c r="V1284" s="2" t="inlineStr"/>
    </row>
    <row r="1285" ht="15" customHeight="1">
      <c r="A1285" t="inlineStr">
        <is>
          <t>A 11475-2024</t>
        </is>
      </c>
      <c r="B1285" t="inlineStr">
        <is>
          <t>avverkningsanmälan</t>
        </is>
      </c>
      <c r="C1285" t="inlineStr">
        <is>
          <t>Föryngringsavverkning</t>
        </is>
      </c>
      <c r="D1285" s="1" t="n">
        <v>45372</v>
      </c>
      <c r="E1285" s="1" t="n">
        <v>46272</v>
      </c>
      <c r="F1285" t="inlineStr">
        <is>
          <t>GÄVLEBORGS LÄN</t>
        </is>
      </c>
      <c r="G1285" t="inlineStr">
        <is>
          <t>HUDIKSVALL</t>
        </is>
      </c>
      <c r="I1285" t="n">
        <v>1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t="n">
        <v>0</v>
      </c>
      <c r="S1285" t="n">
        <v>0</v>
      </c>
      <c r="T1285" t="n">
        <v>0</v>
      </c>
      <c r="U1285" t="n">
        <v>0</v>
      </c>
      <c r="V1285" s="2" t="inlineStr"/>
    </row>
    <row r="1286" ht="15" customHeight="1">
      <c r="A1286" t="inlineStr">
        <is>
          <t>A 25590-2026</t>
        </is>
      </c>
      <c r="B1286" t="inlineStr">
        <is>
          <t>avverkningsanmälan</t>
        </is>
      </c>
      <c r="C1286" t="inlineStr">
        <is>
          <t>Föryngringsavverkning</t>
        </is>
      </c>
      <c r="D1286" s="1" t="n">
        <v>46177</v>
      </c>
      <c r="E1286" s="1" t="n">
        <v>46272</v>
      </c>
      <c r="F1286" t="inlineStr">
        <is>
          <t>GÄVLEBORGS LÄN</t>
        </is>
      </c>
      <c r="G1286" t="inlineStr">
        <is>
          <t>HUDIKSVALL</t>
        </is>
      </c>
      <c r="H1286" t="inlineStr">
        <is>
          <t>Holmen skog AB</t>
        </is>
      </c>
      <c r="I1286" t="n">
        <v>1.2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t="n">
        <v>0</v>
      </c>
      <c r="S1286" t="n">
        <v>0</v>
      </c>
      <c r="T1286" t="n">
        <v>0</v>
      </c>
      <c r="U1286" t="n">
        <v>0</v>
      </c>
      <c r="V1286" s="2" t="inlineStr"/>
    </row>
    <row r="1287" ht="15" customHeight="1">
      <c r="A1287" t="inlineStr">
        <is>
          <t>A 25573-2026</t>
        </is>
      </c>
      <c r="B1287" t="inlineStr">
        <is>
          <t>avverkningsanmälan</t>
        </is>
      </c>
      <c r="C1287" t="inlineStr">
        <is>
          <t>Föryngringsavverkning</t>
        </is>
      </c>
      <c r="D1287" s="1" t="n">
        <v>46177</v>
      </c>
      <c r="E1287" s="1" t="n">
        <v>46272</v>
      </c>
      <c r="F1287" t="inlineStr">
        <is>
          <t>GÄVLEBORGS LÄN</t>
        </is>
      </c>
      <c r="G1287" t="inlineStr">
        <is>
          <t>HUDIKSVALL</t>
        </is>
      </c>
      <c r="H1287" t="inlineStr">
        <is>
          <t>Holmen skog AB</t>
        </is>
      </c>
      <c r="I1287" t="n">
        <v>4.1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t="n">
        <v>0</v>
      </c>
      <c r="S1287" t="n">
        <v>0</v>
      </c>
      <c r="T1287" t="n">
        <v>0</v>
      </c>
      <c r="U1287" t="n">
        <v>0</v>
      </c>
      <c r="V1287" s="2" t="inlineStr"/>
    </row>
    <row r="1288" ht="15" customHeight="1">
      <c r="A1288" t="inlineStr">
        <is>
          <t>A 34664-2022</t>
        </is>
      </c>
      <c r="B1288" t="inlineStr">
        <is>
          <t>avverkningsanmälan</t>
        </is>
      </c>
      <c r="C1288" t="inlineStr">
        <is>
          <t>Föryngringsavverkning</t>
        </is>
      </c>
      <c r="D1288" s="1" t="n">
        <v>44795</v>
      </c>
      <c r="E1288" s="1" t="n">
        <v>46272</v>
      </c>
      <c r="F1288" t="inlineStr">
        <is>
          <t>GÄVLEBORGS LÄN</t>
        </is>
      </c>
      <c r="G1288" t="inlineStr">
        <is>
          <t>HUDIKSVALL</t>
        </is>
      </c>
      <c r="I1288" t="n">
        <v>2.6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t="n">
        <v>0</v>
      </c>
      <c r="S1288" t="n">
        <v>0</v>
      </c>
      <c r="T1288" t="n">
        <v>0</v>
      </c>
      <c r="U1288" t="n">
        <v>0</v>
      </c>
      <c r="V1288" s="2" t="inlineStr"/>
    </row>
    <row r="1289" ht="15" customHeight="1">
      <c r="A1289" t="inlineStr">
        <is>
          <t>A 24834-2024</t>
        </is>
      </c>
      <c r="B1289" t="inlineStr">
        <is>
          <t>avverkningsanmälan</t>
        </is>
      </c>
      <c r="C1289" t="inlineStr">
        <is>
          <t>Föryngringsavverkning</t>
        </is>
      </c>
      <c r="D1289" s="1" t="n">
        <v>45461</v>
      </c>
      <c r="E1289" s="1" t="n">
        <v>46272</v>
      </c>
      <c r="F1289" t="inlineStr">
        <is>
          <t>GÄVLEBORGS LÄN</t>
        </is>
      </c>
      <c r="G1289" t="inlineStr">
        <is>
          <t>HUDIKSVALL</t>
        </is>
      </c>
      <c r="H1289" t="inlineStr">
        <is>
          <t>Holmen skog AB</t>
        </is>
      </c>
      <c r="I1289" t="n">
        <v>3.4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t="n">
        <v>0</v>
      </c>
      <c r="S1289" t="n">
        <v>0</v>
      </c>
      <c r="T1289" t="n">
        <v>0</v>
      </c>
      <c r="U1289" t="n">
        <v>0</v>
      </c>
      <c r="V1289" s="2" t="inlineStr"/>
    </row>
    <row r="1290" ht="15" customHeight="1">
      <c r="A1290" t="inlineStr">
        <is>
          <t>A 11082-2023</t>
        </is>
      </c>
      <c r="B1290" t="inlineStr">
        <is>
          <t>avverkningsanmälan</t>
        </is>
      </c>
      <c r="C1290" t="inlineStr">
        <is>
          <t>Föryngringsavverkning</t>
        </is>
      </c>
      <c r="D1290" s="1" t="n">
        <v>44992</v>
      </c>
      <c r="E1290" s="1" t="n">
        <v>46272</v>
      </c>
      <c r="F1290" t="inlineStr">
        <is>
          <t>GÄVLEBORGS LÄN</t>
        </is>
      </c>
      <c r="G1290" t="inlineStr">
        <is>
          <t>HUDIKSVALL</t>
        </is>
      </c>
      <c r="I1290" t="n">
        <v>1.1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t="n">
        <v>0</v>
      </c>
      <c r="S1290" t="n">
        <v>0</v>
      </c>
      <c r="T1290" t="n">
        <v>0</v>
      </c>
      <c r="U1290" t="n">
        <v>0</v>
      </c>
      <c r="V1290" s="2" t="inlineStr"/>
    </row>
    <row r="1291" ht="15" customHeight="1">
      <c r="A1291" t="inlineStr">
        <is>
          <t>A 36084-2024</t>
        </is>
      </c>
      <c r="B1291" t="inlineStr">
        <is>
          <t>avverkningsanmälan</t>
        </is>
      </c>
      <c r="C1291" t="inlineStr">
        <is>
          <t>Föryngringsavverkning</t>
        </is>
      </c>
      <c r="D1291" s="1" t="n">
        <v>45533</v>
      </c>
      <c r="E1291" s="1" t="n">
        <v>46272</v>
      </c>
      <c r="F1291" t="inlineStr">
        <is>
          <t>GÄVLEBORGS LÄN</t>
        </is>
      </c>
      <c r="G1291" t="inlineStr">
        <is>
          <t>HUDIKSVALL</t>
        </is>
      </c>
      <c r="I1291" t="n">
        <v>1.5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t="n">
        <v>0</v>
      </c>
      <c r="S1291" t="n">
        <v>0</v>
      </c>
      <c r="T1291" t="n">
        <v>0</v>
      </c>
      <c r="U1291" t="n">
        <v>0</v>
      </c>
      <c r="V1291" s="2" t="inlineStr"/>
    </row>
    <row r="1292" ht="15" customHeight="1">
      <c r="A1292" t="inlineStr">
        <is>
          <t>A 34873-2024</t>
        </is>
      </c>
      <c r="B1292" t="inlineStr">
        <is>
          <t>avverkningsanmälan</t>
        </is>
      </c>
      <c r="C1292" t="inlineStr">
        <is>
          <t>Föryngringsavverkning</t>
        </is>
      </c>
      <c r="D1292" s="1" t="n">
        <v>45527</v>
      </c>
      <c r="E1292" s="1" t="n">
        <v>46272</v>
      </c>
      <c r="F1292" t="inlineStr">
        <is>
          <t>GÄVLEBORGS LÄN</t>
        </is>
      </c>
      <c r="G1292" t="inlineStr">
        <is>
          <t>HUDIKSVALL</t>
        </is>
      </c>
      <c r="I1292" t="n">
        <v>0.7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t="n">
        <v>0</v>
      </c>
      <c r="S1292" t="n">
        <v>0</v>
      </c>
      <c r="T1292" t="n">
        <v>0</v>
      </c>
      <c r="U1292" t="n">
        <v>0</v>
      </c>
      <c r="V1292" s="2" t="inlineStr"/>
    </row>
    <row r="1293" ht="15" customHeight="1">
      <c r="A1293" t="inlineStr">
        <is>
          <t>A 2760-2024</t>
        </is>
      </c>
      <c r="B1293" t="inlineStr">
        <is>
          <t>avverkningsanmälan</t>
        </is>
      </c>
      <c r="C1293" t="inlineStr">
        <is>
          <t>Föryngringsavverkning</t>
        </is>
      </c>
      <c r="D1293" s="1" t="n">
        <v>45314</v>
      </c>
      <c r="E1293" s="1" t="n">
        <v>46272</v>
      </c>
      <c r="F1293" t="inlineStr">
        <is>
          <t>GÄVLEBORGS LÄN</t>
        </is>
      </c>
      <c r="G1293" t="inlineStr">
        <is>
          <t>HUDIKSVALL</t>
        </is>
      </c>
      <c r="I1293" t="n">
        <v>2.4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t="n">
        <v>0</v>
      </c>
      <c r="S1293" t="n">
        <v>0</v>
      </c>
      <c r="T1293" t="n">
        <v>0</v>
      </c>
      <c r="U1293" t="n">
        <v>0</v>
      </c>
      <c r="V1293" s="2" t="inlineStr"/>
    </row>
    <row r="1294" ht="15" customHeight="1">
      <c r="A1294" t="inlineStr">
        <is>
          <t>A 35882-2025</t>
        </is>
      </c>
      <c r="B1294" t="inlineStr">
        <is>
          <t>avverkningsanmälan</t>
        </is>
      </c>
      <c r="C1294" t="inlineStr">
        <is>
          <t>Föryngringsavverkning</t>
        </is>
      </c>
      <c r="D1294" s="1" t="n">
        <v>45862</v>
      </c>
      <c r="E1294" s="1" t="n">
        <v>46272</v>
      </c>
      <c r="F1294" t="inlineStr">
        <is>
          <t>GÄVLEBORGS LÄN</t>
        </is>
      </c>
      <c r="G1294" t="inlineStr">
        <is>
          <t>HUDIKSVALL</t>
        </is>
      </c>
      <c r="I1294" t="n">
        <v>1.4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t="n">
        <v>0</v>
      </c>
      <c r="S1294" t="n">
        <v>0</v>
      </c>
      <c r="T1294" t="n">
        <v>0</v>
      </c>
      <c r="U1294" t="n">
        <v>0</v>
      </c>
      <c r="V1294" s="2" t="inlineStr"/>
    </row>
    <row r="1295" ht="15" customHeight="1">
      <c r="A1295" t="inlineStr">
        <is>
          <t>A 50899-2021</t>
        </is>
      </c>
      <c r="B1295" t="inlineStr">
        <is>
          <t>avverkningsanmälan</t>
        </is>
      </c>
      <c r="C1295" t="inlineStr">
        <is>
          <t>Föryngringsavverkning</t>
        </is>
      </c>
      <c r="D1295" s="1" t="n">
        <v>44460</v>
      </c>
      <c r="E1295" s="1" t="n">
        <v>46272</v>
      </c>
      <c r="F1295" t="inlineStr">
        <is>
          <t>GÄVLEBORGS LÄN</t>
        </is>
      </c>
      <c r="G1295" t="inlineStr">
        <is>
          <t>HUDIKSVALL</t>
        </is>
      </c>
      <c r="H1295" t="inlineStr">
        <is>
          <t>Holmen skog AB</t>
        </is>
      </c>
      <c r="I1295" t="n">
        <v>1.9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t="n">
        <v>0</v>
      </c>
      <c r="S1295" t="n">
        <v>0</v>
      </c>
      <c r="T1295" t="n">
        <v>0</v>
      </c>
      <c r="U1295" t="n">
        <v>0</v>
      </c>
      <c r="V1295" s="2" t="inlineStr"/>
    </row>
    <row r="1296" ht="15" customHeight="1">
      <c r="A1296" t="inlineStr">
        <is>
          <t>A 35879-2024</t>
        </is>
      </c>
      <c r="B1296" t="inlineStr">
        <is>
          <t>avverkningsanmälan</t>
        </is>
      </c>
      <c r="C1296" t="inlineStr">
        <is>
          <t>Föryngringsavverkning</t>
        </is>
      </c>
      <c r="D1296" s="1" t="n">
        <v>45533</v>
      </c>
      <c r="E1296" s="1" t="n">
        <v>46272</v>
      </c>
      <c r="F1296" t="inlineStr">
        <is>
          <t>GÄVLEBORGS LÄN</t>
        </is>
      </c>
      <c r="G1296" t="inlineStr">
        <is>
          <t>HUDIKSVALL</t>
        </is>
      </c>
      <c r="I1296" t="n">
        <v>3.8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t="n">
        <v>0</v>
      </c>
      <c r="S1296" t="n">
        <v>0</v>
      </c>
      <c r="T1296" t="n">
        <v>0</v>
      </c>
      <c r="U1296" t="n">
        <v>0</v>
      </c>
      <c r="V1296" s="2" t="inlineStr"/>
    </row>
    <row r="1297" ht="15" customHeight="1">
      <c r="A1297" t="inlineStr">
        <is>
          <t>A 53156-2024</t>
        </is>
      </c>
      <c r="B1297" t="inlineStr">
        <is>
          <t>avverkningsanmälan</t>
        </is>
      </c>
      <c r="C1297" t="inlineStr">
        <is>
          <t>Föryngringsavverkning</t>
        </is>
      </c>
      <c r="D1297" s="1" t="n">
        <v>45611</v>
      </c>
      <c r="E1297" s="1" t="n">
        <v>46272</v>
      </c>
      <c r="F1297" t="inlineStr">
        <is>
          <t>GÄVLEBORGS LÄN</t>
        </is>
      </c>
      <c r="G1297" t="inlineStr">
        <is>
          <t>HUDIKSVALL</t>
        </is>
      </c>
      <c r="I1297" t="n">
        <v>2.6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t="n">
        <v>0</v>
      </c>
      <c r="S1297" t="n">
        <v>0</v>
      </c>
      <c r="T1297" t="n">
        <v>0</v>
      </c>
      <c r="U1297" t="n">
        <v>0</v>
      </c>
      <c r="V1297" s="2" t="inlineStr"/>
    </row>
    <row r="1298" ht="15" customHeight="1">
      <c r="A1298" t="inlineStr">
        <is>
          <t>A 1192-2026</t>
        </is>
      </c>
      <c r="B1298" t="inlineStr">
        <is>
          <t>avverkningsanmälan</t>
        </is>
      </c>
      <c r="C1298" t="inlineStr">
        <is>
          <t>Föryngringsavverkning</t>
        </is>
      </c>
      <c r="D1298" s="1" t="n">
        <v>46031</v>
      </c>
      <c r="E1298" s="1" t="n">
        <v>46272</v>
      </c>
      <c r="F1298" t="inlineStr">
        <is>
          <t>GÄVLEBORGS LÄN</t>
        </is>
      </c>
      <c r="G1298" t="inlineStr">
        <is>
          <t>HUDIKSVALL</t>
        </is>
      </c>
      <c r="H1298" t="inlineStr">
        <is>
          <t>Holmen skog AB</t>
        </is>
      </c>
      <c r="I1298" t="n">
        <v>3.3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t="n">
        <v>0</v>
      </c>
      <c r="S1298" t="n">
        <v>0</v>
      </c>
      <c r="T1298" t="n">
        <v>0</v>
      </c>
      <c r="U1298" t="n">
        <v>0</v>
      </c>
      <c r="V1298" s="2" t="inlineStr"/>
    </row>
    <row r="1299" ht="15" customHeight="1">
      <c r="A1299" t="inlineStr">
        <is>
          <t>A 22892-2023</t>
        </is>
      </c>
      <c r="B1299" t="inlineStr">
        <is>
          <t>avverkningsanmälan</t>
        </is>
      </c>
      <c r="C1299" t="inlineStr">
        <is>
          <t>Föryngringsavverkning</t>
        </is>
      </c>
      <c r="D1299" s="1" t="n">
        <v>45072</v>
      </c>
      <c r="E1299" s="1" t="n">
        <v>46272</v>
      </c>
      <c r="F1299" t="inlineStr">
        <is>
          <t>GÄVLEBORGS LÄN</t>
        </is>
      </c>
      <c r="G1299" t="inlineStr">
        <is>
          <t>HUDIKSVALL</t>
        </is>
      </c>
      <c r="I1299" t="n">
        <v>1.4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t="n">
        <v>0</v>
      </c>
      <c r="S1299" t="n">
        <v>0</v>
      </c>
      <c r="T1299" t="n">
        <v>0</v>
      </c>
      <c r="U1299" t="n">
        <v>0</v>
      </c>
      <c r="V1299" s="2" t="inlineStr"/>
    </row>
    <row r="1300" ht="15" customHeight="1">
      <c r="A1300" t="inlineStr">
        <is>
          <t>A 26413-2026</t>
        </is>
      </c>
      <c r="B1300" t="inlineStr">
        <is>
          <t>avverkningsanmälan</t>
        </is>
      </c>
      <c r="C1300" t="inlineStr">
        <is>
          <t>Föryngringsavverkning</t>
        </is>
      </c>
      <c r="D1300" s="1" t="n">
        <v>46183</v>
      </c>
      <c r="E1300" s="1" t="n">
        <v>46272</v>
      </c>
      <c r="F1300" t="inlineStr">
        <is>
          <t>GÄVLEBORGS LÄN</t>
        </is>
      </c>
      <c r="G1300" t="inlineStr">
        <is>
          <t>HUDIKSVALL</t>
        </is>
      </c>
      <c r="I1300" t="n">
        <v>1.8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t="n">
        <v>0</v>
      </c>
      <c r="S1300" t="n">
        <v>0</v>
      </c>
      <c r="T1300" t="n">
        <v>0</v>
      </c>
      <c r="U1300" t="n">
        <v>0</v>
      </c>
      <c r="V1300" s="2" t="inlineStr"/>
    </row>
    <row r="1301" ht="15" customHeight="1">
      <c r="A1301" t="inlineStr">
        <is>
          <t>A 28174-2023</t>
        </is>
      </c>
      <c r="B1301" t="inlineStr">
        <is>
          <t>avverkningsanmälan</t>
        </is>
      </c>
      <c r="C1301" t="inlineStr">
        <is>
          <t>Föryngringsavverkning</t>
        </is>
      </c>
      <c r="D1301" s="1" t="n">
        <v>45099</v>
      </c>
      <c r="E1301" s="1" t="n">
        <v>46272</v>
      </c>
      <c r="F1301" t="inlineStr">
        <is>
          <t>GÄVLEBORGS LÄN</t>
        </is>
      </c>
      <c r="G1301" t="inlineStr">
        <is>
          <t>HUDIKSVALL</t>
        </is>
      </c>
      <c r="I1301" t="n">
        <v>3.3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t="n">
        <v>0</v>
      </c>
      <c r="S1301" t="n">
        <v>0</v>
      </c>
      <c r="T1301" t="n">
        <v>0</v>
      </c>
      <c r="U1301" t="n">
        <v>0</v>
      </c>
      <c r="V1301" s="2" t="inlineStr"/>
    </row>
    <row r="1302" ht="15" customHeight="1">
      <c r="A1302" t="inlineStr">
        <is>
          <t>A 41249-2024</t>
        </is>
      </c>
      <c r="B1302" t="inlineStr">
        <is>
          <t>avverkningsanmälan</t>
        </is>
      </c>
      <c r="C1302" t="inlineStr">
        <is>
          <t>Föryngringsavverkning</t>
        </is>
      </c>
      <c r="D1302" s="1" t="n">
        <v>45559</v>
      </c>
      <c r="E1302" s="1" t="n">
        <v>46272</v>
      </c>
      <c r="F1302" t="inlineStr">
        <is>
          <t>GÄVLEBORGS LÄN</t>
        </is>
      </c>
      <c r="G1302" t="inlineStr">
        <is>
          <t>HUDIKSVALL</t>
        </is>
      </c>
      <c r="H1302" t="inlineStr">
        <is>
          <t>Holmen skog AB</t>
        </is>
      </c>
      <c r="I1302" t="n">
        <v>16.3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t="n">
        <v>0</v>
      </c>
      <c r="S1302" t="n">
        <v>0</v>
      </c>
      <c r="T1302" t="n">
        <v>0</v>
      </c>
      <c r="U1302" t="n">
        <v>0</v>
      </c>
      <c r="V1302" s="2" t="inlineStr"/>
    </row>
    <row r="1303" ht="15" customHeight="1">
      <c r="A1303" t="inlineStr">
        <is>
          <t>A 26410-2026</t>
        </is>
      </c>
      <c r="B1303" t="inlineStr">
        <is>
          <t>avverkningsanmälan</t>
        </is>
      </c>
      <c r="C1303" t="inlineStr">
        <is>
          <t>Föryngringsavverkning</t>
        </is>
      </c>
      <c r="D1303" s="1" t="n">
        <v>46183</v>
      </c>
      <c r="E1303" s="1" t="n">
        <v>46272</v>
      </c>
      <c r="F1303" t="inlineStr">
        <is>
          <t>GÄVLEBORGS LÄN</t>
        </is>
      </c>
      <c r="G1303" t="inlineStr">
        <is>
          <t>HUDIKSVALL</t>
        </is>
      </c>
      <c r="I1303" t="n">
        <v>1.4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t="n">
        <v>0</v>
      </c>
      <c r="S1303" t="n">
        <v>0</v>
      </c>
      <c r="T1303" t="n">
        <v>0</v>
      </c>
      <c r="U1303" t="n">
        <v>0</v>
      </c>
      <c r="V1303" s="2" t="inlineStr"/>
    </row>
    <row r="1304" ht="15" customHeight="1">
      <c r="A1304" t="inlineStr">
        <is>
          <t>A 24210-2023</t>
        </is>
      </c>
      <c r="B1304" t="inlineStr">
        <is>
          <t>avverkningsanmälan</t>
        </is>
      </c>
      <c r="C1304" t="inlineStr">
        <is>
          <t>Föryngringsavverkning</t>
        </is>
      </c>
      <c r="D1304" s="1" t="n">
        <v>45079</v>
      </c>
      <c r="E1304" s="1" t="n">
        <v>46272</v>
      </c>
      <c r="F1304" t="inlineStr">
        <is>
          <t>GÄVLEBORGS LÄN</t>
        </is>
      </c>
      <c r="G1304" t="inlineStr">
        <is>
          <t>HUDIKSVALL</t>
        </is>
      </c>
      <c r="I1304" t="n">
        <v>1.2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t="n">
        <v>0</v>
      </c>
      <c r="S1304" t="n">
        <v>0</v>
      </c>
      <c r="T1304" t="n">
        <v>0</v>
      </c>
      <c r="U1304" t="n">
        <v>0</v>
      </c>
      <c r="V1304" s="2" t="inlineStr"/>
    </row>
    <row r="1305" ht="15" customHeight="1">
      <c r="A1305" t="inlineStr">
        <is>
          <t>A 43665-2024</t>
        </is>
      </c>
      <c r="B1305" t="inlineStr">
        <is>
          <t>avverkningsanmälan</t>
        </is>
      </c>
      <c r="C1305" t="inlineStr">
        <is>
          <t>Föryngringsavverkning</t>
        </is>
      </c>
      <c r="D1305" s="1" t="n">
        <v>45569</v>
      </c>
      <c r="E1305" s="1" t="n">
        <v>46272</v>
      </c>
      <c r="F1305" t="inlineStr">
        <is>
          <t>GÄVLEBORGS LÄN</t>
        </is>
      </c>
      <c r="G1305" t="inlineStr">
        <is>
          <t>HUDIKSVALL</t>
        </is>
      </c>
      <c r="H1305" t="inlineStr">
        <is>
          <t>Kommuner</t>
        </is>
      </c>
      <c r="I1305" t="n">
        <v>0.6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t="n">
        <v>0</v>
      </c>
      <c r="S1305" t="n">
        <v>0</v>
      </c>
      <c r="T1305" t="n">
        <v>0</v>
      </c>
      <c r="U1305" t="n">
        <v>0</v>
      </c>
      <c r="V1305" s="2" t="inlineStr"/>
    </row>
    <row r="1306" ht="15" customHeight="1">
      <c r="A1306" t="inlineStr">
        <is>
          <t>A 55741-2023</t>
        </is>
      </c>
      <c r="B1306" t="inlineStr">
        <is>
          <t>avverkningsanmälan</t>
        </is>
      </c>
      <c r="C1306" t="inlineStr">
        <is>
          <t>Föryngringsavverkning</t>
        </is>
      </c>
      <c r="D1306" s="1" t="n">
        <v>45239</v>
      </c>
      <c r="E1306" s="1" t="n">
        <v>46272</v>
      </c>
      <c r="F1306" t="inlineStr">
        <is>
          <t>GÄVLEBORGS LÄN</t>
        </is>
      </c>
      <c r="G1306" t="inlineStr">
        <is>
          <t>HUDIKSVALL</t>
        </is>
      </c>
      <c r="H1306" t="inlineStr">
        <is>
          <t>Holmen skog AB</t>
        </is>
      </c>
      <c r="I1306" t="n">
        <v>7.1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t="n">
        <v>0</v>
      </c>
      <c r="S1306" t="n">
        <v>0</v>
      </c>
      <c r="T1306" t="n">
        <v>0</v>
      </c>
      <c r="U1306" t="n">
        <v>0</v>
      </c>
      <c r="V1306" s="2" t="inlineStr"/>
    </row>
    <row r="1307" ht="15" customHeight="1">
      <c r="A1307" t="inlineStr">
        <is>
          <t>A 1409-2024</t>
        </is>
      </c>
      <c r="B1307" t="inlineStr">
        <is>
          <t>avverkningsanmälan</t>
        </is>
      </c>
      <c r="C1307" t="inlineStr">
        <is>
          <t>Föryngringsavverkning</t>
        </is>
      </c>
      <c r="D1307" s="1" t="n">
        <v>45303</v>
      </c>
      <c r="E1307" s="1" t="n">
        <v>46272</v>
      </c>
      <c r="F1307" t="inlineStr">
        <is>
          <t>GÄVLEBORGS LÄN</t>
        </is>
      </c>
      <c r="G1307" t="inlineStr">
        <is>
          <t>HUDIKSVALL</t>
        </is>
      </c>
      <c r="I1307" t="n">
        <v>0.5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t="n">
        <v>0</v>
      </c>
      <c r="S1307" t="n">
        <v>0</v>
      </c>
      <c r="T1307" t="n">
        <v>0</v>
      </c>
      <c r="U1307" t="n">
        <v>0</v>
      </c>
      <c r="V1307" s="2" t="inlineStr"/>
    </row>
    <row r="1308" ht="15" customHeight="1">
      <c r="A1308" t="inlineStr">
        <is>
          <t>A 40965-2023</t>
        </is>
      </c>
      <c r="B1308" t="inlineStr">
        <is>
          <t>avverkningsanmälan</t>
        </is>
      </c>
      <c r="C1308" t="inlineStr">
        <is>
          <t>Föryngringsavverkning</t>
        </is>
      </c>
      <c r="D1308" s="1" t="n">
        <v>45173</v>
      </c>
      <c r="E1308" s="1" t="n">
        <v>46272</v>
      </c>
      <c r="F1308" t="inlineStr">
        <is>
          <t>GÄVLEBORGS LÄN</t>
        </is>
      </c>
      <c r="G1308" t="inlineStr">
        <is>
          <t>HUDIKSVALL</t>
        </is>
      </c>
      <c r="H1308" t="inlineStr">
        <is>
          <t>Holmen skog AB</t>
        </is>
      </c>
      <c r="I1308" t="n">
        <v>1.3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t="n">
        <v>0</v>
      </c>
      <c r="S1308" t="n">
        <v>0</v>
      </c>
      <c r="T1308" t="n">
        <v>0</v>
      </c>
      <c r="U1308" t="n">
        <v>0</v>
      </c>
      <c r="V1308" s="2" t="inlineStr"/>
    </row>
    <row r="1309" ht="15" customHeight="1">
      <c r="A1309" t="inlineStr">
        <is>
          <t>A 22977-2024</t>
        </is>
      </c>
      <c r="B1309" t="inlineStr">
        <is>
          <t>avverkningsanmälan</t>
        </is>
      </c>
      <c r="C1309" t="inlineStr">
        <is>
          <t>Föryngringsavverkning</t>
        </is>
      </c>
      <c r="D1309" s="1" t="n">
        <v>45449</v>
      </c>
      <c r="E1309" s="1" t="n">
        <v>46272</v>
      </c>
      <c r="F1309" t="inlineStr">
        <is>
          <t>GÄVLEBORGS LÄN</t>
        </is>
      </c>
      <c r="G1309" t="inlineStr">
        <is>
          <t>HUDIKSVALL</t>
        </is>
      </c>
      <c r="H1309" t="inlineStr">
        <is>
          <t>Holmen skog AB</t>
        </is>
      </c>
      <c r="I1309" t="n">
        <v>2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t="n">
        <v>0</v>
      </c>
      <c r="S1309" t="n">
        <v>0</v>
      </c>
      <c r="T1309" t="n">
        <v>0</v>
      </c>
      <c r="U1309" t="n">
        <v>0</v>
      </c>
      <c r="V1309" s="2" t="inlineStr"/>
    </row>
    <row r="1310" ht="15" customHeight="1">
      <c r="A1310" t="inlineStr">
        <is>
          <t>A 9918-2025</t>
        </is>
      </c>
      <c r="B1310" t="inlineStr">
        <is>
          <t>avverkningsanmälan</t>
        </is>
      </c>
      <c r="C1310" t="inlineStr">
        <is>
          <t>Föryngringsavverkning</t>
        </is>
      </c>
      <c r="D1310" s="1" t="n">
        <v>45717</v>
      </c>
      <c r="E1310" s="1" t="n">
        <v>46272</v>
      </c>
      <c r="F1310" t="inlineStr">
        <is>
          <t>GÄVLEBORGS LÄN</t>
        </is>
      </c>
      <c r="G1310" t="inlineStr">
        <is>
          <t>HUDIKSVALL</t>
        </is>
      </c>
      <c r="I1310" t="n">
        <v>2.4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t="n">
        <v>0</v>
      </c>
      <c r="S1310" t="n">
        <v>0</v>
      </c>
      <c r="T1310" t="n">
        <v>0</v>
      </c>
      <c r="U1310" t="n">
        <v>0</v>
      </c>
      <c r="V1310" s="2" t="inlineStr"/>
    </row>
    <row r="1311" ht="15" customHeight="1">
      <c r="A1311" t="inlineStr">
        <is>
          <t>A 1377-2022</t>
        </is>
      </c>
      <c r="B1311" t="inlineStr">
        <is>
          <t>avverkningsanmälan</t>
        </is>
      </c>
      <c r="C1311" t="inlineStr">
        <is>
          <t>Föryngringsavverkning</t>
        </is>
      </c>
      <c r="D1311" s="1" t="n">
        <v>44573</v>
      </c>
      <c r="E1311" s="1" t="n">
        <v>46272</v>
      </c>
      <c r="F1311" t="inlineStr">
        <is>
          <t>GÄVLEBORGS LÄN</t>
        </is>
      </c>
      <c r="G1311" t="inlineStr">
        <is>
          <t>HUDIKSVALL</t>
        </is>
      </c>
      <c r="I1311" t="n">
        <v>0.7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t="n">
        <v>0</v>
      </c>
      <c r="S1311" t="n">
        <v>0</v>
      </c>
      <c r="T1311" t="n">
        <v>0</v>
      </c>
      <c r="U1311" t="n">
        <v>0</v>
      </c>
      <c r="V1311" s="2" t="inlineStr"/>
    </row>
    <row r="1312" ht="15" customHeight="1">
      <c r="A1312" t="inlineStr">
        <is>
          <t>A 27956-2024</t>
        </is>
      </c>
      <c r="B1312" t="inlineStr">
        <is>
          <t>avverkningsanmälan</t>
        </is>
      </c>
      <c r="C1312" t="inlineStr">
        <is>
          <t>Föryngringsavverkning</t>
        </is>
      </c>
      <c r="D1312" s="1" t="n">
        <v>45476</v>
      </c>
      <c r="E1312" s="1" t="n">
        <v>46272</v>
      </c>
      <c r="F1312" t="inlineStr">
        <is>
          <t>GÄVLEBORGS LÄN</t>
        </is>
      </c>
      <c r="G1312" t="inlineStr">
        <is>
          <t>HUDIKSVALL</t>
        </is>
      </c>
      <c r="H1312" t="inlineStr">
        <is>
          <t>Holmen skog AB</t>
        </is>
      </c>
      <c r="I1312" t="n">
        <v>1.7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t="n">
        <v>0</v>
      </c>
      <c r="S1312" t="n">
        <v>0</v>
      </c>
      <c r="T1312" t="n">
        <v>0</v>
      </c>
      <c r="U1312" t="n">
        <v>0</v>
      </c>
      <c r="V1312" s="2" t="inlineStr"/>
    </row>
    <row r="1313" ht="15" customHeight="1">
      <c r="A1313" t="inlineStr">
        <is>
          <t>A 27259-2026</t>
        </is>
      </c>
      <c r="B1313" t="inlineStr">
        <is>
          <t>avverkningsanmälan</t>
        </is>
      </c>
      <c r="C1313" t="inlineStr">
        <is>
          <t>Föryngringsavverkning</t>
        </is>
      </c>
      <c r="D1313" s="1" t="n">
        <v>46188</v>
      </c>
      <c r="E1313" s="1" t="n">
        <v>46272</v>
      </c>
      <c r="F1313" t="inlineStr">
        <is>
          <t>GÄVLEBORGS LÄN</t>
        </is>
      </c>
      <c r="G1313" t="inlineStr">
        <is>
          <t>HUDIKSVALL</t>
        </is>
      </c>
      <c r="I1313" t="n">
        <v>0.8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t="n">
        <v>0</v>
      </c>
      <c r="S1313" t="n">
        <v>0</v>
      </c>
      <c r="T1313" t="n">
        <v>0</v>
      </c>
      <c r="U1313" t="n">
        <v>0</v>
      </c>
      <c r="V1313" s="2" t="inlineStr"/>
    </row>
    <row r="1314" ht="15" customHeight="1">
      <c r="A1314" t="inlineStr">
        <is>
          <t>A 59326-2025</t>
        </is>
      </c>
      <c r="B1314" t="inlineStr">
        <is>
          <t>avverkningsanmälan</t>
        </is>
      </c>
      <c r="C1314" t="inlineStr">
        <is>
          <t>Föryngringsavverkning</t>
        </is>
      </c>
      <c r="D1314" s="1" t="n">
        <v>45989</v>
      </c>
      <c r="E1314" s="1" t="n">
        <v>46272</v>
      </c>
      <c r="F1314" t="inlineStr">
        <is>
          <t>GÄVLEBORGS LÄN</t>
        </is>
      </c>
      <c r="G1314" t="inlineStr">
        <is>
          <t>HUDIKSVALL</t>
        </is>
      </c>
      <c r="I1314" t="n">
        <v>5.3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t="n">
        <v>0</v>
      </c>
      <c r="S1314" t="n">
        <v>0</v>
      </c>
      <c r="T1314" t="n">
        <v>0</v>
      </c>
      <c r="U1314" t="n">
        <v>0</v>
      </c>
      <c r="V1314" s="2" t="inlineStr"/>
    </row>
    <row r="1315" ht="15" customHeight="1">
      <c r="A1315" t="inlineStr">
        <is>
          <t>A 26803-2026</t>
        </is>
      </c>
      <c r="B1315" t="inlineStr">
        <is>
          <t>avverkningsanmälan</t>
        </is>
      </c>
      <c r="C1315" t="inlineStr">
        <is>
          <t>Föryngringsavverkning</t>
        </is>
      </c>
      <c r="D1315" s="1" t="n">
        <v>46185</v>
      </c>
      <c r="E1315" s="1" t="n">
        <v>46272</v>
      </c>
      <c r="F1315" t="inlineStr">
        <is>
          <t>GÄVLEBORGS LÄN</t>
        </is>
      </c>
      <c r="G1315" t="inlineStr">
        <is>
          <t>HUDIKSVALL</t>
        </is>
      </c>
      <c r="I1315" t="n">
        <v>0.9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t="n">
        <v>0</v>
      </c>
      <c r="S1315" t="n">
        <v>0</v>
      </c>
      <c r="T1315" t="n">
        <v>0</v>
      </c>
      <c r="U1315" t="n">
        <v>0</v>
      </c>
      <c r="V1315" s="2" t="inlineStr"/>
    </row>
    <row r="1316" ht="15" customHeight="1">
      <c r="A1316" t="inlineStr">
        <is>
          <t>A 59327-2025</t>
        </is>
      </c>
      <c r="B1316" t="inlineStr">
        <is>
          <t>avverkningsanmälan</t>
        </is>
      </c>
      <c r="C1316" t="inlineStr">
        <is>
          <t>Föryngringsavverkning</t>
        </is>
      </c>
      <c r="D1316" s="1" t="n">
        <v>45989</v>
      </c>
      <c r="E1316" s="1" t="n">
        <v>46272</v>
      </c>
      <c r="F1316" t="inlineStr">
        <is>
          <t>GÄVLEBORGS LÄN</t>
        </is>
      </c>
      <c r="G1316" t="inlineStr">
        <is>
          <t>HUDIKSVALL</t>
        </is>
      </c>
      <c r="I1316" t="n">
        <v>1.3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t="n">
        <v>0</v>
      </c>
      <c r="S1316" t="n">
        <v>0</v>
      </c>
      <c r="T1316" t="n">
        <v>0</v>
      </c>
      <c r="U1316" t="n">
        <v>0</v>
      </c>
      <c r="V1316" s="2" t="inlineStr"/>
    </row>
    <row r="1317" ht="15" customHeight="1">
      <c r="A1317" t="inlineStr">
        <is>
          <t>A 31117-2024</t>
        </is>
      </c>
      <c r="B1317" t="inlineStr">
        <is>
          <t>avverkningsanmälan</t>
        </is>
      </c>
      <c r="C1317" t="inlineStr">
        <is>
          <t>Föryngringsavverkning</t>
        </is>
      </c>
      <c r="D1317" s="1" t="n">
        <v>45502</v>
      </c>
      <c r="E1317" s="1" t="n">
        <v>46272</v>
      </c>
      <c r="F1317" t="inlineStr">
        <is>
          <t>GÄVLEBORGS LÄN</t>
        </is>
      </c>
      <c r="G1317" t="inlineStr">
        <is>
          <t>HUDIKSVALL</t>
        </is>
      </c>
      <c r="H1317" t="inlineStr">
        <is>
          <t>Holmen skog AB</t>
        </is>
      </c>
      <c r="I1317" t="n">
        <v>10.9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t="n">
        <v>0</v>
      </c>
      <c r="S1317" t="n">
        <v>0</v>
      </c>
      <c r="T1317" t="n">
        <v>0</v>
      </c>
      <c r="U1317" t="n">
        <v>0</v>
      </c>
      <c r="V1317" s="2" t="inlineStr"/>
    </row>
    <row r="1318" ht="15" customHeight="1">
      <c r="A1318" t="inlineStr">
        <is>
          <t>A 31119-2024</t>
        </is>
      </c>
      <c r="B1318" t="inlineStr">
        <is>
          <t>avverkningsanmälan</t>
        </is>
      </c>
      <c r="C1318" t="inlineStr">
        <is>
          <t>Föryngringsavverkning</t>
        </is>
      </c>
      <c r="D1318" s="1" t="n">
        <v>45502</v>
      </c>
      <c r="E1318" s="1" t="n">
        <v>46272</v>
      </c>
      <c r="F1318" t="inlineStr">
        <is>
          <t>GÄVLEBORGS LÄN</t>
        </is>
      </c>
      <c r="G1318" t="inlineStr">
        <is>
          <t>HUDIKSVALL</t>
        </is>
      </c>
      <c r="H1318" t="inlineStr">
        <is>
          <t>Holmen skog AB</t>
        </is>
      </c>
      <c r="I1318" t="n">
        <v>3.1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t="n">
        <v>0</v>
      </c>
      <c r="S1318" t="n">
        <v>0</v>
      </c>
      <c r="T1318" t="n">
        <v>0</v>
      </c>
      <c r="U1318" t="n">
        <v>0</v>
      </c>
      <c r="V1318" s="2" t="inlineStr"/>
    </row>
    <row r="1319" ht="15" customHeight="1">
      <c r="A1319" t="inlineStr">
        <is>
          <t>A 27171-2026</t>
        </is>
      </c>
      <c r="B1319" t="inlineStr">
        <is>
          <t>avverkningsanmälan</t>
        </is>
      </c>
      <c r="C1319" t="inlineStr">
        <is>
          <t>Föryngringsavverkning</t>
        </is>
      </c>
      <c r="D1319" s="1" t="n">
        <v>46188</v>
      </c>
      <c r="E1319" s="1" t="n">
        <v>46272</v>
      </c>
      <c r="F1319" t="inlineStr">
        <is>
          <t>GÄVLEBORGS LÄN</t>
        </is>
      </c>
      <c r="G1319" t="inlineStr">
        <is>
          <t>HUDIKSVALL</t>
        </is>
      </c>
      <c r="I1319" t="n">
        <v>1.4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t="n">
        <v>0</v>
      </c>
      <c r="S1319" t="n">
        <v>0</v>
      </c>
      <c r="T1319" t="n">
        <v>0</v>
      </c>
      <c r="U1319" t="n">
        <v>0</v>
      </c>
      <c r="V1319" s="2" t="inlineStr"/>
    </row>
    <row r="1320" ht="15" customHeight="1">
      <c r="A1320" t="inlineStr">
        <is>
          <t>A 27706-2026</t>
        </is>
      </c>
      <c r="B1320" t="inlineStr">
        <is>
          <t>avverkningsanmälan</t>
        </is>
      </c>
      <c r="C1320" t="inlineStr">
        <is>
          <t>Föryngringsavverkning</t>
        </is>
      </c>
      <c r="D1320" s="1" t="n">
        <v>46190</v>
      </c>
      <c r="E1320" s="1" t="n">
        <v>46272</v>
      </c>
      <c r="F1320" t="inlineStr">
        <is>
          <t>GÄVLEBORGS LÄN</t>
        </is>
      </c>
      <c r="G1320" t="inlineStr">
        <is>
          <t>HUDIKSVALL</t>
        </is>
      </c>
      <c r="I1320" t="n">
        <v>1.2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t="n">
        <v>0</v>
      </c>
      <c r="S1320" t="n">
        <v>0</v>
      </c>
      <c r="T1320" t="n">
        <v>0</v>
      </c>
      <c r="U1320" t="n">
        <v>0</v>
      </c>
      <c r="V1320" s="2" t="inlineStr"/>
    </row>
    <row r="1321" ht="15" customHeight="1">
      <c r="A1321" t="inlineStr">
        <is>
          <t>A 43803-2022</t>
        </is>
      </c>
      <c r="B1321" t="inlineStr">
        <is>
          <t>avverkningsanmälan</t>
        </is>
      </c>
      <c r="C1321" t="inlineStr">
        <is>
          <t>Föryngringsavverkning</t>
        </is>
      </c>
      <c r="D1321" s="1" t="n">
        <v>44838</v>
      </c>
      <c r="E1321" s="1" t="n">
        <v>46272</v>
      </c>
      <c r="F1321" t="inlineStr">
        <is>
          <t>GÄVLEBORGS LÄN</t>
        </is>
      </c>
      <c r="G1321" t="inlineStr">
        <is>
          <t>HUDIKSVALL</t>
        </is>
      </c>
      <c r="H1321" t="inlineStr">
        <is>
          <t>Holmen skog AB</t>
        </is>
      </c>
      <c r="I1321" t="n">
        <v>1.5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t="n">
        <v>0</v>
      </c>
      <c r="S1321" t="n">
        <v>0</v>
      </c>
      <c r="T1321" t="n">
        <v>0</v>
      </c>
      <c r="U1321" t="n">
        <v>0</v>
      </c>
      <c r="V1321" s="2" t="inlineStr"/>
    </row>
    <row r="1322" ht="15" customHeight="1">
      <c r="A1322" t="inlineStr">
        <is>
          <t>A 31691-2024</t>
        </is>
      </c>
      <c r="B1322" t="inlineStr">
        <is>
          <t>avverkningsanmälan</t>
        </is>
      </c>
      <c r="C1322" t="inlineStr">
        <is>
          <t>Föryngringsavverkning</t>
        </is>
      </c>
      <c r="D1322" s="1" t="n">
        <v>45507</v>
      </c>
      <c r="E1322" s="1" t="n">
        <v>46272</v>
      </c>
      <c r="F1322" t="inlineStr">
        <is>
          <t>GÄVLEBORGS LÄN</t>
        </is>
      </c>
      <c r="G1322" t="inlineStr">
        <is>
          <t>HUDIKSVALL</t>
        </is>
      </c>
      <c r="H1322" t="inlineStr">
        <is>
          <t>Holmen skog AB</t>
        </is>
      </c>
      <c r="I1322" t="n">
        <v>2.6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t="n">
        <v>0</v>
      </c>
      <c r="S1322" t="n">
        <v>0</v>
      </c>
      <c r="T1322" t="n">
        <v>0</v>
      </c>
      <c r="U1322" t="n">
        <v>0</v>
      </c>
      <c r="V1322" s="2" t="inlineStr"/>
    </row>
    <row r="1323" ht="15" customHeight="1">
      <c r="A1323" t="inlineStr">
        <is>
          <t>A 32015-2026</t>
        </is>
      </c>
      <c r="B1323" t="inlineStr">
        <is>
          <t>avverkningsanmälan</t>
        </is>
      </c>
      <c r="C1323" t="inlineStr">
        <is>
          <t>Föryngringsavverkning</t>
        </is>
      </c>
      <c r="D1323" s="1" t="n">
        <v>46233</v>
      </c>
      <c r="E1323" s="1" t="n">
        <v>46272</v>
      </c>
      <c r="F1323" t="inlineStr">
        <is>
          <t>GÄVLEBORGS LÄN</t>
        </is>
      </c>
      <c r="G1323" t="inlineStr">
        <is>
          <t>HUDIKSVALL</t>
        </is>
      </c>
      <c r="H1323" t="inlineStr">
        <is>
          <t>Holmen skog AB</t>
        </is>
      </c>
      <c r="I1323" t="n">
        <v>4.3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t="n">
        <v>0</v>
      </c>
      <c r="S1323" t="n">
        <v>0</v>
      </c>
      <c r="T1323" t="n">
        <v>0</v>
      </c>
      <c r="U1323" t="n">
        <v>0</v>
      </c>
      <c r="V1323" s="2" t="inlineStr"/>
    </row>
    <row r="1324" ht="15" customHeight="1">
      <c r="A1324" t="inlineStr">
        <is>
          <t>A 56805-2022</t>
        </is>
      </c>
      <c r="B1324" t="inlineStr">
        <is>
          <t>avverkningsanmälan</t>
        </is>
      </c>
      <c r="C1324" t="inlineStr">
        <is>
          <t>Föryngringsavverkning</t>
        </is>
      </c>
      <c r="D1324" s="1" t="n">
        <v>44894</v>
      </c>
      <c r="E1324" s="1" t="n">
        <v>46272</v>
      </c>
      <c r="F1324" t="inlineStr">
        <is>
          <t>GÄVLEBORGS LÄN</t>
        </is>
      </c>
      <c r="G1324" t="inlineStr">
        <is>
          <t>HUDIKSVALL</t>
        </is>
      </c>
      <c r="H1324" t="inlineStr">
        <is>
          <t>Holmen skog AB</t>
        </is>
      </c>
      <c r="I1324" t="n">
        <v>2.8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t="n">
        <v>0</v>
      </c>
      <c r="S1324" t="n">
        <v>0</v>
      </c>
      <c r="T1324" t="n">
        <v>0</v>
      </c>
      <c r="U1324" t="n">
        <v>0</v>
      </c>
      <c r="V1324" s="2" t="inlineStr"/>
    </row>
    <row r="1325" ht="15" customHeight="1">
      <c r="A1325" t="inlineStr">
        <is>
          <t>A 32057-2026</t>
        </is>
      </c>
      <c r="B1325" t="inlineStr">
        <is>
          <t>avverkningsanmälan</t>
        </is>
      </c>
      <c r="C1325" t="inlineStr">
        <is>
          <t>Föryngringsavverkning</t>
        </is>
      </c>
      <c r="D1325" s="1" t="n">
        <v>46233</v>
      </c>
      <c r="E1325" s="1" t="n">
        <v>46272</v>
      </c>
      <c r="F1325" t="inlineStr">
        <is>
          <t>GÄVLEBORGS LÄN</t>
        </is>
      </c>
      <c r="G1325" t="inlineStr">
        <is>
          <t>HUDIKSVALL</t>
        </is>
      </c>
      <c r="H1325" t="inlineStr">
        <is>
          <t>Holmen skog AB</t>
        </is>
      </c>
      <c r="I1325" t="n">
        <v>2.5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t="n">
        <v>0</v>
      </c>
      <c r="S1325" t="n">
        <v>0</v>
      </c>
      <c r="T1325" t="n">
        <v>0</v>
      </c>
      <c r="U1325" t="n">
        <v>0</v>
      </c>
      <c r="V1325" s="2" t="inlineStr"/>
    </row>
    <row r="1326" ht="15" customHeight="1">
      <c r="A1326" t="inlineStr">
        <is>
          <t>A 11759-2022</t>
        </is>
      </c>
      <c r="B1326" t="inlineStr">
        <is>
          <t>avverkningsanmälan</t>
        </is>
      </c>
      <c r="C1326" t="inlineStr">
        <is>
          <t>Föryngringsavverkning</t>
        </is>
      </c>
      <c r="D1326" s="1" t="n">
        <v>44634</v>
      </c>
      <c r="E1326" s="1" t="n">
        <v>46272</v>
      </c>
      <c r="F1326" t="inlineStr">
        <is>
          <t>GÄVLEBORGS LÄN</t>
        </is>
      </c>
      <c r="G1326" t="inlineStr">
        <is>
          <t>HUDIKSVALL</t>
        </is>
      </c>
      <c r="I1326" t="n">
        <v>1.5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t="n">
        <v>0</v>
      </c>
      <c r="S1326" t="n">
        <v>0</v>
      </c>
      <c r="T1326" t="n">
        <v>0</v>
      </c>
      <c r="U1326" t="n">
        <v>0</v>
      </c>
      <c r="V1326" s="2" t="inlineStr"/>
    </row>
    <row r="1327" ht="15" customHeight="1">
      <c r="A1327" t="inlineStr">
        <is>
          <t>A 10108-2024</t>
        </is>
      </c>
      <c r="B1327" t="inlineStr">
        <is>
          <t>avverkningsanmälan</t>
        </is>
      </c>
      <c r="C1327" t="inlineStr">
        <is>
          <t>Föryngringsavverkning</t>
        </is>
      </c>
      <c r="D1327" s="1" t="n">
        <v>45364</v>
      </c>
      <c r="E1327" s="1" t="n">
        <v>46272</v>
      </c>
      <c r="F1327" t="inlineStr">
        <is>
          <t>GÄVLEBORGS LÄN</t>
        </is>
      </c>
      <c r="G1327" t="inlineStr">
        <is>
          <t>HUDIKSVALL</t>
        </is>
      </c>
      <c r="H1327" t="inlineStr">
        <is>
          <t>Holmen skog AB</t>
        </is>
      </c>
      <c r="I1327" t="n">
        <v>23.1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t="n">
        <v>0</v>
      </c>
      <c r="S1327" t="n">
        <v>0</v>
      </c>
      <c r="T1327" t="n">
        <v>0</v>
      </c>
      <c r="U1327" t="n">
        <v>0</v>
      </c>
      <c r="V1327" s="2" t="inlineStr"/>
    </row>
    <row r="1328" ht="15" customHeight="1">
      <c r="A1328" t="inlineStr">
        <is>
          <t>A 32056-2026</t>
        </is>
      </c>
      <c r="B1328" t="inlineStr">
        <is>
          <t>avverkningsanmälan</t>
        </is>
      </c>
      <c r="C1328" t="inlineStr">
        <is>
          <t>Föryngringsavverkning</t>
        </is>
      </c>
      <c r="D1328" s="1" t="n">
        <v>46233</v>
      </c>
      <c r="E1328" s="1" t="n">
        <v>46272</v>
      </c>
      <c r="F1328" t="inlineStr">
        <is>
          <t>GÄVLEBORGS LÄN</t>
        </is>
      </c>
      <c r="G1328" t="inlineStr">
        <is>
          <t>HUDIKSVALL</t>
        </is>
      </c>
      <c r="H1328" t="inlineStr">
        <is>
          <t>Holmen skog AB</t>
        </is>
      </c>
      <c r="I1328" t="n">
        <v>4.3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t="n">
        <v>0</v>
      </c>
      <c r="S1328" t="n">
        <v>0</v>
      </c>
      <c r="T1328" t="n">
        <v>0</v>
      </c>
      <c r="U1328" t="n">
        <v>0</v>
      </c>
      <c r="V1328" s="2" t="inlineStr"/>
    </row>
    <row r="1329" ht="15" customHeight="1">
      <c r="A1329" t="inlineStr">
        <is>
          <t>A 32059-2026</t>
        </is>
      </c>
      <c r="B1329" t="inlineStr">
        <is>
          <t>avverkningsanmälan</t>
        </is>
      </c>
      <c r="C1329" t="inlineStr">
        <is>
          <t>Föryngringsavverkning</t>
        </is>
      </c>
      <c r="D1329" s="1" t="n">
        <v>46233</v>
      </c>
      <c r="E1329" s="1" t="n">
        <v>46272</v>
      </c>
      <c r="F1329" t="inlineStr">
        <is>
          <t>GÄVLEBORGS LÄN</t>
        </is>
      </c>
      <c r="G1329" t="inlineStr">
        <is>
          <t>HUDIKSVALL</t>
        </is>
      </c>
      <c r="H1329" t="inlineStr">
        <is>
          <t>Holmen skog AB</t>
        </is>
      </c>
      <c r="I1329" t="n">
        <v>1.3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t="n">
        <v>0</v>
      </c>
      <c r="S1329" t="n">
        <v>0</v>
      </c>
      <c r="T1329" t="n">
        <v>0</v>
      </c>
      <c r="U1329" t="n">
        <v>0</v>
      </c>
      <c r="V1329" s="2" t="inlineStr"/>
    </row>
    <row r="1330" ht="15" customHeight="1">
      <c r="A1330" t="inlineStr">
        <is>
          <t>A 5861-2025</t>
        </is>
      </c>
      <c r="B1330" t="inlineStr">
        <is>
          <t>avverkningsanmälan</t>
        </is>
      </c>
      <c r="C1330" t="inlineStr">
        <is>
          <t>Föryngringsavverkning</t>
        </is>
      </c>
      <c r="D1330" s="1" t="n">
        <v>45695</v>
      </c>
      <c r="E1330" s="1" t="n">
        <v>46272</v>
      </c>
      <c r="F1330" t="inlineStr">
        <is>
          <t>GÄVLEBORGS LÄN</t>
        </is>
      </c>
      <c r="G1330" t="inlineStr">
        <is>
          <t>HUDIKSVALL</t>
        </is>
      </c>
      <c r="H1330" t="inlineStr">
        <is>
          <t>Holmen skog AB</t>
        </is>
      </c>
      <c r="I1330" t="n">
        <v>3.2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t="n">
        <v>0</v>
      </c>
      <c r="S1330" t="n">
        <v>0</v>
      </c>
      <c r="T1330" t="n">
        <v>0</v>
      </c>
      <c r="U1330" t="n">
        <v>0</v>
      </c>
      <c r="V1330" s="2" t="inlineStr"/>
    </row>
    <row r="1331" ht="15" customHeight="1">
      <c r="A1331" t="inlineStr">
        <is>
          <t>A 5942-2025</t>
        </is>
      </c>
      <c r="B1331" t="inlineStr">
        <is>
          <t>avverkningsanmälan</t>
        </is>
      </c>
      <c r="C1331" t="inlineStr">
        <is>
          <t>Föryngringsavverkning</t>
        </is>
      </c>
      <c r="D1331" s="1" t="n">
        <v>45695</v>
      </c>
      <c r="E1331" s="1" t="n">
        <v>46272</v>
      </c>
      <c r="F1331" t="inlineStr">
        <is>
          <t>GÄVLEBORGS LÄN</t>
        </is>
      </c>
      <c r="G1331" t="inlineStr">
        <is>
          <t>HUDIKSVALL</t>
        </is>
      </c>
      <c r="I1331" t="n">
        <v>1.1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t="n">
        <v>0</v>
      </c>
      <c r="S1331" t="n">
        <v>0</v>
      </c>
      <c r="T1331" t="n">
        <v>0</v>
      </c>
      <c r="U1331" t="n">
        <v>0</v>
      </c>
      <c r="V1331" s="2" t="inlineStr"/>
    </row>
    <row r="1332" ht="15" customHeight="1">
      <c r="A1332" t="inlineStr">
        <is>
          <t>A 27505-2026</t>
        </is>
      </c>
      <c r="B1332" t="inlineStr">
        <is>
          <t>avverkningsanmälan</t>
        </is>
      </c>
      <c r="C1332" t="inlineStr">
        <is>
          <t>Föryngringsavverkning</t>
        </is>
      </c>
      <c r="D1332" s="1" t="n">
        <v>46189</v>
      </c>
      <c r="E1332" s="1" t="n">
        <v>46272</v>
      </c>
      <c r="F1332" t="inlineStr">
        <is>
          <t>GÄVLEBORGS LÄN</t>
        </is>
      </c>
      <c r="G1332" t="inlineStr">
        <is>
          <t>HUDIKSVALL</t>
        </is>
      </c>
      <c r="I1332" t="n">
        <v>1.5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t="n">
        <v>0</v>
      </c>
      <c r="S1332" t="n">
        <v>0</v>
      </c>
      <c r="T1332" t="n">
        <v>0</v>
      </c>
      <c r="U1332" t="n">
        <v>0</v>
      </c>
      <c r="V1332" s="2" t="inlineStr"/>
    </row>
    <row r="1333" ht="15" customHeight="1">
      <c r="A1333" t="inlineStr">
        <is>
          <t>A 32029-2026</t>
        </is>
      </c>
      <c r="B1333" t="inlineStr">
        <is>
          <t>avverkningsanmälan</t>
        </is>
      </c>
      <c r="C1333" t="inlineStr">
        <is>
          <t>Föryngringsavverkning</t>
        </is>
      </c>
      <c r="D1333" s="1" t="n">
        <v>46233</v>
      </c>
      <c r="E1333" s="1" t="n">
        <v>46272</v>
      </c>
      <c r="F1333" t="inlineStr">
        <is>
          <t>GÄVLEBORGS LÄN</t>
        </is>
      </c>
      <c r="G1333" t="inlineStr">
        <is>
          <t>HUDIKSVALL</t>
        </is>
      </c>
      <c r="H1333" t="inlineStr">
        <is>
          <t>Holmen skog AB</t>
        </is>
      </c>
      <c r="I1333" t="n">
        <v>5.6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t="n">
        <v>0</v>
      </c>
      <c r="S1333" t="n">
        <v>0</v>
      </c>
      <c r="T1333" t="n">
        <v>0</v>
      </c>
      <c r="U1333" t="n">
        <v>0</v>
      </c>
      <c r="V1333" s="2" t="inlineStr"/>
    </row>
    <row r="1334" ht="15" customHeight="1">
      <c r="A1334" t="inlineStr">
        <is>
          <t>A 32039-2026</t>
        </is>
      </c>
      <c r="B1334" t="inlineStr">
        <is>
          <t>avverkningsanmälan</t>
        </is>
      </c>
      <c r="C1334" t="inlineStr">
        <is>
          <t>Föryngringsavverkning</t>
        </is>
      </c>
      <c r="D1334" s="1" t="n">
        <v>46233</v>
      </c>
      <c r="E1334" s="1" t="n">
        <v>46272</v>
      </c>
      <c r="F1334" t="inlineStr">
        <is>
          <t>GÄVLEBORGS LÄN</t>
        </is>
      </c>
      <c r="G1334" t="inlineStr">
        <is>
          <t>HUDIKSVALL</t>
        </is>
      </c>
      <c r="H1334" t="inlineStr">
        <is>
          <t>Holmen skog AB</t>
        </is>
      </c>
      <c r="I1334" t="n">
        <v>3.2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t="n">
        <v>0</v>
      </c>
      <c r="S1334" t="n">
        <v>0</v>
      </c>
      <c r="T1334" t="n">
        <v>0</v>
      </c>
      <c r="U1334" t="n">
        <v>0</v>
      </c>
      <c r="V1334" s="2" t="inlineStr"/>
    </row>
    <row r="1335" ht="15" customHeight="1">
      <c r="A1335" t="inlineStr">
        <is>
          <t>A 30701-2024</t>
        </is>
      </c>
      <c r="B1335" t="inlineStr">
        <is>
          <t>avverkningsanmälan</t>
        </is>
      </c>
      <c r="C1335" t="inlineStr">
        <is>
          <t>Föryngringsavverkning</t>
        </is>
      </c>
      <c r="D1335" s="1" t="n">
        <v>45496</v>
      </c>
      <c r="E1335" s="1" t="n">
        <v>46272</v>
      </c>
      <c r="F1335" t="inlineStr">
        <is>
          <t>GÄVLEBORGS LÄN</t>
        </is>
      </c>
      <c r="G1335" t="inlineStr">
        <is>
          <t>HUDIKSVALL</t>
        </is>
      </c>
      <c r="I1335" t="n">
        <v>1.6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t="n">
        <v>0</v>
      </c>
      <c r="S1335" t="n">
        <v>0</v>
      </c>
      <c r="T1335" t="n">
        <v>0</v>
      </c>
      <c r="U1335" t="n">
        <v>0</v>
      </c>
      <c r="V1335" s="2" t="inlineStr"/>
    </row>
    <row r="1336" ht="15" customHeight="1">
      <c r="A1336" t="inlineStr">
        <is>
          <t>A 27410-2026</t>
        </is>
      </c>
      <c r="B1336" t="inlineStr">
        <is>
          <t>avverkningsanmälan</t>
        </is>
      </c>
      <c r="C1336" t="inlineStr">
        <is>
          <t>Föryngringsavverkning</t>
        </is>
      </c>
      <c r="D1336" s="1" t="n">
        <v>46189</v>
      </c>
      <c r="E1336" s="1" t="n">
        <v>46272</v>
      </c>
      <c r="F1336" t="inlineStr">
        <is>
          <t>GÄVLEBORGS LÄN</t>
        </is>
      </c>
      <c r="G1336" t="inlineStr">
        <is>
          <t>HUDIKSVALL</t>
        </is>
      </c>
      <c r="I1336" t="n">
        <v>13.9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t="n">
        <v>0</v>
      </c>
      <c r="S1336" t="n">
        <v>0</v>
      </c>
      <c r="T1336" t="n">
        <v>0</v>
      </c>
      <c r="U1336" t="n">
        <v>0</v>
      </c>
      <c r="V1336" s="2" t="inlineStr"/>
    </row>
    <row r="1337" ht="15" customHeight="1">
      <c r="A1337" t="inlineStr">
        <is>
          <t>A 27510-2026</t>
        </is>
      </c>
      <c r="B1337" t="inlineStr">
        <is>
          <t>avverkningsanmälan</t>
        </is>
      </c>
      <c r="C1337" t="inlineStr">
        <is>
          <t>Föryngringsavverkning</t>
        </is>
      </c>
      <c r="D1337" s="1" t="n">
        <v>46189</v>
      </c>
      <c r="E1337" s="1" t="n">
        <v>46272</v>
      </c>
      <c r="F1337" t="inlineStr">
        <is>
          <t>GÄVLEBORGS LÄN</t>
        </is>
      </c>
      <c r="G1337" t="inlineStr">
        <is>
          <t>HUDIKSVALL</t>
        </is>
      </c>
      <c r="I1337" t="n">
        <v>4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t="n">
        <v>0</v>
      </c>
      <c r="S1337" t="n">
        <v>0</v>
      </c>
      <c r="T1337" t="n">
        <v>0</v>
      </c>
      <c r="U1337" t="n">
        <v>0</v>
      </c>
      <c r="V1337" s="2" t="inlineStr"/>
    </row>
    <row r="1338" ht="15" customHeight="1">
      <c r="A1338" t="inlineStr">
        <is>
          <t>A 27891-2026</t>
        </is>
      </c>
      <c r="B1338" t="inlineStr">
        <is>
          <t>avverkningsanmälan</t>
        </is>
      </c>
      <c r="C1338" t="inlineStr">
        <is>
          <t>Föryngringsavverkning</t>
        </is>
      </c>
      <c r="D1338" s="1" t="n">
        <v>46191</v>
      </c>
      <c r="E1338" s="1" t="n">
        <v>46272</v>
      </c>
      <c r="F1338" t="inlineStr">
        <is>
          <t>GÄVLEBORGS LÄN</t>
        </is>
      </c>
      <c r="G1338" t="inlineStr">
        <is>
          <t>HUDIKSVALL</t>
        </is>
      </c>
      <c r="I1338" t="n">
        <v>1.1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t="n">
        <v>0</v>
      </c>
      <c r="S1338" t="n">
        <v>0</v>
      </c>
      <c r="T1338" t="n">
        <v>0</v>
      </c>
      <c r="U1338" t="n">
        <v>0</v>
      </c>
      <c r="V1338" s="2" t="inlineStr"/>
    </row>
    <row r="1339" ht="15" customHeight="1">
      <c r="A1339" t="inlineStr">
        <is>
          <t>A 20253-2026</t>
        </is>
      </c>
      <c r="B1339" t="inlineStr">
        <is>
          <t>avverkningsanmälan</t>
        </is>
      </c>
      <c r="C1339" t="inlineStr">
        <is>
          <t>Föryngringsavverkning</t>
        </is>
      </c>
      <c r="D1339" s="1" t="n">
        <v>46139</v>
      </c>
      <c r="E1339" s="1" t="n">
        <v>46272</v>
      </c>
      <c r="F1339" t="inlineStr">
        <is>
          <t>GÄVLEBORGS LÄN</t>
        </is>
      </c>
      <c r="G1339" t="inlineStr">
        <is>
          <t>HUDIKSVALL</t>
        </is>
      </c>
      <c r="H1339" t="inlineStr">
        <is>
          <t>Holmen skog AB</t>
        </is>
      </c>
      <c r="I1339" t="n">
        <v>3.4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t="n">
        <v>0</v>
      </c>
      <c r="S1339" t="n">
        <v>0</v>
      </c>
      <c r="T1339" t="n">
        <v>0</v>
      </c>
      <c r="U1339" t="n">
        <v>0</v>
      </c>
      <c r="V1339" s="2" t="inlineStr"/>
    </row>
    <row r="1340" ht="15" customHeight="1">
      <c r="A1340" t="inlineStr">
        <is>
          <t>A 15306-2023</t>
        </is>
      </c>
      <c r="B1340" t="inlineStr">
        <is>
          <t>avverkningsanmälan</t>
        </is>
      </c>
      <c r="C1340" t="inlineStr">
        <is>
          <t>Föryngringsavverkning</t>
        </is>
      </c>
      <c r="D1340" s="1" t="n">
        <v>45019</v>
      </c>
      <c r="E1340" s="1" t="n">
        <v>46272</v>
      </c>
      <c r="F1340" t="inlineStr">
        <is>
          <t>GÄVLEBORGS LÄN</t>
        </is>
      </c>
      <c r="G1340" t="inlineStr">
        <is>
          <t>HUDIKSVALL</t>
        </is>
      </c>
      <c r="I1340" t="n">
        <v>0.8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t="n">
        <v>0</v>
      </c>
      <c r="S1340" t="n">
        <v>0</v>
      </c>
      <c r="T1340" t="n">
        <v>0</v>
      </c>
      <c r="U1340" t="n">
        <v>0</v>
      </c>
      <c r="V1340" s="2" t="inlineStr"/>
    </row>
    <row r="1341" ht="15" customHeight="1">
      <c r="A1341" t="inlineStr">
        <is>
          <t>A 40332-2024</t>
        </is>
      </c>
      <c r="B1341" t="inlineStr">
        <is>
          <t>avverkningsanmälan</t>
        </is>
      </c>
      <c r="C1341" t="inlineStr">
        <is>
          <t>Föryngringsavverkning</t>
        </is>
      </c>
      <c r="D1341" s="1" t="n">
        <v>45555</v>
      </c>
      <c r="E1341" s="1" t="n">
        <v>46272</v>
      </c>
      <c r="F1341" t="inlineStr">
        <is>
          <t>GÄVLEBORGS LÄN</t>
        </is>
      </c>
      <c r="G1341" t="inlineStr">
        <is>
          <t>HUDIKSVALL</t>
        </is>
      </c>
      <c r="H1341" t="inlineStr">
        <is>
          <t>Naturvårdsverket</t>
        </is>
      </c>
      <c r="I1341" t="n">
        <v>0.9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t="n">
        <v>0</v>
      </c>
      <c r="S1341" t="n">
        <v>0</v>
      </c>
      <c r="T1341" t="n">
        <v>0</v>
      </c>
      <c r="U1341" t="n">
        <v>0</v>
      </c>
      <c r="V1341" s="2" t="inlineStr"/>
    </row>
    <row r="1342" ht="15" customHeight="1">
      <c r="A1342" t="inlineStr">
        <is>
          <t>A 27827-2026</t>
        </is>
      </c>
      <c r="B1342" t="inlineStr">
        <is>
          <t>avverkningsanmälan</t>
        </is>
      </c>
      <c r="C1342" t="inlineStr">
        <is>
          <t>Föryngringsavverkning</t>
        </is>
      </c>
      <c r="D1342" s="1" t="n">
        <v>46191</v>
      </c>
      <c r="E1342" s="1" t="n">
        <v>46272</v>
      </c>
      <c r="F1342" t="inlineStr">
        <is>
          <t>GÄVLEBORGS LÄN</t>
        </is>
      </c>
      <c r="G1342" t="inlineStr">
        <is>
          <t>HUDIKSVALL</t>
        </is>
      </c>
      <c r="H1342" t="inlineStr">
        <is>
          <t>Holmen skog AB</t>
        </is>
      </c>
      <c r="I1342" t="n">
        <v>6.9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t="n">
        <v>0</v>
      </c>
      <c r="S1342" t="n">
        <v>0</v>
      </c>
      <c r="T1342" t="n">
        <v>0</v>
      </c>
      <c r="U1342" t="n">
        <v>0</v>
      </c>
      <c r="V1342" s="2" t="inlineStr"/>
    </row>
    <row r="1343" ht="15" customHeight="1">
      <c r="A1343" t="inlineStr">
        <is>
          <t>A 44168-2022</t>
        </is>
      </c>
      <c r="B1343" t="inlineStr">
        <is>
          <t>avverkningsanmälan</t>
        </is>
      </c>
      <c r="C1343" t="inlineStr">
        <is>
          <t>Föryngringsavverkning</t>
        </is>
      </c>
      <c r="D1343" s="1" t="n">
        <v>44839</v>
      </c>
      <c r="E1343" s="1" t="n">
        <v>46272</v>
      </c>
      <c r="F1343" t="inlineStr">
        <is>
          <t>GÄVLEBORGS LÄN</t>
        </is>
      </c>
      <c r="G1343" t="inlineStr">
        <is>
          <t>HUDIKSVALL</t>
        </is>
      </c>
      <c r="I1343" t="n">
        <v>3.2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t="n">
        <v>0</v>
      </c>
      <c r="S1343" t="n">
        <v>0</v>
      </c>
      <c r="T1343" t="n">
        <v>0</v>
      </c>
      <c r="U1343" t="n">
        <v>0</v>
      </c>
      <c r="V1343" s="2" t="inlineStr"/>
    </row>
    <row r="1344" ht="15" customHeight="1">
      <c r="A1344" t="inlineStr">
        <is>
          <t>A 27880-2026</t>
        </is>
      </c>
      <c r="B1344" t="inlineStr">
        <is>
          <t>avverkningsanmälan</t>
        </is>
      </c>
      <c r="C1344" t="inlineStr">
        <is>
          <t>Föryngringsavverkning</t>
        </is>
      </c>
      <c r="D1344" s="1" t="n">
        <v>46191</v>
      </c>
      <c r="E1344" s="1" t="n">
        <v>46272</v>
      </c>
      <c r="F1344" t="inlineStr">
        <is>
          <t>GÄVLEBORGS LÄN</t>
        </is>
      </c>
      <c r="G1344" t="inlineStr">
        <is>
          <t>HUDIKSVALL</t>
        </is>
      </c>
      <c r="I1344" t="n">
        <v>1.2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t="n">
        <v>0</v>
      </c>
      <c r="S1344" t="n">
        <v>0</v>
      </c>
      <c r="T1344" t="n">
        <v>0</v>
      </c>
      <c r="U1344" t="n">
        <v>0</v>
      </c>
      <c r="V1344" s="2" t="inlineStr"/>
    </row>
    <row r="1345" ht="15" customHeight="1">
      <c r="A1345" t="inlineStr">
        <is>
          <t>A 13593-2026</t>
        </is>
      </c>
      <c r="B1345" t="inlineStr">
        <is>
          <t>avverkningsanmälan</t>
        </is>
      </c>
      <c r="C1345" t="inlineStr">
        <is>
          <t>Föryngringsavverkning</t>
        </is>
      </c>
      <c r="D1345" s="1" t="n">
        <v>46096</v>
      </c>
      <c r="E1345" s="1" t="n">
        <v>46272</v>
      </c>
      <c r="F1345" t="inlineStr">
        <is>
          <t>GÄVLEBORGS LÄN</t>
        </is>
      </c>
      <c r="G1345" t="inlineStr">
        <is>
          <t>HUDIKSVALL</t>
        </is>
      </c>
      <c r="I1345" t="n">
        <v>3.7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t="n">
        <v>0</v>
      </c>
      <c r="S1345" t="n">
        <v>0</v>
      </c>
      <c r="T1345" t="n">
        <v>0</v>
      </c>
      <c r="U1345" t="n">
        <v>0</v>
      </c>
      <c r="V1345" s="2" t="inlineStr"/>
    </row>
    <row r="1346" ht="15" customHeight="1">
      <c r="A1346" t="inlineStr">
        <is>
          <t>A 27819-2026</t>
        </is>
      </c>
      <c r="B1346" t="inlineStr">
        <is>
          <t>avverkningsanmälan</t>
        </is>
      </c>
      <c r="C1346" t="inlineStr">
        <is>
          <t>Föryngringsavverkning</t>
        </is>
      </c>
      <c r="D1346" s="1" t="n">
        <v>46191</v>
      </c>
      <c r="E1346" s="1" t="n">
        <v>46272</v>
      </c>
      <c r="F1346" t="inlineStr">
        <is>
          <t>GÄVLEBORGS LÄN</t>
        </is>
      </c>
      <c r="G1346" t="inlineStr">
        <is>
          <t>HUDIKSVALL</t>
        </is>
      </c>
      <c r="H1346" t="inlineStr">
        <is>
          <t>Holmen skog AB</t>
        </is>
      </c>
      <c r="I1346" t="n">
        <v>29.5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t="n">
        <v>0</v>
      </c>
      <c r="S1346" t="n">
        <v>0</v>
      </c>
      <c r="T1346" t="n">
        <v>0</v>
      </c>
      <c r="U1346" t="n">
        <v>0</v>
      </c>
      <c r="V1346" s="2" t="inlineStr"/>
    </row>
    <row r="1347" ht="15" customHeight="1">
      <c r="A1347" t="inlineStr">
        <is>
          <t>A 27846-2026</t>
        </is>
      </c>
      <c r="B1347" t="inlineStr">
        <is>
          <t>avverkningsanmälan</t>
        </is>
      </c>
      <c r="C1347" t="inlineStr">
        <is>
          <t>Föryngringsavverkning</t>
        </is>
      </c>
      <c r="D1347" s="1" t="n">
        <v>46191</v>
      </c>
      <c r="E1347" s="1" t="n">
        <v>46272</v>
      </c>
      <c r="F1347" t="inlineStr">
        <is>
          <t>GÄVLEBORGS LÄN</t>
        </is>
      </c>
      <c r="G1347" t="inlineStr">
        <is>
          <t>HUDIKSVALL</t>
        </is>
      </c>
      <c r="H1347" t="inlineStr">
        <is>
          <t>Holmen skog AB</t>
        </is>
      </c>
      <c r="I1347" t="n">
        <v>3.6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t="n">
        <v>0</v>
      </c>
      <c r="S1347" t="n">
        <v>0</v>
      </c>
      <c r="T1347" t="n">
        <v>0</v>
      </c>
      <c r="U1347" t="n">
        <v>0</v>
      </c>
      <c r="V1347" s="2" t="inlineStr"/>
    </row>
    <row r="1348" ht="15" customHeight="1">
      <c r="A1348" t="inlineStr">
        <is>
          <t>A 42659-2024</t>
        </is>
      </c>
      <c r="B1348" t="inlineStr">
        <is>
          <t>avverkningsanmälan</t>
        </is>
      </c>
      <c r="C1348" t="inlineStr">
        <is>
          <t>Föryngringsavverkning</t>
        </is>
      </c>
      <c r="D1348" s="1" t="n">
        <v>45566</v>
      </c>
      <c r="E1348" s="1" t="n">
        <v>46272</v>
      </c>
      <c r="F1348" t="inlineStr">
        <is>
          <t>GÄVLEBORGS LÄN</t>
        </is>
      </c>
      <c r="G1348" t="inlineStr">
        <is>
          <t>HUDIKSVALL</t>
        </is>
      </c>
      <c r="H1348" t="inlineStr">
        <is>
          <t>Holmen skog AB</t>
        </is>
      </c>
      <c r="I1348" t="n">
        <v>10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t="n">
        <v>0</v>
      </c>
      <c r="S1348" t="n">
        <v>0</v>
      </c>
      <c r="T1348" t="n">
        <v>0</v>
      </c>
      <c r="U1348" t="n">
        <v>0</v>
      </c>
      <c r="V1348" s="2" t="inlineStr"/>
    </row>
    <row r="1349" ht="15" customHeight="1">
      <c r="A1349" t="inlineStr">
        <is>
          <t>A 11267-2023</t>
        </is>
      </c>
      <c r="B1349" t="inlineStr">
        <is>
          <t>avverkningsanmälan</t>
        </is>
      </c>
      <c r="C1349" t="inlineStr">
        <is>
          <t>Avverkning för annat ändamål</t>
        </is>
      </c>
      <c r="D1349" s="1" t="n">
        <v>44992</v>
      </c>
      <c r="E1349" s="1" t="n">
        <v>46272</v>
      </c>
      <c r="F1349" t="inlineStr">
        <is>
          <t>GÄVLEBORGS LÄN</t>
        </is>
      </c>
      <c r="G1349" t="inlineStr">
        <is>
          <t>HUDIKSVALL</t>
        </is>
      </c>
      <c r="I1349" t="n">
        <v>0.9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t="n">
        <v>0</v>
      </c>
      <c r="S1349" t="n">
        <v>0</v>
      </c>
      <c r="T1349" t="n">
        <v>0</v>
      </c>
      <c r="U1349" t="n">
        <v>0</v>
      </c>
      <c r="V1349" s="2" t="inlineStr"/>
    </row>
    <row r="1350" ht="15" customHeight="1">
      <c r="A1350" t="inlineStr">
        <is>
          <t>A 44720-2024</t>
        </is>
      </c>
      <c r="B1350" t="inlineStr">
        <is>
          <t>avverkningsanmälan</t>
        </is>
      </c>
      <c r="C1350" t="inlineStr">
        <is>
          <t>Föryngringsavverkning</t>
        </is>
      </c>
      <c r="D1350" s="1" t="n">
        <v>45574</v>
      </c>
      <c r="E1350" s="1" t="n">
        <v>46272</v>
      </c>
      <c r="F1350" t="inlineStr">
        <is>
          <t>GÄVLEBORGS LÄN</t>
        </is>
      </c>
      <c r="G1350" t="inlineStr">
        <is>
          <t>HUDIKSVALL</t>
        </is>
      </c>
      <c r="H1350" t="inlineStr">
        <is>
          <t>Holmen skog AB</t>
        </is>
      </c>
      <c r="I1350" t="n">
        <v>9.1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t="n">
        <v>0</v>
      </c>
      <c r="S1350" t="n">
        <v>0</v>
      </c>
      <c r="T1350" t="n">
        <v>0</v>
      </c>
      <c r="U1350" t="n">
        <v>0</v>
      </c>
      <c r="V1350" s="2" t="inlineStr"/>
    </row>
    <row r="1351" ht="15" customHeight="1">
      <c r="A1351" t="inlineStr">
        <is>
          <t>A 756-2026</t>
        </is>
      </c>
      <c r="B1351" t="inlineStr">
        <is>
          <t>avverkningsanmälan</t>
        </is>
      </c>
      <c r="C1351" t="inlineStr">
        <is>
          <t>Föryngringsavverkning</t>
        </is>
      </c>
      <c r="D1351" s="1" t="n">
        <v>46029</v>
      </c>
      <c r="E1351" s="1" t="n">
        <v>46272</v>
      </c>
      <c r="F1351" t="inlineStr">
        <is>
          <t>GÄVLEBORGS LÄN</t>
        </is>
      </c>
      <c r="G1351" t="inlineStr">
        <is>
          <t>HUDIKSVALL</t>
        </is>
      </c>
      <c r="I1351" t="n">
        <v>3.2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t="n">
        <v>0</v>
      </c>
      <c r="S1351" t="n">
        <v>0</v>
      </c>
      <c r="T1351" t="n">
        <v>0</v>
      </c>
      <c r="U1351" t="n">
        <v>0</v>
      </c>
      <c r="V1351" s="2" t="inlineStr"/>
    </row>
    <row r="1352" ht="15" customHeight="1">
      <c r="A1352" t="inlineStr">
        <is>
          <t>A 44813-2024</t>
        </is>
      </c>
      <c r="B1352" t="inlineStr">
        <is>
          <t>avverkningsanmälan</t>
        </is>
      </c>
      <c r="C1352" t="inlineStr">
        <is>
          <t>Föryngringsavverkning</t>
        </is>
      </c>
      <c r="D1352" s="1" t="n">
        <v>45574</v>
      </c>
      <c r="E1352" s="1" t="n">
        <v>46272</v>
      </c>
      <c r="F1352" t="inlineStr">
        <is>
          <t>GÄVLEBORGS LÄN</t>
        </is>
      </c>
      <c r="G1352" t="inlineStr">
        <is>
          <t>HUDIKSVALL</t>
        </is>
      </c>
      <c r="I1352" t="n">
        <v>2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t="n">
        <v>0</v>
      </c>
      <c r="S1352" t="n">
        <v>0</v>
      </c>
      <c r="T1352" t="n">
        <v>0</v>
      </c>
      <c r="U1352" t="n">
        <v>0</v>
      </c>
      <c r="V1352" s="2" t="inlineStr"/>
    </row>
    <row r="1353" ht="15" customHeight="1">
      <c r="A1353" t="inlineStr">
        <is>
          <t>A 28333-2026</t>
        </is>
      </c>
      <c r="B1353" t="inlineStr">
        <is>
          <t>avverkningsanmälan</t>
        </is>
      </c>
      <c r="C1353" t="inlineStr">
        <is>
          <t>Föryngringsavverkning</t>
        </is>
      </c>
      <c r="D1353" s="1" t="n">
        <v>46196</v>
      </c>
      <c r="E1353" s="1" t="n">
        <v>46272</v>
      </c>
      <c r="F1353" t="inlineStr">
        <is>
          <t>GÄVLEBORGS LÄN</t>
        </is>
      </c>
      <c r="G1353" t="inlineStr">
        <is>
          <t>HUDIKSVALL</t>
        </is>
      </c>
      <c r="I1353" t="n">
        <v>0.7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t="n">
        <v>0</v>
      </c>
      <c r="S1353" t="n">
        <v>0</v>
      </c>
      <c r="T1353" t="n">
        <v>0</v>
      </c>
      <c r="U1353" t="n">
        <v>0</v>
      </c>
      <c r="V1353" s="2" t="inlineStr"/>
    </row>
    <row r="1354" ht="15" customHeight="1">
      <c r="A1354" t="inlineStr">
        <is>
          <t>A 11629-2024</t>
        </is>
      </c>
      <c r="B1354" t="inlineStr">
        <is>
          <t>avverkningsanmälan</t>
        </is>
      </c>
      <c r="C1354" t="inlineStr">
        <is>
          <t>Föryngringsavverkning</t>
        </is>
      </c>
      <c r="D1354" s="1" t="n">
        <v>45373</v>
      </c>
      <c r="E1354" s="1" t="n">
        <v>46272</v>
      </c>
      <c r="F1354" t="inlineStr">
        <is>
          <t>GÄVLEBORGS LÄN</t>
        </is>
      </c>
      <c r="G1354" t="inlineStr">
        <is>
          <t>HUDIKSVALL</t>
        </is>
      </c>
      <c r="H1354" t="inlineStr">
        <is>
          <t>Holmen skog AB</t>
        </is>
      </c>
      <c r="I1354" t="n">
        <v>11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t="n">
        <v>0</v>
      </c>
      <c r="S1354" t="n">
        <v>0</v>
      </c>
      <c r="T1354" t="n">
        <v>0</v>
      </c>
      <c r="U1354" t="n">
        <v>0</v>
      </c>
      <c r="V1354" s="2" t="inlineStr"/>
    </row>
    <row r="1355" ht="15" customHeight="1">
      <c r="A1355" t="inlineStr">
        <is>
          <t>A 10843-2022</t>
        </is>
      </c>
      <c r="B1355" t="inlineStr">
        <is>
          <t>avverkningsanmälan</t>
        </is>
      </c>
      <c r="C1355" t="inlineStr">
        <is>
          <t>Föryngringsavverkning</t>
        </is>
      </c>
      <c r="D1355" s="1" t="n">
        <v>44627</v>
      </c>
      <c r="E1355" s="1" t="n">
        <v>46272</v>
      </c>
      <c r="F1355" t="inlineStr">
        <is>
          <t>GÄVLEBORGS LÄN</t>
        </is>
      </c>
      <c r="G1355" t="inlineStr">
        <is>
          <t>HUDIKSVALL</t>
        </is>
      </c>
      <c r="I1355" t="n">
        <v>15.4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t="n">
        <v>0</v>
      </c>
      <c r="S1355" t="n">
        <v>0</v>
      </c>
      <c r="T1355" t="n">
        <v>0</v>
      </c>
      <c r="U1355" t="n">
        <v>0</v>
      </c>
      <c r="V1355" s="2" t="inlineStr"/>
    </row>
    <row r="1356" ht="15" customHeight="1">
      <c r="A1356" t="inlineStr">
        <is>
          <t>A 13806-2024</t>
        </is>
      </c>
      <c r="B1356" t="inlineStr">
        <is>
          <t>avverkningsanmälan</t>
        </is>
      </c>
      <c r="C1356" t="inlineStr">
        <is>
          <t>Föryngringsavverkning</t>
        </is>
      </c>
      <c r="D1356" s="1" t="n">
        <v>45391</v>
      </c>
      <c r="E1356" s="1" t="n">
        <v>46272</v>
      </c>
      <c r="F1356" t="inlineStr">
        <is>
          <t>GÄVLEBORGS LÄN</t>
        </is>
      </c>
      <c r="G1356" t="inlineStr">
        <is>
          <t>HUDIKSVALL</t>
        </is>
      </c>
      <c r="I1356" t="n">
        <v>0.5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t="n">
        <v>0</v>
      </c>
      <c r="S1356" t="n">
        <v>0</v>
      </c>
      <c r="T1356" t="n">
        <v>0</v>
      </c>
      <c r="U1356" t="n">
        <v>0</v>
      </c>
      <c r="V1356" s="2" t="inlineStr"/>
    </row>
    <row r="1357" ht="15" customHeight="1">
      <c r="A1357" t="inlineStr">
        <is>
          <t>A 28075-2026</t>
        </is>
      </c>
      <c r="B1357" t="inlineStr">
        <is>
          <t>avverkningsanmälan</t>
        </is>
      </c>
      <c r="C1357" t="inlineStr">
        <is>
          <t>Föryngringsavverkning</t>
        </is>
      </c>
      <c r="D1357" s="1" t="n">
        <v>46195</v>
      </c>
      <c r="E1357" s="1" t="n">
        <v>46272</v>
      </c>
      <c r="F1357" t="inlineStr">
        <is>
          <t>GÄVLEBORGS LÄN</t>
        </is>
      </c>
      <c r="G1357" t="inlineStr">
        <is>
          <t>HUDIKSVALL</t>
        </is>
      </c>
      <c r="H1357" t="inlineStr">
        <is>
          <t>Kommuner</t>
        </is>
      </c>
      <c r="I1357" t="n">
        <v>1.1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t="n">
        <v>0</v>
      </c>
      <c r="S1357" t="n">
        <v>0</v>
      </c>
      <c r="T1357" t="n">
        <v>0</v>
      </c>
      <c r="U1357" t="n">
        <v>0</v>
      </c>
      <c r="V1357" s="2" t="inlineStr"/>
    </row>
    <row r="1358" ht="15" customHeight="1">
      <c r="A1358" t="inlineStr">
        <is>
          <t>A 11817-2024</t>
        </is>
      </c>
      <c r="B1358" t="inlineStr">
        <is>
          <t>avverkningsanmälan</t>
        </is>
      </c>
      <c r="C1358" t="inlineStr">
        <is>
          <t>Föryngringsavverkning</t>
        </is>
      </c>
      <c r="D1358" s="1" t="n">
        <v>45376</v>
      </c>
      <c r="E1358" s="1" t="n">
        <v>46272</v>
      </c>
      <c r="F1358" t="inlineStr">
        <is>
          <t>GÄVLEBORGS LÄN</t>
        </is>
      </c>
      <c r="G1358" t="inlineStr">
        <is>
          <t>HUDIKSVALL</t>
        </is>
      </c>
      <c r="H1358" t="inlineStr">
        <is>
          <t>Holmen skog AB</t>
        </is>
      </c>
      <c r="I1358" t="n">
        <v>6.2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t="n">
        <v>0</v>
      </c>
      <c r="S1358" t="n">
        <v>0</v>
      </c>
      <c r="T1358" t="n">
        <v>0</v>
      </c>
      <c r="U1358" t="n">
        <v>0</v>
      </c>
      <c r="V1358" s="2" t="inlineStr"/>
    </row>
    <row r="1359" ht="15" customHeight="1">
      <c r="A1359" t="inlineStr">
        <is>
          <t>A 28315-2026</t>
        </is>
      </c>
      <c r="B1359" t="inlineStr">
        <is>
          <t>avverkningsanmälan</t>
        </is>
      </c>
      <c r="C1359" t="inlineStr">
        <is>
          <t>Föryngringsavverkning</t>
        </is>
      </c>
      <c r="D1359" s="1" t="n">
        <v>46196</v>
      </c>
      <c r="E1359" s="1" t="n">
        <v>46272</v>
      </c>
      <c r="F1359" t="inlineStr">
        <is>
          <t>GÄVLEBORGS LÄN</t>
        </is>
      </c>
      <c r="G1359" t="inlineStr">
        <is>
          <t>HUDIKSVALL</t>
        </is>
      </c>
      <c r="H1359" t="inlineStr">
        <is>
          <t>Holmen skog AB</t>
        </is>
      </c>
      <c r="I1359" t="n">
        <v>1.7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t="n">
        <v>0</v>
      </c>
      <c r="S1359" t="n">
        <v>0</v>
      </c>
      <c r="T1359" t="n">
        <v>0</v>
      </c>
      <c r="U1359" t="n">
        <v>0</v>
      </c>
      <c r="V1359" s="2" t="inlineStr"/>
    </row>
    <row r="1360" ht="15" customHeight="1">
      <c r="A1360" t="inlineStr">
        <is>
          <t>A 53435-2023</t>
        </is>
      </c>
      <c r="B1360" t="inlineStr">
        <is>
          <t>avverkningsanmälan</t>
        </is>
      </c>
      <c r="C1360" t="inlineStr">
        <is>
          <t>Föryngringsavverkning</t>
        </is>
      </c>
      <c r="D1360" s="1" t="n">
        <v>45229</v>
      </c>
      <c r="E1360" s="1" t="n">
        <v>46272</v>
      </c>
      <c r="F1360" t="inlineStr">
        <is>
          <t>GÄVLEBORGS LÄN</t>
        </is>
      </c>
      <c r="G1360" t="inlineStr">
        <is>
          <t>HUDIKSVALL</t>
        </is>
      </c>
      <c r="I1360" t="n">
        <v>0.8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t="n">
        <v>0</v>
      </c>
      <c r="S1360" t="n">
        <v>0</v>
      </c>
      <c r="T1360" t="n">
        <v>0</v>
      </c>
      <c r="U1360" t="n">
        <v>0</v>
      </c>
      <c r="V1360" s="2" t="inlineStr"/>
    </row>
    <row r="1361" ht="15" customHeight="1">
      <c r="A1361" t="inlineStr">
        <is>
          <t>A 23657-2023</t>
        </is>
      </c>
      <c r="B1361" t="inlineStr">
        <is>
          <t>avverkningsanmälan</t>
        </is>
      </c>
      <c r="C1361" t="inlineStr">
        <is>
          <t>Föryngringsavverkning</t>
        </is>
      </c>
      <c r="D1361" s="1" t="n">
        <v>45077</v>
      </c>
      <c r="E1361" s="1" t="n">
        <v>46272</v>
      </c>
      <c r="F1361" t="inlineStr">
        <is>
          <t>GÄVLEBORGS LÄN</t>
        </is>
      </c>
      <c r="G1361" t="inlineStr">
        <is>
          <t>HUDIKSVALL</t>
        </is>
      </c>
      <c r="I1361" t="n">
        <v>1.3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t="n">
        <v>0</v>
      </c>
      <c r="S1361" t="n">
        <v>0</v>
      </c>
      <c r="T1361" t="n">
        <v>0</v>
      </c>
      <c r="U1361" t="n">
        <v>0</v>
      </c>
      <c r="V1361" s="2" t="inlineStr"/>
    </row>
    <row r="1362" ht="15" customHeight="1">
      <c r="A1362" t="inlineStr">
        <is>
          <t>A 32425-2026</t>
        </is>
      </c>
      <c r="B1362" t="inlineStr">
        <is>
          <t>avverkningsanmälan</t>
        </is>
      </c>
      <c r="C1362" t="inlineStr">
        <is>
          <t>Föryngringsavverkning</t>
        </is>
      </c>
      <c r="D1362" s="1" t="n">
        <v>46238</v>
      </c>
      <c r="E1362" s="1" t="n">
        <v>46272</v>
      </c>
      <c r="F1362" t="inlineStr">
        <is>
          <t>GÄVLEBORGS LÄN</t>
        </is>
      </c>
      <c r="G1362" t="inlineStr">
        <is>
          <t>HUDIKSVALL</t>
        </is>
      </c>
      <c r="I1362" t="n">
        <v>1.7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t="n">
        <v>0</v>
      </c>
      <c r="S1362" t="n">
        <v>0</v>
      </c>
      <c r="T1362" t="n">
        <v>0</v>
      </c>
      <c r="U1362" t="n">
        <v>0</v>
      </c>
      <c r="V1362" s="2" t="inlineStr"/>
    </row>
    <row r="1363" ht="15" customHeight="1">
      <c r="A1363" t="inlineStr">
        <is>
          <t>A 32464-2026</t>
        </is>
      </c>
      <c r="B1363" t="inlineStr">
        <is>
          <t>avverkningsanmälan</t>
        </is>
      </c>
      <c r="C1363" t="inlineStr">
        <is>
          <t>Föryngringsavverkning</t>
        </is>
      </c>
      <c r="D1363" s="1" t="n">
        <v>46239</v>
      </c>
      <c r="E1363" s="1" t="n">
        <v>46272</v>
      </c>
      <c r="F1363" t="inlineStr">
        <is>
          <t>GÄVLEBORGS LÄN</t>
        </is>
      </c>
      <c r="G1363" t="inlineStr">
        <is>
          <t>HUDIKSVALL</t>
        </is>
      </c>
      <c r="H1363" t="inlineStr">
        <is>
          <t>Naturvårdsverket</t>
        </is>
      </c>
      <c r="I1363" t="n">
        <v>3.3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t="n">
        <v>0</v>
      </c>
      <c r="S1363" t="n">
        <v>0</v>
      </c>
      <c r="T1363" t="n">
        <v>0</v>
      </c>
      <c r="U1363" t="n">
        <v>0</v>
      </c>
      <c r="V1363" s="2" t="inlineStr"/>
    </row>
    <row r="1364" ht="15" customHeight="1">
      <c r="A1364" t="inlineStr">
        <is>
          <t>A 32475-2026</t>
        </is>
      </c>
      <c r="B1364" t="inlineStr">
        <is>
          <t>avverkningsanmälan</t>
        </is>
      </c>
      <c r="C1364" t="inlineStr">
        <is>
          <t>Föryngringsavverkning</t>
        </is>
      </c>
      <c r="D1364" s="1" t="n">
        <v>46239</v>
      </c>
      <c r="E1364" s="1" t="n">
        <v>46272</v>
      </c>
      <c r="F1364" t="inlineStr">
        <is>
          <t>GÄVLEBORGS LÄN</t>
        </is>
      </c>
      <c r="G1364" t="inlineStr">
        <is>
          <t>HUDIKSVALL</t>
        </is>
      </c>
      <c r="I1364" t="n">
        <v>1.1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t="n">
        <v>0</v>
      </c>
      <c r="S1364" t="n">
        <v>0</v>
      </c>
      <c r="T1364" t="n">
        <v>0</v>
      </c>
      <c r="U1364" t="n">
        <v>0</v>
      </c>
      <c r="V1364" s="2" t="inlineStr"/>
    </row>
    <row r="1365" ht="15" customHeight="1">
      <c r="A1365" t="inlineStr">
        <is>
          <t>A 4300-2024</t>
        </is>
      </c>
      <c r="B1365" t="inlineStr">
        <is>
          <t>avverkningsanmälan</t>
        </is>
      </c>
      <c r="C1365" t="inlineStr">
        <is>
          <t>Föryngringsavverkning</t>
        </is>
      </c>
      <c r="D1365" s="1" t="n">
        <v>45324</v>
      </c>
      <c r="E1365" s="1" t="n">
        <v>46272</v>
      </c>
      <c r="F1365" t="inlineStr">
        <is>
          <t>GÄVLEBORGS LÄN</t>
        </is>
      </c>
      <c r="G1365" t="inlineStr">
        <is>
          <t>HUDIKSVALL</t>
        </is>
      </c>
      <c r="I1365" t="n">
        <v>3.6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t="n">
        <v>0</v>
      </c>
      <c r="S1365" t="n">
        <v>0</v>
      </c>
      <c r="T1365" t="n">
        <v>0</v>
      </c>
      <c r="U1365" t="n">
        <v>0</v>
      </c>
      <c r="V1365" s="2" t="inlineStr"/>
    </row>
    <row r="1366" ht="15" customHeight="1">
      <c r="A1366" t="inlineStr">
        <is>
          <t>A 28071-2026</t>
        </is>
      </c>
      <c r="B1366" t="inlineStr">
        <is>
          <t>avverkningsanmälan</t>
        </is>
      </c>
      <c r="C1366" t="inlineStr">
        <is>
          <t>Föryngringsavverkning</t>
        </is>
      </c>
      <c r="D1366" s="1" t="n">
        <v>46195</v>
      </c>
      <c r="E1366" s="1" t="n">
        <v>46272</v>
      </c>
      <c r="F1366" t="inlineStr">
        <is>
          <t>GÄVLEBORGS LÄN</t>
        </is>
      </c>
      <c r="G1366" t="inlineStr">
        <is>
          <t>HUDIKSVALL</t>
        </is>
      </c>
      <c r="H1366" t="inlineStr">
        <is>
          <t>Kommuner</t>
        </is>
      </c>
      <c r="I1366" t="n">
        <v>0.7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t="n">
        <v>0</v>
      </c>
      <c r="S1366" t="n">
        <v>0</v>
      </c>
      <c r="T1366" t="n">
        <v>0</v>
      </c>
      <c r="U1366" t="n">
        <v>0</v>
      </c>
      <c r="V1366" s="2" t="inlineStr"/>
    </row>
    <row r="1367" ht="15" customHeight="1">
      <c r="A1367" t="inlineStr">
        <is>
          <t>A 28540-2026</t>
        </is>
      </c>
      <c r="B1367" t="inlineStr">
        <is>
          <t>avverkningsanmälan</t>
        </is>
      </c>
      <c r="C1367" t="inlineStr">
        <is>
          <t>Föryngringsavverkning</t>
        </is>
      </c>
      <c r="D1367" s="1" t="n">
        <v>46197</v>
      </c>
      <c r="E1367" s="1" t="n">
        <v>46272</v>
      </c>
      <c r="F1367" t="inlineStr">
        <is>
          <t>GÄVLEBORGS LÄN</t>
        </is>
      </c>
      <c r="G1367" t="inlineStr">
        <is>
          <t>HUDIKSVALL</t>
        </is>
      </c>
      <c r="I1367" t="n">
        <v>1.5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t="n">
        <v>0</v>
      </c>
      <c r="S1367" t="n">
        <v>0</v>
      </c>
      <c r="T1367" t="n">
        <v>0</v>
      </c>
      <c r="U1367" t="n">
        <v>0</v>
      </c>
      <c r="V1367" s="2" t="inlineStr"/>
    </row>
    <row r="1368" ht="15" customHeight="1">
      <c r="A1368" t="inlineStr">
        <is>
          <t>A 20612-2024</t>
        </is>
      </c>
      <c r="B1368" t="inlineStr">
        <is>
          <t>avverkningsanmälan</t>
        </is>
      </c>
      <c r="C1368" t="inlineStr">
        <is>
          <t>Avverkning för annat ändamål</t>
        </is>
      </c>
      <c r="D1368" s="1" t="n">
        <v>45436</v>
      </c>
      <c r="E1368" s="1" t="n">
        <v>46272</v>
      </c>
      <c r="F1368" t="inlineStr">
        <is>
          <t>GÄVLEBORGS LÄN</t>
        </is>
      </c>
      <c r="G1368" t="inlineStr">
        <is>
          <t>HUDIKSVALL</t>
        </is>
      </c>
      <c r="I1368" t="n">
        <v>0.4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t="n">
        <v>0</v>
      </c>
      <c r="S1368" t="n">
        <v>0</v>
      </c>
      <c r="T1368" t="n">
        <v>0</v>
      </c>
      <c r="U1368" t="n">
        <v>0</v>
      </c>
      <c r="V1368" s="2" t="inlineStr"/>
    </row>
    <row r="1369" ht="15" customHeight="1">
      <c r="A1369" t="inlineStr">
        <is>
          <t>A 28680-2026</t>
        </is>
      </c>
      <c r="B1369" t="inlineStr">
        <is>
          <t>avverkningsanmälan</t>
        </is>
      </c>
      <c r="C1369" t="inlineStr">
        <is>
          <t>Avverkning för annat ändamål</t>
        </is>
      </c>
      <c r="D1369" s="1" t="n">
        <v>46198</v>
      </c>
      <c r="E1369" s="1" t="n">
        <v>46272</v>
      </c>
      <c r="F1369" t="inlineStr">
        <is>
          <t>GÄVLEBORGS LÄN</t>
        </is>
      </c>
      <c r="G1369" t="inlineStr">
        <is>
          <t>HUDIKSVALL</t>
        </is>
      </c>
      <c r="I1369" t="n">
        <v>0.9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t="n">
        <v>0</v>
      </c>
      <c r="S1369" t="n">
        <v>0</v>
      </c>
      <c r="T1369" t="n">
        <v>0</v>
      </c>
      <c r="U1369" t="n">
        <v>0</v>
      </c>
      <c r="V1369" s="2" t="inlineStr"/>
    </row>
    <row r="1370" ht="15" customHeight="1">
      <c r="A1370" t="inlineStr">
        <is>
          <t>A 32635-2026</t>
        </is>
      </c>
      <c r="B1370" t="inlineStr">
        <is>
          <t>avverkningsanmälan</t>
        </is>
      </c>
      <c r="C1370" t="inlineStr">
        <is>
          <t>Föryngringsavverkning</t>
        </is>
      </c>
      <c r="D1370" s="1" t="n">
        <v>46240</v>
      </c>
      <c r="E1370" s="1" t="n">
        <v>46272</v>
      </c>
      <c r="F1370" t="inlineStr">
        <is>
          <t>GÄVLEBORGS LÄN</t>
        </is>
      </c>
      <c r="G1370" t="inlineStr">
        <is>
          <t>HUDIKSVALL</t>
        </is>
      </c>
      <c r="H1370" t="inlineStr">
        <is>
          <t>Holmen skog AB</t>
        </is>
      </c>
      <c r="I1370" t="n">
        <v>0.8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t="n">
        <v>0</v>
      </c>
      <c r="S1370" t="n">
        <v>0</v>
      </c>
      <c r="T1370" t="n">
        <v>0</v>
      </c>
      <c r="U1370" t="n">
        <v>0</v>
      </c>
      <c r="V1370" s="2" t="inlineStr"/>
    </row>
    <row r="1371" ht="15" customHeight="1">
      <c r="A1371" t="inlineStr">
        <is>
          <t>A 63045-2023</t>
        </is>
      </c>
      <c r="B1371" t="inlineStr">
        <is>
          <t>avverkningsanmälan</t>
        </is>
      </c>
      <c r="C1371" t="inlineStr">
        <is>
          <t>Föryngringsavverkning</t>
        </is>
      </c>
      <c r="D1371" s="1" t="n">
        <v>45272</v>
      </c>
      <c r="E1371" s="1" t="n">
        <v>46272</v>
      </c>
      <c r="F1371" t="inlineStr">
        <is>
          <t>GÄVLEBORGS LÄN</t>
        </is>
      </c>
      <c r="G1371" t="inlineStr">
        <is>
          <t>HUDIKSVALL</t>
        </is>
      </c>
      <c r="I1371" t="n">
        <v>6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t="n">
        <v>0</v>
      </c>
      <c r="S1371" t="n">
        <v>0</v>
      </c>
      <c r="T1371" t="n">
        <v>0</v>
      </c>
      <c r="U1371" t="n">
        <v>0</v>
      </c>
      <c r="V1371" s="2" t="inlineStr"/>
    </row>
    <row r="1372" ht="15" customHeight="1">
      <c r="A1372" t="inlineStr">
        <is>
          <t>A 4565-2024</t>
        </is>
      </c>
      <c r="B1372" t="inlineStr">
        <is>
          <t>avverkningsanmälan</t>
        </is>
      </c>
      <c r="C1372" t="inlineStr">
        <is>
          <t>Föryngringsavverkning</t>
        </is>
      </c>
      <c r="D1372" s="1" t="n">
        <v>45327</v>
      </c>
      <c r="E1372" s="1" t="n">
        <v>46272</v>
      </c>
      <c r="F1372" t="inlineStr">
        <is>
          <t>GÄVLEBORGS LÄN</t>
        </is>
      </c>
      <c r="G1372" t="inlineStr">
        <is>
          <t>HUDIKSVALL</t>
        </is>
      </c>
      <c r="H1372" t="inlineStr">
        <is>
          <t>Holmen skog AB</t>
        </is>
      </c>
      <c r="I1372" t="n">
        <v>34.7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t="n">
        <v>0</v>
      </c>
      <c r="S1372" t="n">
        <v>0</v>
      </c>
      <c r="T1372" t="n">
        <v>0</v>
      </c>
      <c r="U1372" t="n">
        <v>0</v>
      </c>
      <c r="V1372" s="2" t="inlineStr"/>
    </row>
    <row r="1373" ht="15" customHeight="1">
      <c r="A1373" t="inlineStr">
        <is>
          <t>A 28409-2026</t>
        </is>
      </c>
      <c r="B1373" t="inlineStr">
        <is>
          <t>avverkningsanmälan</t>
        </is>
      </c>
      <c r="C1373" t="inlineStr">
        <is>
          <t>Föryngringsavverkning</t>
        </is>
      </c>
      <c r="D1373" s="1" t="n">
        <v>46197</v>
      </c>
      <c r="E1373" s="1" t="n">
        <v>46272</v>
      </c>
      <c r="F1373" t="inlineStr">
        <is>
          <t>GÄVLEBORGS LÄN</t>
        </is>
      </c>
      <c r="G1373" t="inlineStr">
        <is>
          <t>HUDIKSVALL</t>
        </is>
      </c>
      <c r="H1373" t="inlineStr">
        <is>
          <t>Holmen skog AB</t>
        </is>
      </c>
      <c r="I1373" t="n">
        <v>3.1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t="n">
        <v>0</v>
      </c>
      <c r="S1373" t="n">
        <v>0</v>
      </c>
      <c r="T1373" t="n">
        <v>0</v>
      </c>
      <c r="U1373" t="n">
        <v>0</v>
      </c>
      <c r="V1373" s="2" t="inlineStr"/>
    </row>
    <row r="1374" ht="15" customHeight="1">
      <c r="A1374" t="inlineStr">
        <is>
          <t>A 60283-2022</t>
        </is>
      </c>
      <c r="B1374" t="inlineStr">
        <is>
          <t>avverkningsanmälan</t>
        </is>
      </c>
      <c r="C1374" t="inlineStr">
        <is>
          <t>Avverkning för annat ändamål</t>
        </is>
      </c>
      <c r="D1374" s="1" t="n">
        <v>44910</v>
      </c>
      <c r="E1374" s="1" t="n">
        <v>46272</v>
      </c>
      <c r="F1374" t="inlineStr">
        <is>
          <t>GÄVLEBORGS LÄN</t>
        </is>
      </c>
      <c r="G1374" t="inlineStr">
        <is>
          <t>HUDIKSVALL</t>
        </is>
      </c>
      <c r="I1374" t="n">
        <v>0.7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t="n">
        <v>0</v>
      </c>
      <c r="S1374" t="n">
        <v>0</v>
      </c>
      <c r="T1374" t="n">
        <v>0</v>
      </c>
      <c r="U1374" t="n">
        <v>0</v>
      </c>
      <c r="V1374" s="2" t="inlineStr"/>
    </row>
    <row r="1375" ht="15" customHeight="1">
      <c r="A1375" t="inlineStr">
        <is>
          <t>A 64632-2021</t>
        </is>
      </c>
      <c r="B1375" t="inlineStr">
        <is>
          <t>avverkningsanmälan</t>
        </is>
      </c>
      <c r="C1375" t="inlineStr">
        <is>
          <t>Föryngringsavverkning</t>
        </is>
      </c>
      <c r="D1375" s="1" t="n">
        <v>44511</v>
      </c>
      <c r="E1375" s="1" t="n">
        <v>46272</v>
      </c>
      <c r="F1375" t="inlineStr">
        <is>
          <t>GÄVLEBORGS LÄN</t>
        </is>
      </c>
      <c r="G1375" t="inlineStr">
        <is>
          <t>HUDIKSVALL</t>
        </is>
      </c>
      <c r="I1375" t="n">
        <v>4.2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t="n">
        <v>0</v>
      </c>
      <c r="S1375" t="n">
        <v>0</v>
      </c>
      <c r="T1375" t="n">
        <v>0</v>
      </c>
      <c r="U1375" t="n">
        <v>0</v>
      </c>
      <c r="V1375" s="2" t="inlineStr"/>
    </row>
    <row r="1376" ht="15" customHeight="1">
      <c r="A1376" t="inlineStr">
        <is>
          <t>A 46828-2024</t>
        </is>
      </c>
      <c r="B1376" t="inlineStr">
        <is>
          <t>avverkningsanmälan</t>
        </is>
      </c>
      <c r="C1376" t="inlineStr">
        <is>
          <t>Föryngringsavverkning</t>
        </is>
      </c>
      <c r="D1376" s="1" t="n">
        <v>45583</v>
      </c>
      <c r="E1376" s="1" t="n">
        <v>46272</v>
      </c>
      <c r="F1376" t="inlineStr">
        <is>
          <t>GÄVLEBORGS LÄN</t>
        </is>
      </c>
      <c r="G1376" t="inlineStr">
        <is>
          <t>HUDIKSVALL</t>
        </is>
      </c>
      <c r="H1376" t="inlineStr">
        <is>
          <t>Holmen skog AB</t>
        </is>
      </c>
      <c r="I1376" t="n">
        <v>19.1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t="n">
        <v>0</v>
      </c>
      <c r="S1376" t="n">
        <v>0</v>
      </c>
      <c r="T1376" t="n">
        <v>0</v>
      </c>
      <c r="U1376" t="n">
        <v>0</v>
      </c>
      <c r="V1376" s="2" t="inlineStr"/>
    </row>
    <row r="1377" ht="15" customHeight="1">
      <c r="A1377" t="inlineStr">
        <is>
          <t>A 3942-2023</t>
        </is>
      </c>
      <c r="B1377" t="inlineStr">
        <is>
          <t>avverkningsanmälan</t>
        </is>
      </c>
      <c r="C1377" t="inlineStr">
        <is>
          <t>Föryngringsavverkning</t>
        </is>
      </c>
      <c r="D1377" s="1" t="n">
        <v>44952</v>
      </c>
      <c r="E1377" s="1" t="n">
        <v>46272</v>
      </c>
      <c r="F1377" t="inlineStr">
        <is>
          <t>GÄVLEBORGS LÄN</t>
        </is>
      </c>
      <c r="G1377" t="inlineStr">
        <is>
          <t>HUDIKSVALL</t>
        </is>
      </c>
      <c r="I1377" t="n">
        <v>1.9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t="n">
        <v>0</v>
      </c>
      <c r="S1377" t="n">
        <v>0</v>
      </c>
      <c r="T1377" t="n">
        <v>0</v>
      </c>
      <c r="U1377" t="n">
        <v>0</v>
      </c>
      <c r="V1377" s="2" t="inlineStr"/>
    </row>
    <row r="1378" ht="15" customHeight="1">
      <c r="A1378" t="inlineStr">
        <is>
          <t>A 34363-2022</t>
        </is>
      </c>
      <c r="B1378" t="inlineStr">
        <is>
          <t>avverkningsanmälan</t>
        </is>
      </c>
      <c r="C1378" t="inlineStr">
        <is>
          <t>Föryngringsavverkning</t>
        </is>
      </c>
      <c r="D1378" s="1" t="n">
        <v>44792</v>
      </c>
      <c r="E1378" s="1" t="n">
        <v>46272</v>
      </c>
      <c r="F1378" t="inlineStr">
        <is>
          <t>GÄVLEBORGS LÄN</t>
        </is>
      </c>
      <c r="G1378" t="inlineStr">
        <is>
          <t>HUDIKSVALL</t>
        </is>
      </c>
      <c r="H1378" t="inlineStr">
        <is>
          <t>Holmen skog AB</t>
        </is>
      </c>
      <c r="I1378" t="n">
        <v>1.6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t="n">
        <v>0</v>
      </c>
      <c r="S1378" t="n">
        <v>0</v>
      </c>
      <c r="T1378" t="n">
        <v>0</v>
      </c>
      <c r="U1378" t="n">
        <v>0</v>
      </c>
      <c r="V1378" s="2" t="inlineStr"/>
    </row>
    <row r="1379" ht="15" customHeight="1">
      <c r="A1379" t="inlineStr">
        <is>
          <t>A 30083-2024</t>
        </is>
      </c>
      <c r="B1379" t="inlineStr">
        <is>
          <t>avverkningsanmälan</t>
        </is>
      </c>
      <c r="C1379" t="inlineStr">
        <is>
          <t>Föryngringsavverkning</t>
        </is>
      </c>
      <c r="D1379" s="1" t="n">
        <v>45489</v>
      </c>
      <c r="E1379" s="1" t="n">
        <v>46272</v>
      </c>
      <c r="F1379" t="inlineStr">
        <is>
          <t>GÄVLEBORGS LÄN</t>
        </is>
      </c>
      <c r="G1379" t="inlineStr">
        <is>
          <t>HUDIKSVALL</t>
        </is>
      </c>
      <c r="H1379" t="inlineStr">
        <is>
          <t>Holmen skog AB</t>
        </is>
      </c>
      <c r="I1379" t="n">
        <v>1.1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t="n">
        <v>0</v>
      </c>
      <c r="S1379" t="n">
        <v>0</v>
      </c>
      <c r="T1379" t="n">
        <v>0</v>
      </c>
      <c r="U1379" t="n">
        <v>0</v>
      </c>
      <c r="V1379" s="2" t="inlineStr"/>
    </row>
    <row r="1380" ht="15" customHeight="1">
      <c r="A1380" t="inlineStr">
        <is>
          <t>A 28798-2026</t>
        </is>
      </c>
      <c r="B1380" t="inlineStr">
        <is>
          <t>avverkningsanmälan</t>
        </is>
      </c>
      <c r="C1380" t="inlineStr">
        <is>
          <t>Föryngringsavverkning</t>
        </is>
      </c>
      <c r="D1380" s="1" t="n">
        <v>46198</v>
      </c>
      <c r="E1380" s="1" t="n">
        <v>46272</v>
      </c>
      <c r="F1380" t="inlineStr">
        <is>
          <t>GÄVLEBORGS LÄN</t>
        </is>
      </c>
      <c r="G1380" t="inlineStr">
        <is>
          <t>HUDIKSVALL</t>
        </is>
      </c>
      <c r="I1380" t="n">
        <v>0.9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t="n">
        <v>0</v>
      </c>
      <c r="S1380" t="n">
        <v>0</v>
      </c>
      <c r="T1380" t="n">
        <v>0</v>
      </c>
      <c r="U1380" t="n">
        <v>0</v>
      </c>
      <c r="V1380" s="2" t="inlineStr"/>
    </row>
    <row r="1381" ht="15" customHeight="1">
      <c r="A1381" t="inlineStr">
        <is>
          <t>A 70258-2021</t>
        </is>
      </c>
      <c r="B1381" t="inlineStr">
        <is>
          <t>avverkningsanmälan</t>
        </is>
      </c>
      <c r="C1381" t="inlineStr">
        <is>
          <t>Föryngringsavverkning</t>
        </is>
      </c>
      <c r="D1381" s="1" t="n">
        <v>44536</v>
      </c>
      <c r="E1381" s="1" t="n">
        <v>46272</v>
      </c>
      <c r="F1381" t="inlineStr">
        <is>
          <t>GÄVLEBORGS LÄN</t>
        </is>
      </c>
      <c r="G1381" t="inlineStr">
        <is>
          <t>HUDIKSVALL</t>
        </is>
      </c>
      <c r="I1381" t="n">
        <v>1.7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t="n">
        <v>0</v>
      </c>
      <c r="S1381" t="n">
        <v>0</v>
      </c>
      <c r="T1381" t="n">
        <v>0</v>
      </c>
      <c r="U1381" t="n">
        <v>0</v>
      </c>
      <c r="V1381" s="2" t="inlineStr"/>
    </row>
    <row r="1382" ht="15" customHeight="1">
      <c r="A1382" t="inlineStr">
        <is>
          <t>A 28539-2026</t>
        </is>
      </c>
      <c r="B1382" t="inlineStr">
        <is>
          <t>avverkningsanmälan</t>
        </is>
      </c>
      <c r="C1382" t="inlineStr">
        <is>
          <t>Föryngringsavverkning</t>
        </is>
      </c>
      <c r="D1382" s="1" t="n">
        <v>46197</v>
      </c>
      <c r="E1382" s="1" t="n">
        <v>46272</v>
      </c>
      <c r="F1382" t="inlineStr">
        <is>
          <t>GÄVLEBORGS LÄN</t>
        </is>
      </c>
      <c r="G1382" t="inlineStr">
        <is>
          <t>HUDIKSVALL</t>
        </is>
      </c>
      <c r="I1382" t="n">
        <v>4.3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t="n">
        <v>0</v>
      </c>
      <c r="S1382" t="n">
        <v>0</v>
      </c>
      <c r="T1382" t="n">
        <v>0</v>
      </c>
      <c r="U1382" t="n">
        <v>0</v>
      </c>
      <c r="V1382" s="2" t="inlineStr"/>
    </row>
    <row r="1383" ht="15" customHeight="1">
      <c r="A1383" t="inlineStr">
        <is>
          <t>A 38535-2023</t>
        </is>
      </c>
      <c r="B1383" t="inlineStr">
        <is>
          <t>avverkningsanmälan</t>
        </is>
      </c>
      <c r="C1383" t="inlineStr">
        <is>
          <t>Föryngringsavverkning</t>
        </is>
      </c>
      <c r="D1383" s="1" t="n">
        <v>45162</v>
      </c>
      <c r="E1383" s="1" t="n">
        <v>46272</v>
      </c>
      <c r="F1383" t="inlineStr">
        <is>
          <t>GÄVLEBORGS LÄN</t>
        </is>
      </c>
      <c r="G1383" t="inlineStr">
        <is>
          <t>HUDIKSVALL</t>
        </is>
      </c>
      <c r="I1383" t="n">
        <v>1.2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t="n">
        <v>0</v>
      </c>
      <c r="S1383" t="n">
        <v>0</v>
      </c>
      <c r="T1383" t="n">
        <v>0</v>
      </c>
      <c r="U1383" t="n">
        <v>0</v>
      </c>
      <c r="V1383" s="2" t="inlineStr"/>
    </row>
    <row r="1384" ht="15" customHeight="1">
      <c r="A1384" t="inlineStr">
        <is>
          <t>A 22165-2022</t>
        </is>
      </c>
      <c r="B1384" t="inlineStr">
        <is>
          <t>avverkningsanmälan</t>
        </is>
      </c>
      <c r="C1384" t="inlineStr">
        <is>
          <t>Föryngringsavverkning</t>
        </is>
      </c>
      <c r="D1384" s="1" t="n">
        <v>44712</v>
      </c>
      <c r="E1384" s="1" t="n">
        <v>46272</v>
      </c>
      <c r="F1384" t="inlineStr">
        <is>
          <t>GÄVLEBORGS LÄN</t>
        </is>
      </c>
      <c r="G1384" t="inlineStr">
        <is>
          <t>HUDIKSVALL</t>
        </is>
      </c>
      <c r="I1384" t="n">
        <v>1.7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t="n">
        <v>0</v>
      </c>
      <c r="S1384" t="n">
        <v>0</v>
      </c>
      <c r="T1384" t="n">
        <v>0</v>
      </c>
      <c r="U1384" t="n">
        <v>0</v>
      </c>
      <c r="V1384" s="2" t="inlineStr"/>
    </row>
    <row r="1385" ht="15" customHeight="1">
      <c r="A1385" t="inlineStr">
        <is>
          <t>A 30408-2024</t>
        </is>
      </c>
      <c r="B1385" t="inlineStr">
        <is>
          <t>avverkningsanmälan</t>
        </is>
      </c>
      <c r="C1385" t="inlineStr">
        <is>
          <t>Föryngringsavverkning</t>
        </is>
      </c>
      <c r="D1385" s="1" t="n">
        <v>45491</v>
      </c>
      <c r="E1385" s="1" t="n">
        <v>46272</v>
      </c>
      <c r="F1385" t="inlineStr">
        <is>
          <t>GÄVLEBORGS LÄN</t>
        </is>
      </c>
      <c r="G1385" t="inlineStr">
        <is>
          <t>HUDIKSVALL</t>
        </is>
      </c>
      <c r="I1385" t="n">
        <v>2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t="n">
        <v>0</v>
      </c>
      <c r="S1385" t="n">
        <v>0</v>
      </c>
      <c r="T1385" t="n">
        <v>0</v>
      </c>
      <c r="U1385" t="n">
        <v>0</v>
      </c>
      <c r="V1385" s="2" t="inlineStr"/>
    </row>
    <row r="1386" ht="15" customHeight="1">
      <c r="A1386" t="inlineStr">
        <is>
          <t>A 28800-2026</t>
        </is>
      </c>
      <c r="B1386" t="inlineStr">
        <is>
          <t>avverkningsanmälan</t>
        </is>
      </c>
      <c r="C1386" t="inlineStr">
        <is>
          <t>Avverkning för annat ändamål</t>
        </is>
      </c>
      <c r="D1386" s="1" t="n">
        <v>46198</v>
      </c>
      <c r="E1386" s="1" t="n">
        <v>46272</v>
      </c>
      <c r="F1386" t="inlineStr">
        <is>
          <t>GÄVLEBORGS LÄN</t>
        </is>
      </c>
      <c r="G1386" t="inlineStr">
        <is>
          <t>HUDIKSVALL</t>
        </is>
      </c>
      <c r="I1386" t="n">
        <v>2.1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t="n">
        <v>0</v>
      </c>
      <c r="S1386" t="n">
        <v>0</v>
      </c>
      <c r="T1386" t="n">
        <v>0</v>
      </c>
      <c r="U1386" t="n">
        <v>0</v>
      </c>
      <c r="V1386" s="2" t="inlineStr"/>
    </row>
    <row r="1387" ht="15" customHeight="1">
      <c r="A1387" t="inlineStr">
        <is>
          <t>A 34983-2024</t>
        </is>
      </c>
      <c r="B1387" t="inlineStr">
        <is>
          <t>avverkningsanmälan</t>
        </is>
      </c>
      <c r="C1387" t="inlineStr">
        <is>
          <t>Föryngringsavverkning</t>
        </is>
      </c>
      <c r="D1387" s="1" t="n">
        <v>45527</v>
      </c>
      <c r="E1387" s="1" t="n">
        <v>46272</v>
      </c>
      <c r="F1387" t="inlineStr">
        <is>
          <t>GÄVLEBORGS LÄN</t>
        </is>
      </c>
      <c r="G1387" t="inlineStr">
        <is>
          <t>HUDIKSVALL</t>
        </is>
      </c>
      <c r="H1387" t="inlineStr">
        <is>
          <t>Holmen skog AB</t>
        </is>
      </c>
      <c r="I1387" t="n">
        <v>1.2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t="n">
        <v>0</v>
      </c>
      <c r="S1387" t="n">
        <v>0</v>
      </c>
      <c r="T1387" t="n">
        <v>0</v>
      </c>
      <c r="U1387" t="n">
        <v>0</v>
      </c>
      <c r="V1387" s="2" t="inlineStr"/>
    </row>
    <row r="1388" ht="15" customHeight="1">
      <c r="A1388" t="inlineStr">
        <is>
          <t>A 29341-2026</t>
        </is>
      </c>
      <c r="B1388" t="inlineStr">
        <is>
          <t>avverkningsanmälan</t>
        </is>
      </c>
      <c r="C1388" t="inlineStr">
        <is>
          <t>Föryngringsavverkning</t>
        </is>
      </c>
      <c r="D1388" s="1" t="n">
        <v>46202</v>
      </c>
      <c r="E1388" s="1" t="n">
        <v>46272</v>
      </c>
      <c r="F1388" t="inlineStr">
        <is>
          <t>GÄVLEBORGS LÄN</t>
        </is>
      </c>
      <c r="G1388" t="inlineStr">
        <is>
          <t>HUDIKSVALL</t>
        </is>
      </c>
      <c r="H1388" t="inlineStr">
        <is>
          <t>Holmen skog AB</t>
        </is>
      </c>
      <c r="I1388" t="n">
        <v>6.1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t="n">
        <v>0</v>
      </c>
      <c r="S1388" t="n">
        <v>0</v>
      </c>
      <c r="T1388" t="n">
        <v>0</v>
      </c>
      <c r="U1388" t="n">
        <v>0</v>
      </c>
      <c r="V1388" s="2" t="inlineStr"/>
    </row>
    <row r="1389" ht="15" customHeight="1">
      <c r="A1389" t="inlineStr">
        <is>
          <t>A 2418-2024</t>
        </is>
      </c>
      <c r="B1389" t="inlineStr">
        <is>
          <t>avverkningsanmälan</t>
        </is>
      </c>
      <c r="C1389" t="inlineStr">
        <is>
          <t>Föryngringsavverkning</t>
        </is>
      </c>
      <c r="D1389" s="1" t="n">
        <v>45310</v>
      </c>
      <c r="E1389" s="1" t="n">
        <v>46272</v>
      </c>
      <c r="F1389" t="inlineStr">
        <is>
          <t>GÄVLEBORGS LÄN</t>
        </is>
      </c>
      <c r="G1389" t="inlineStr">
        <is>
          <t>HUDIKSVALL</t>
        </is>
      </c>
      <c r="I1389" t="n">
        <v>0.5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t="n">
        <v>0</v>
      </c>
      <c r="S1389" t="n">
        <v>0</v>
      </c>
      <c r="T1389" t="n">
        <v>0</v>
      </c>
      <c r="U1389" t="n">
        <v>0</v>
      </c>
      <c r="V1389" s="2" t="inlineStr"/>
    </row>
    <row r="1390" ht="15" customHeight="1">
      <c r="A1390" t="inlineStr">
        <is>
          <t>A 54625-2023</t>
        </is>
      </c>
      <c r="B1390" t="inlineStr">
        <is>
          <t>avverkningsanmälan</t>
        </is>
      </c>
      <c r="C1390" t="inlineStr">
        <is>
          <t>Avverkning för annat ändamål</t>
        </is>
      </c>
      <c r="D1390" s="1" t="n">
        <v>45234</v>
      </c>
      <c r="E1390" s="1" t="n">
        <v>46272</v>
      </c>
      <c r="F1390" t="inlineStr">
        <is>
          <t>GÄVLEBORGS LÄN</t>
        </is>
      </c>
      <c r="G1390" t="inlineStr">
        <is>
          <t>HUDIKSVALL</t>
        </is>
      </c>
      <c r="I1390" t="n">
        <v>4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t="n">
        <v>0</v>
      </c>
      <c r="S1390" t="n">
        <v>0</v>
      </c>
      <c r="T1390" t="n">
        <v>0</v>
      </c>
      <c r="U1390" t="n">
        <v>0</v>
      </c>
      <c r="V1390" s="2" t="inlineStr"/>
    </row>
    <row r="1391" ht="15" customHeight="1">
      <c r="A1391" t="inlineStr">
        <is>
          <t>A 52014-2023</t>
        </is>
      </c>
      <c r="B1391" t="inlineStr">
        <is>
          <t>avverkningsanmälan</t>
        </is>
      </c>
      <c r="C1391" t="inlineStr">
        <is>
          <t>Föryngringsavverkning</t>
        </is>
      </c>
      <c r="D1391" s="1" t="n">
        <v>45223</v>
      </c>
      <c r="E1391" s="1" t="n">
        <v>46272</v>
      </c>
      <c r="F1391" t="inlineStr">
        <is>
          <t>GÄVLEBORGS LÄN</t>
        </is>
      </c>
      <c r="G1391" t="inlineStr">
        <is>
          <t>HUDIKSVALL</t>
        </is>
      </c>
      <c r="H1391" t="inlineStr">
        <is>
          <t>Holmen skog AB</t>
        </is>
      </c>
      <c r="I1391" t="n">
        <v>0.7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t="n">
        <v>0</v>
      </c>
      <c r="S1391" t="n">
        <v>0</v>
      </c>
      <c r="T1391" t="n">
        <v>0</v>
      </c>
      <c r="U1391" t="n">
        <v>0</v>
      </c>
      <c r="V1391" s="2" t="inlineStr"/>
    </row>
    <row r="1392" ht="15" customHeight="1">
      <c r="A1392" t="inlineStr">
        <is>
          <t>A 7593-2023</t>
        </is>
      </c>
      <c r="B1392" t="inlineStr">
        <is>
          <t>avverkningsanmälan</t>
        </is>
      </c>
      <c r="C1392" t="inlineStr">
        <is>
          <t>Föryngringsavverkning</t>
        </is>
      </c>
      <c r="D1392" s="1" t="n">
        <v>44972</v>
      </c>
      <c r="E1392" s="1" t="n">
        <v>46272</v>
      </c>
      <c r="F1392" t="inlineStr">
        <is>
          <t>GÄVLEBORGS LÄN</t>
        </is>
      </c>
      <c r="G1392" t="inlineStr">
        <is>
          <t>HUDIKSVALL</t>
        </is>
      </c>
      <c r="I1392" t="n">
        <v>1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t="n">
        <v>0</v>
      </c>
      <c r="S1392" t="n">
        <v>0</v>
      </c>
      <c r="T1392" t="n">
        <v>0</v>
      </c>
      <c r="U1392" t="n">
        <v>0</v>
      </c>
      <c r="V1392" s="2" t="inlineStr"/>
    </row>
    <row r="1393" ht="15" customHeight="1">
      <c r="A1393" t="inlineStr">
        <is>
          <t>A 33137-2026</t>
        </is>
      </c>
      <c r="B1393" t="inlineStr">
        <is>
          <t>avverkningsanmälan</t>
        </is>
      </c>
      <c r="C1393" t="inlineStr">
        <is>
          <t>Föryngringsavverkning</t>
        </is>
      </c>
      <c r="D1393" s="1" t="n">
        <v>46245</v>
      </c>
      <c r="E1393" s="1" t="n">
        <v>46272</v>
      </c>
      <c r="F1393" t="inlineStr">
        <is>
          <t>GÄVLEBORGS LÄN</t>
        </is>
      </c>
      <c r="G1393" t="inlineStr">
        <is>
          <t>HUDIKSVALL</t>
        </is>
      </c>
      <c r="I1393" t="n">
        <v>1.9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t="n">
        <v>0</v>
      </c>
      <c r="S1393" t="n">
        <v>0</v>
      </c>
      <c r="T1393" t="n">
        <v>0</v>
      </c>
      <c r="U1393" t="n">
        <v>0</v>
      </c>
      <c r="V1393" s="2" t="inlineStr"/>
    </row>
    <row r="1394" ht="15" customHeight="1">
      <c r="A1394" t="inlineStr">
        <is>
          <t>A 9546-2025</t>
        </is>
      </c>
      <c r="B1394" t="inlineStr">
        <is>
          <t>avverkningsanmälan</t>
        </is>
      </c>
      <c r="C1394" t="inlineStr">
        <is>
          <t>Föryngringsavverkning</t>
        </is>
      </c>
      <c r="D1394" s="1" t="n">
        <v>45715</v>
      </c>
      <c r="E1394" s="1" t="n">
        <v>46272</v>
      </c>
      <c r="F1394" t="inlineStr">
        <is>
          <t>GÄVLEBORGS LÄN</t>
        </is>
      </c>
      <c r="G1394" t="inlineStr">
        <is>
          <t>HUDIKSVALL</t>
        </is>
      </c>
      <c r="H1394" t="inlineStr">
        <is>
          <t>Holmen skog AB</t>
        </is>
      </c>
      <c r="I1394" t="n">
        <v>29.4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t="n">
        <v>0</v>
      </c>
      <c r="S1394" t="n">
        <v>0</v>
      </c>
      <c r="T1394" t="n">
        <v>0</v>
      </c>
      <c r="U1394" t="n">
        <v>0</v>
      </c>
      <c r="V1394" s="2" t="inlineStr"/>
    </row>
    <row r="1395" ht="15" customHeight="1">
      <c r="A1395" t="inlineStr">
        <is>
          <t>A 46593-2024</t>
        </is>
      </c>
      <c r="B1395" t="inlineStr">
        <is>
          <t>avverkningsanmälan</t>
        </is>
      </c>
      <c r="C1395" t="inlineStr">
        <is>
          <t>Föryngringsavverkning</t>
        </is>
      </c>
      <c r="D1395" s="1" t="n">
        <v>45582</v>
      </c>
      <c r="E1395" s="1" t="n">
        <v>46272</v>
      </c>
      <c r="F1395" t="inlineStr">
        <is>
          <t>GÄVLEBORGS LÄN</t>
        </is>
      </c>
      <c r="G1395" t="inlineStr">
        <is>
          <t>HUDIKSVALL</t>
        </is>
      </c>
      <c r="H1395" t="inlineStr">
        <is>
          <t>Holmen skog AB</t>
        </is>
      </c>
      <c r="I1395" t="n">
        <v>5.3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t="n">
        <v>0</v>
      </c>
      <c r="S1395" t="n">
        <v>0</v>
      </c>
      <c r="T1395" t="n">
        <v>0</v>
      </c>
      <c r="U1395" t="n">
        <v>0</v>
      </c>
      <c r="V1395" s="2" t="inlineStr"/>
    </row>
    <row r="1396" ht="15" customHeight="1">
      <c r="A1396" t="inlineStr">
        <is>
          <t>A 46598-2024</t>
        </is>
      </c>
      <c r="B1396" t="inlineStr">
        <is>
          <t>avverkningsanmälan</t>
        </is>
      </c>
      <c r="C1396" t="inlineStr">
        <is>
          <t>Föryngringsavverkning</t>
        </is>
      </c>
      <c r="D1396" s="1" t="n">
        <v>45582</v>
      </c>
      <c r="E1396" s="1" t="n">
        <v>46272</v>
      </c>
      <c r="F1396" t="inlineStr">
        <is>
          <t>GÄVLEBORGS LÄN</t>
        </is>
      </c>
      <c r="G1396" t="inlineStr">
        <is>
          <t>HUDIKSVALL</t>
        </is>
      </c>
      <c r="H1396" t="inlineStr">
        <is>
          <t>Holmen skog AB</t>
        </is>
      </c>
      <c r="I1396" t="n">
        <v>1.2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t="n">
        <v>0</v>
      </c>
      <c r="S1396" t="n">
        <v>0</v>
      </c>
      <c r="T1396" t="n">
        <v>0</v>
      </c>
      <c r="U1396" t="n">
        <v>0</v>
      </c>
      <c r="V1396" s="2" t="inlineStr"/>
    </row>
    <row r="1397" ht="15" customHeight="1">
      <c r="A1397" t="inlineStr">
        <is>
          <t>A 57949-2023</t>
        </is>
      </c>
      <c r="B1397" t="inlineStr">
        <is>
          <t>avverkningsanmälan</t>
        </is>
      </c>
      <c r="C1397" t="inlineStr">
        <is>
          <t>Föryngringsavverkning</t>
        </is>
      </c>
      <c r="D1397" s="1" t="n">
        <v>45244</v>
      </c>
      <c r="E1397" s="1" t="n">
        <v>46272</v>
      </c>
      <c r="F1397" t="inlineStr">
        <is>
          <t>GÄVLEBORGS LÄN</t>
        </is>
      </c>
      <c r="G1397" t="inlineStr">
        <is>
          <t>HUDIKSVALL</t>
        </is>
      </c>
      <c r="I1397" t="n">
        <v>3.9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t="n">
        <v>0</v>
      </c>
      <c r="S1397" t="n">
        <v>0</v>
      </c>
      <c r="T1397" t="n">
        <v>0</v>
      </c>
      <c r="U1397" t="n">
        <v>0</v>
      </c>
      <c r="V1397" s="2" t="inlineStr"/>
    </row>
    <row r="1398" ht="15" customHeight="1">
      <c r="A1398" t="inlineStr">
        <is>
          <t>A 60500-2022</t>
        </is>
      </c>
      <c r="B1398" t="inlineStr">
        <is>
          <t>avverkningsanmälan</t>
        </is>
      </c>
      <c r="C1398" t="inlineStr">
        <is>
          <t>Föryngringsavverkning</t>
        </is>
      </c>
      <c r="D1398" s="1" t="n">
        <v>44911</v>
      </c>
      <c r="E1398" s="1" t="n">
        <v>46272</v>
      </c>
      <c r="F1398" t="inlineStr">
        <is>
          <t>GÄVLEBORGS LÄN</t>
        </is>
      </c>
      <c r="G1398" t="inlineStr">
        <is>
          <t>HUDIKSVALL</t>
        </is>
      </c>
      <c r="H1398" t="inlineStr">
        <is>
          <t>Holmen skog AB</t>
        </is>
      </c>
      <c r="I1398" t="n">
        <v>1.9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t="n">
        <v>0</v>
      </c>
      <c r="S1398" t="n">
        <v>0</v>
      </c>
      <c r="T1398" t="n">
        <v>0</v>
      </c>
      <c r="U1398" t="n">
        <v>0</v>
      </c>
      <c r="V1398" s="2" t="inlineStr"/>
    </row>
    <row r="1399" ht="15" customHeight="1">
      <c r="A1399" t="inlineStr">
        <is>
          <t>A 29344-2026</t>
        </is>
      </c>
      <c r="B1399" t="inlineStr">
        <is>
          <t>avverkningsanmälan</t>
        </is>
      </c>
      <c r="C1399" t="inlineStr">
        <is>
          <t>Föryngringsavverkning</t>
        </is>
      </c>
      <c r="D1399" s="1" t="n">
        <v>46202</v>
      </c>
      <c r="E1399" s="1" t="n">
        <v>46272</v>
      </c>
      <c r="F1399" t="inlineStr">
        <is>
          <t>GÄVLEBORGS LÄN</t>
        </is>
      </c>
      <c r="G1399" t="inlineStr">
        <is>
          <t>HUDIKSVALL</t>
        </is>
      </c>
      <c r="I1399" t="n">
        <v>3.2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t="n">
        <v>0</v>
      </c>
      <c r="S1399" t="n">
        <v>0</v>
      </c>
      <c r="T1399" t="n">
        <v>0</v>
      </c>
      <c r="U1399" t="n">
        <v>0</v>
      </c>
      <c r="V1399" s="2" t="inlineStr"/>
    </row>
    <row r="1400" ht="15" customHeight="1">
      <c r="A1400" t="inlineStr">
        <is>
          <t>A 35302-2024</t>
        </is>
      </c>
      <c r="B1400" t="inlineStr">
        <is>
          <t>avverkningsanmälan</t>
        </is>
      </c>
      <c r="C1400" t="inlineStr">
        <is>
          <t>Föryngringsavverkning</t>
        </is>
      </c>
      <c r="D1400" s="1" t="n">
        <v>45530</v>
      </c>
      <c r="E1400" s="1" t="n">
        <v>46272</v>
      </c>
      <c r="F1400" t="inlineStr">
        <is>
          <t>GÄVLEBORGS LÄN</t>
        </is>
      </c>
      <c r="G1400" t="inlineStr">
        <is>
          <t>HUDIKSVALL</t>
        </is>
      </c>
      <c r="I1400" t="n">
        <v>1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t="n">
        <v>0</v>
      </c>
      <c r="S1400" t="n">
        <v>0</v>
      </c>
      <c r="T1400" t="n">
        <v>0</v>
      </c>
      <c r="U1400" t="n">
        <v>0</v>
      </c>
      <c r="V1400" s="2" t="inlineStr"/>
    </row>
    <row r="1401" ht="15" customHeight="1">
      <c r="A1401" t="inlineStr">
        <is>
          <t>A 45179-2024</t>
        </is>
      </c>
      <c r="B1401" t="inlineStr">
        <is>
          <t>avverkningsanmälan</t>
        </is>
      </c>
      <c r="C1401" t="inlineStr">
        <is>
          <t>Föryngringsavverkning</t>
        </is>
      </c>
      <c r="D1401" s="1" t="n">
        <v>45575</v>
      </c>
      <c r="E1401" s="1" t="n">
        <v>46272</v>
      </c>
      <c r="F1401" t="inlineStr">
        <is>
          <t>GÄVLEBORGS LÄN</t>
        </is>
      </c>
      <c r="G1401" t="inlineStr">
        <is>
          <t>HUDIKSVALL</t>
        </is>
      </c>
      <c r="H1401" t="inlineStr">
        <is>
          <t>Holmen skog AB</t>
        </is>
      </c>
      <c r="I1401" t="n">
        <v>3.1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t="n">
        <v>0</v>
      </c>
      <c r="S1401" t="n">
        <v>0</v>
      </c>
      <c r="T1401" t="n">
        <v>0</v>
      </c>
      <c r="U1401" t="n">
        <v>0</v>
      </c>
      <c r="V1401" s="2" t="inlineStr"/>
    </row>
    <row r="1402" ht="15" customHeight="1">
      <c r="A1402" t="inlineStr">
        <is>
          <t>A 10190-2023</t>
        </is>
      </c>
      <c r="B1402" t="inlineStr">
        <is>
          <t>avverkningsanmälan</t>
        </is>
      </c>
      <c r="C1402" t="inlineStr">
        <is>
          <t>Föryngringsavverkning</t>
        </is>
      </c>
      <c r="D1402" s="1" t="n">
        <v>44986</v>
      </c>
      <c r="E1402" s="1" t="n">
        <v>46272</v>
      </c>
      <c r="F1402" t="inlineStr">
        <is>
          <t>GÄVLEBORGS LÄN</t>
        </is>
      </c>
      <c r="G1402" t="inlineStr">
        <is>
          <t>HUDIKSVALL</t>
        </is>
      </c>
      <c r="I1402" t="n">
        <v>2.2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t="n">
        <v>0</v>
      </c>
      <c r="S1402" t="n">
        <v>0</v>
      </c>
      <c r="T1402" t="n">
        <v>0</v>
      </c>
      <c r="U1402" t="n">
        <v>0</v>
      </c>
      <c r="V1402" s="2" t="inlineStr"/>
    </row>
    <row r="1403" ht="15" customHeight="1">
      <c r="A1403" t="inlineStr">
        <is>
          <t>A 63798-2021</t>
        </is>
      </c>
      <c r="B1403" t="inlineStr">
        <is>
          <t>avverkningsanmälan</t>
        </is>
      </c>
      <c r="C1403" t="inlineStr">
        <is>
          <t>Föryngringsavverkning</t>
        </is>
      </c>
      <c r="D1403" s="1" t="n">
        <v>44509</v>
      </c>
      <c r="E1403" s="1" t="n">
        <v>46272</v>
      </c>
      <c r="F1403" t="inlineStr">
        <is>
          <t>GÄVLEBORGS LÄN</t>
        </is>
      </c>
      <c r="G1403" t="inlineStr">
        <is>
          <t>HUDIKSVALL</t>
        </is>
      </c>
      <c r="I1403" t="n">
        <v>2.4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t="n">
        <v>0</v>
      </c>
      <c r="S1403" t="n">
        <v>0</v>
      </c>
      <c r="T1403" t="n">
        <v>0</v>
      </c>
      <c r="U1403" t="n">
        <v>0</v>
      </c>
      <c r="V1403" s="2" t="inlineStr"/>
    </row>
    <row r="1404" ht="15" customHeight="1">
      <c r="A1404" t="inlineStr">
        <is>
          <t>A 9462-2025</t>
        </is>
      </c>
      <c r="B1404" t="inlineStr">
        <is>
          <t>avverkningsanmälan</t>
        </is>
      </c>
      <c r="C1404" t="inlineStr">
        <is>
          <t>Föryngringsavverkning</t>
        </is>
      </c>
      <c r="D1404" s="1" t="n">
        <v>45715</v>
      </c>
      <c r="E1404" s="1" t="n">
        <v>46272</v>
      </c>
      <c r="F1404" t="inlineStr">
        <is>
          <t>GÄVLEBORGS LÄN</t>
        </is>
      </c>
      <c r="G1404" t="inlineStr">
        <is>
          <t>HUDIKSVALL</t>
        </is>
      </c>
      <c r="H1404" t="inlineStr">
        <is>
          <t>Holmen skog AB</t>
        </is>
      </c>
      <c r="I1404" t="n">
        <v>24.3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t="n">
        <v>0</v>
      </c>
      <c r="S1404" t="n">
        <v>0</v>
      </c>
      <c r="T1404" t="n">
        <v>0</v>
      </c>
      <c r="U1404" t="n">
        <v>0</v>
      </c>
      <c r="V1404" s="2" t="inlineStr"/>
    </row>
    <row r="1405" ht="15" customHeight="1">
      <c r="A1405" t="inlineStr">
        <is>
          <t>A 17206-2025</t>
        </is>
      </c>
      <c r="B1405" t="inlineStr">
        <is>
          <t>avverkningsanmälan</t>
        </is>
      </c>
      <c r="C1405" t="inlineStr">
        <is>
          <t>Föryngringsavverkning</t>
        </is>
      </c>
      <c r="D1405" s="1" t="n">
        <v>45756</v>
      </c>
      <c r="E1405" s="1" t="n">
        <v>46272</v>
      </c>
      <c r="F1405" t="inlineStr">
        <is>
          <t>GÄVLEBORGS LÄN</t>
        </is>
      </c>
      <c r="G1405" t="inlineStr">
        <is>
          <t>HUDIKSVALL</t>
        </is>
      </c>
      <c r="H1405" t="inlineStr">
        <is>
          <t>Holmen skog AB</t>
        </is>
      </c>
      <c r="I1405" t="n">
        <v>15.7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t="n">
        <v>0</v>
      </c>
      <c r="S1405" t="n">
        <v>0</v>
      </c>
      <c r="T1405" t="n">
        <v>0</v>
      </c>
      <c r="U1405" t="n">
        <v>0</v>
      </c>
      <c r="V1405" s="2" t="inlineStr"/>
    </row>
    <row r="1406" ht="15" customHeight="1">
      <c r="A1406" t="inlineStr">
        <is>
          <t>A 41735-2023</t>
        </is>
      </c>
      <c r="B1406" t="inlineStr">
        <is>
          <t>avverkningsanmälan</t>
        </is>
      </c>
      <c r="C1406" t="inlineStr">
        <is>
          <t>Föryngringsavverkning</t>
        </is>
      </c>
      <c r="D1406" s="1" t="n">
        <v>45176</v>
      </c>
      <c r="E1406" s="1" t="n">
        <v>46272</v>
      </c>
      <c r="F1406" t="inlineStr">
        <is>
          <t>GÄVLEBORGS LÄN</t>
        </is>
      </c>
      <c r="G1406" t="inlineStr">
        <is>
          <t>HUDIKSVALL</t>
        </is>
      </c>
      <c r="H1406" t="inlineStr">
        <is>
          <t>Holmen skog AB</t>
        </is>
      </c>
      <c r="I1406" t="n">
        <v>0.8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t="n">
        <v>0</v>
      </c>
      <c r="S1406" t="n">
        <v>0</v>
      </c>
      <c r="T1406" t="n">
        <v>0</v>
      </c>
      <c r="U1406" t="n">
        <v>0</v>
      </c>
      <c r="V1406" s="2" t="inlineStr"/>
    </row>
    <row r="1407" ht="15" customHeight="1">
      <c r="A1407" t="inlineStr">
        <is>
          <t>A 41745-2023</t>
        </is>
      </c>
      <c r="B1407" t="inlineStr">
        <is>
          <t>avverkningsanmälan</t>
        </is>
      </c>
      <c r="C1407" t="inlineStr">
        <is>
          <t>Föryngringsavverkning</t>
        </is>
      </c>
      <c r="D1407" s="1" t="n">
        <v>45176</v>
      </c>
      <c r="E1407" s="1" t="n">
        <v>46272</v>
      </c>
      <c r="F1407" t="inlineStr">
        <is>
          <t>GÄVLEBORGS LÄN</t>
        </is>
      </c>
      <c r="G1407" t="inlineStr">
        <is>
          <t>HUDIKSVALL</t>
        </is>
      </c>
      <c r="H1407" t="inlineStr">
        <is>
          <t>Holmen skog AB</t>
        </is>
      </c>
      <c r="I1407" t="n">
        <v>1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t="n">
        <v>0</v>
      </c>
      <c r="S1407" t="n">
        <v>0</v>
      </c>
      <c r="T1407" t="n">
        <v>0</v>
      </c>
      <c r="U1407" t="n">
        <v>0</v>
      </c>
      <c r="V1407" s="2" t="inlineStr"/>
    </row>
    <row r="1408" ht="15" customHeight="1">
      <c r="A1408" t="inlineStr">
        <is>
          <t>A 60942-2024</t>
        </is>
      </c>
      <c r="B1408" t="inlineStr">
        <is>
          <t>avverkningsanmälan</t>
        </is>
      </c>
      <c r="C1408" t="inlineStr">
        <is>
          <t>Föryngringsavverkning</t>
        </is>
      </c>
      <c r="D1408" s="1" t="n">
        <v>45645</v>
      </c>
      <c r="E1408" s="1" t="n">
        <v>46272</v>
      </c>
      <c r="F1408" t="inlineStr">
        <is>
          <t>GÄVLEBORGS LÄN</t>
        </is>
      </c>
      <c r="G1408" t="inlineStr">
        <is>
          <t>HUDIKSVALL</t>
        </is>
      </c>
      <c r="I1408" t="n">
        <v>2.2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t="n">
        <v>0</v>
      </c>
      <c r="S1408" t="n">
        <v>0</v>
      </c>
      <c r="T1408" t="n">
        <v>0</v>
      </c>
      <c r="U1408" t="n">
        <v>0</v>
      </c>
      <c r="V1408" s="2" t="inlineStr"/>
    </row>
    <row r="1409" ht="15" customHeight="1">
      <c r="A1409" t="inlineStr">
        <is>
          <t>A 57967-2022</t>
        </is>
      </c>
      <c r="B1409" t="inlineStr">
        <is>
          <t>avverkningsanmälan</t>
        </is>
      </c>
      <c r="C1409" t="inlineStr">
        <is>
          <t>Föryngringsavverkning</t>
        </is>
      </c>
      <c r="D1409" s="1" t="n">
        <v>44900</v>
      </c>
      <c r="E1409" s="1" t="n">
        <v>46272</v>
      </c>
      <c r="F1409" t="inlineStr">
        <is>
          <t>GÄVLEBORGS LÄN</t>
        </is>
      </c>
      <c r="G1409" t="inlineStr">
        <is>
          <t>HUDIKSVALL</t>
        </is>
      </c>
      <c r="H1409" t="inlineStr">
        <is>
          <t>Holmen skog AB</t>
        </is>
      </c>
      <c r="I1409" t="n">
        <v>7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t="n">
        <v>0</v>
      </c>
      <c r="S1409" t="n">
        <v>0</v>
      </c>
      <c r="T1409" t="n">
        <v>0</v>
      </c>
      <c r="U1409" t="n">
        <v>0</v>
      </c>
      <c r="V1409" s="2" t="inlineStr"/>
    </row>
    <row r="1410" ht="15" customHeight="1">
      <c r="A1410" t="inlineStr">
        <is>
          <t>A 34757-2023</t>
        </is>
      </c>
      <c r="B1410" t="inlineStr">
        <is>
          <t>avverkningsanmälan</t>
        </is>
      </c>
      <c r="C1410" t="inlineStr">
        <is>
          <t>Föryngringsavverkning</t>
        </is>
      </c>
      <c r="D1410" s="1" t="n">
        <v>45141</v>
      </c>
      <c r="E1410" s="1" t="n">
        <v>46272</v>
      </c>
      <c r="F1410" t="inlineStr">
        <is>
          <t>GÄVLEBORGS LÄN</t>
        </is>
      </c>
      <c r="G1410" t="inlineStr">
        <is>
          <t>HUDIKSVALL</t>
        </is>
      </c>
      <c r="I1410" t="n">
        <v>2.2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t="n">
        <v>0</v>
      </c>
      <c r="S1410" t="n">
        <v>0</v>
      </c>
      <c r="T1410" t="n">
        <v>0</v>
      </c>
      <c r="U1410" t="n">
        <v>0</v>
      </c>
      <c r="V1410" s="2" t="inlineStr"/>
    </row>
    <row r="1411" ht="15" customHeight="1">
      <c r="A1411" t="inlineStr">
        <is>
          <t>A 28853-2024</t>
        </is>
      </c>
      <c r="B1411" t="inlineStr">
        <is>
          <t>avverkningsanmälan</t>
        </is>
      </c>
      <c r="C1411" t="inlineStr">
        <is>
          <t>Föryngringsavverkning</t>
        </is>
      </c>
      <c r="D1411" s="1" t="n">
        <v>45478</v>
      </c>
      <c r="E1411" s="1" t="n">
        <v>46272</v>
      </c>
      <c r="F1411" t="inlineStr">
        <is>
          <t>GÄVLEBORGS LÄN</t>
        </is>
      </c>
      <c r="G1411" t="inlineStr">
        <is>
          <t>HUDIKSVALL</t>
        </is>
      </c>
      <c r="H1411" t="inlineStr">
        <is>
          <t>Holmen skog AB</t>
        </is>
      </c>
      <c r="I1411" t="n">
        <v>1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t="n">
        <v>0</v>
      </c>
      <c r="S1411" t="n">
        <v>0</v>
      </c>
      <c r="T1411" t="n">
        <v>0</v>
      </c>
      <c r="U1411" t="n">
        <v>0</v>
      </c>
      <c r="V1411" s="2" t="inlineStr"/>
    </row>
    <row r="1412" ht="15" customHeight="1">
      <c r="A1412" t="inlineStr">
        <is>
          <t>A 27302-2023</t>
        </is>
      </c>
      <c r="B1412" t="inlineStr">
        <is>
          <t>avverkningsanmälan</t>
        </is>
      </c>
      <c r="C1412" t="inlineStr">
        <is>
          <t>Föryngringsavverkning</t>
        </is>
      </c>
      <c r="D1412" s="1" t="n">
        <v>45096</v>
      </c>
      <c r="E1412" s="1" t="n">
        <v>46272</v>
      </c>
      <c r="F1412" t="inlineStr">
        <is>
          <t>GÄVLEBORGS LÄN</t>
        </is>
      </c>
      <c r="G1412" t="inlineStr">
        <is>
          <t>HUDIKSVALL</t>
        </is>
      </c>
      <c r="I1412" t="n">
        <v>1.2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t="n">
        <v>0</v>
      </c>
      <c r="S1412" t="n">
        <v>0</v>
      </c>
      <c r="T1412" t="n">
        <v>0</v>
      </c>
      <c r="U1412" t="n">
        <v>0</v>
      </c>
      <c r="V1412" s="2" t="inlineStr"/>
    </row>
    <row r="1413" ht="15" customHeight="1">
      <c r="A1413" t="inlineStr">
        <is>
          <t>A 29554-2026</t>
        </is>
      </c>
      <c r="B1413" t="inlineStr">
        <is>
          <t>avverkningsanmälan</t>
        </is>
      </c>
      <c r="C1413" t="inlineStr">
        <is>
          <t>Föryngringsavverkning</t>
        </is>
      </c>
      <c r="D1413" s="1" t="n">
        <v>46204</v>
      </c>
      <c r="E1413" s="1" t="n">
        <v>46272</v>
      </c>
      <c r="F1413" t="inlineStr">
        <is>
          <t>GÄVLEBORGS LÄN</t>
        </is>
      </c>
      <c r="G1413" t="inlineStr">
        <is>
          <t>HUDIKSVALL</t>
        </is>
      </c>
      <c r="H1413" t="inlineStr">
        <is>
          <t>Holmen skog AB</t>
        </is>
      </c>
      <c r="I1413" t="n">
        <v>9.800000000000001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t="n">
        <v>0</v>
      </c>
      <c r="S1413" t="n">
        <v>0</v>
      </c>
      <c r="T1413" t="n">
        <v>0</v>
      </c>
      <c r="U1413" t="n">
        <v>0</v>
      </c>
      <c r="V1413" s="2" t="inlineStr"/>
    </row>
    <row r="1414" ht="15" customHeight="1">
      <c r="A1414" t="inlineStr">
        <is>
          <t>A 52656-2024</t>
        </is>
      </c>
      <c r="B1414" t="inlineStr">
        <is>
          <t>avverkningsanmälan</t>
        </is>
      </c>
      <c r="C1414" t="inlineStr">
        <is>
          <t>Föryngringsavverkning</t>
        </is>
      </c>
      <c r="D1414" s="1" t="n">
        <v>45610</v>
      </c>
      <c r="E1414" s="1" t="n">
        <v>46272</v>
      </c>
      <c r="F1414" t="inlineStr">
        <is>
          <t>GÄVLEBORGS LÄN</t>
        </is>
      </c>
      <c r="G1414" t="inlineStr">
        <is>
          <t>HUDIKSVALL</t>
        </is>
      </c>
      <c r="I1414" t="n">
        <v>15.6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t="n">
        <v>0</v>
      </c>
      <c r="S1414" t="n">
        <v>0</v>
      </c>
      <c r="T1414" t="n">
        <v>0</v>
      </c>
      <c r="U1414" t="n">
        <v>0</v>
      </c>
      <c r="V1414" s="2" t="inlineStr"/>
    </row>
    <row r="1415" ht="15" customHeight="1">
      <c r="A1415" t="inlineStr">
        <is>
          <t>A 14700-2024</t>
        </is>
      </c>
      <c r="B1415" t="inlineStr">
        <is>
          <t>avverkningsanmälan</t>
        </is>
      </c>
      <c r="C1415" t="inlineStr">
        <is>
          <t>Föryngringsavverkning</t>
        </is>
      </c>
      <c r="D1415" s="1" t="n">
        <v>45397</v>
      </c>
      <c r="E1415" s="1" t="n">
        <v>46272</v>
      </c>
      <c r="F1415" t="inlineStr">
        <is>
          <t>GÄVLEBORGS LÄN</t>
        </is>
      </c>
      <c r="G1415" t="inlineStr">
        <is>
          <t>HUDIKSVALL</t>
        </is>
      </c>
      <c r="I1415" t="n">
        <v>3.8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t="n">
        <v>0</v>
      </c>
      <c r="S1415" t="n">
        <v>0</v>
      </c>
      <c r="T1415" t="n">
        <v>0</v>
      </c>
      <c r="U1415" t="n">
        <v>0</v>
      </c>
      <c r="V1415" s="2" t="inlineStr"/>
    </row>
    <row r="1416" ht="15" customHeight="1">
      <c r="A1416" t="inlineStr">
        <is>
          <t>A 7538-2025</t>
        </is>
      </c>
      <c r="B1416" t="inlineStr">
        <is>
          <t>avverkningsanmälan</t>
        </is>
      </c>
      <c r="C1416" t="inlineStr">
        <is>
          <t>Föryngringsavverkning</t>
        </is>
      </c>
      <c r="D1416" s="1" t="n">
        <v>45705</v>
      </c>
      <c r="E1416" s="1" t="n">
        <v>46272</v>
      </c>
      <c r="F1416" t="inlineStr">
        <is>
          <t>GÄVLEBORGS LÄN</t>
        </is>
      </c>
      <c r="G1416" t="inlineStr">
        <is>
          <t>HUDIKSVALL</t>
        </is>
      </c>
      <c r="H1416" t="inlineStr">
        <is>
          <t>Holmen skog AB</t>
        </is>
      </c>
      <c r="I1416" t="n">
        <v>2.9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t="n">
        <v>0</v>
      </c>
      <c r="S1416" t="n">
        <v>0</v>
      </c>
      <c r="T1416" t="n">
        <v>0</v>
      </c>
      <c r="U1416" t="n">
        <v>0</v>
      </c>
      <c r="V1416" s="2" t="inlineStr"/>
    </row>
    <row r="1417" ht="15" customHeight="1">
      <c r="A1417" t="inlineStr">
        <is>
          <t>A 33247-2026</t>
        </is>
      </c>
      <c r="B1417" t="inlineStr">
        <is>
          <t>avverkningsanmälan</t>
        </is>
      </c>
      <c r="C1417" t="inlineStr">
        <is>
          <t>Föryngringsavverkning</t>
        </is>
      </c>
      <c r="D1417" s="1" t="n">
        <v>46246</v>
      </c>
      <c r="E1417" s="1" t="n">
        <v>46272</v>
      </c>
      <c r="F1417" t="inlineStr">
        <is>
          <t>GÄVLEBORGS LÄN</t>
        </is>
      </c>
      <c r="G1417" t="inlineStr">
        <is>
          <t>HUDIKSVALL</t>
        </is>
      </c>
      <c r="H1417" t="inlineStr">
        <is>
          <t>Holmen skog AB</t>
        </is>
      </c>
      <c r="I1417" t="n">
        <v>12.3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t="n">
        <v>0</v>
      </c>
      <c r="S1417" t="n">
        <v>0</v>
      </c>
      <c r="T1417" t="n">
        <v>0</v>
      </c>
      <c r="U1417" t="n">
        <v>0</v>
      </c>
      <c r="V1417" s="2" t="inlineStr"/>
    </row>
    <row r="1418" ht="15" customHeight="1">
      <c r="A1418" t="inlineStr">
        <is>
          <t>A 33313-2026</t>
        </is>
      </c>
      <c r="B1418" t="inlineStr">
        <is>
          <t>avverkningsanmälan</t>
        </is>
      </c>
      <c r="C1418" t="inlineStr">
        <is>
          <t>Föryngringsavverkning</t>
        </is>
      </c>
      <c r="D1418" s="1" t="n">
        <v>46246</v>
      </c>
      <c r="E1418" s="1" t="n">
        <v>46272</v>
      </c>
      <c r="F1418" t="inlineStr">
        <is>
          <t>GÄVLEBORGS LÄN</t>
        </is>
      </c>
      <c r="G1418" t="inlineStr">
        <is>
          <t>HUDIKSVALL</t>
        </is>
      </c>
      <c r="I1418" t="n">
        <v>0.7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t="n">
        <v>0</v>
      </c>
      <c r="S1418" t="n">
        <v>0</v>
      </c>
      <c r="T1418" t="n">
        <v>0</v>
      </c>
      <c r="U1418" t="n">
        <v>0</v>
      </c>
      <c r="V1418" s="2" t="inlineStr"/>
    </row>
    <row r="1419" ht="15" customHeight="1">
      <c r="A1419" t="inlineStr">
        <is>
          <t>A 18997-2025</t>
        </is>
      </c>
      <c r="B1419" t="inlineStr">
        <is>
          <t>avverkningsanmälan</t>
        </is>
      </c>
      <c r="C1419" t="inlineStr">
        <is>
          <t>Föryngringsavverkning</t>
        </is>
      </c>
      <c r="D1419" s="1" t="n">
        <v>45764</v>
      </c>
      <c r="E1419" s="1" t="n">
        <v>46272</v>
      </c>
      <c r="F1419" t="inlineStr">
        <is>
          <t>GÄVLEBORGS LÄN</t>
        </is>
      </c>
      <c r="G1419" t="inlineStr">
        <is>
          <t>HUDIKSVALL</t>
        </is>
      </c>
      <c r="H1419" t="inlineStr">
        <is>
          <t>Holmen skog AB</t>
        </is>
      </c>
      <c r="I1419" t="n">
        <v>3.5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t="n">
        <v>0</v>
      </c>
      <c r="S1419" t="n">
        <v>0</v>
      </c>
      <c r="T1419" t="n">
        <v>0</v>
      </c>
      <c r="U1419" t="n">
        <v>0</v>
      </c>
      <c r="V1419" s="2" t="inlineStr"/>
    </row>
    <row r="1420" ht="15" customHeight="1">
      <c r="A1420" t="inlineStr">
        <is>
          <t>A 28326-2026</t>
        </is>
      </c>
      <c r="B1420" t="inlineStr">
        <is>
          <t>avverkningsanmälan</t>
        </is>
      </c>
      <c r="C1420" t="inlineStr">
        <is>
          <t>Föryngringsavverkning</t>
        </is>
      </c>
      <c r="D1420" s="1" t="n">
        <v>46196</v>
      </c>
      <c r="E1420" s="1" t="n">
        <v>46272</v>
      </c>
      <c r="F1420" t="inlineStr">
        <is>
          <t>GÄVLEBORGS LÄN</t>
        </is>
      </c>
      <c r="G1420" t="inlineStr">
        <is>
          <t>HUDIKSVALL</t>
        </is>
      </c>
      <c r="H1420" t="inlineStr">
        <is>
          <t>Holmen skog AB</t>
        </is>
      </c>
      <c r="I1420" t="n">
        <v>34.6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t="n">
        <v>0</v>
      </c>
      <c r="S1420" t="n">
        <v>0</v>
      </c>
      <c r="T1420" t="n">
        <v>0</v>
      </c>
      <c r="U1420" t="n">
        <v>0</v>
      </c>
      <c r="V1420" s="2" t="inlineStr"/>
    </row>
    <row r="1421" ht="15" customHeight="1">
      <c r="A1421" t="inlineStr">
        <is>
          <t>A 33270-2026</t>
        </is>
      </c>
      <c r="B1421" t="inlineStr">
        <is>
          <t>avverkningsanmälan</t>
        </is>
      </c>
      <c r="C1421" t="inlineStr">
        <is>
          <t>Föryngringsavverkning</t>
        </is>
      </c>
      <c r="D1421" s="1" t="n">
        <v>46246</v>
      </c>
      <c r="E1421" s="1" t="n">
        <v>46272</v>
      </c>
      <c r="F1421" t="inlineStr">
        <is>
          <t>GÄVLEBORGS LÄN</t>
        </is>
      </c>
      <c r="G1421" t="inlineStr">
        <is>
          <t>HUDIKSVALL</t>
        </is>
      </c>
      <c r="H1421" t="inlineStr">
        <is>
          <t>Holmen skog AB</t>
        </is>
      </c>
      <c r="I1421" t="n">
        <v>5.3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t="n">
        <v>0</v>
      </c>
      <c r="S1421" t="n">
        <v>0</v>
      </c>
      <c r="T1421" t="n">
        <v>0</v>
      </c>
      <c r="U1421" t="n">
        <v>0</v>
      </c>
      <c r="V1421" s="2" t="inlineStr"/>
    </row>
    <row r="1422" ht="15" customHeight="1">
      <c r="A1422" t="inlineStr">
        <is>
          <t>A 29574-2026</t>
        </is>
      </c>
      <c r="B1422" t="inlineStr">
        <is>
          <t>avverkningsanmälan</t>
        </is>
      </c>
      <c r="C1422" t="inlineStr">
        <is>
          <t>Föryngringsavverkning</t>
        </is>
      </c>
      <c r="D1422" s="1" t="n">
        <v>46204</v>
      </c>
      <c r="E1422" s="1" t="n">
        <v>46272</v>
      </c>
      <c r="F1422" t="inlineStr">
        <is>
          <t>GÄVLEBORGS LÄN</t>
        </is>
      </c>
      <c r="G1422" t="inlineStr">
        <is>
          <t>HUDIKSVALL</t>
        </is>
      </c>
      <c r="H1422" t="inlineStr">
        <is>
          <t>Holmen skog AB</t>
        </is>
      </c>
      <c r="I1422" t="n">
        <v>6.5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t="n">
        <v>0</v>
      </c>
      <c r="S1422" t="n">
        <v>0</v>
      </c>
      <c r="T1422" t="n">
        <v>0</v>
      </c>
      <c r="U1422" t="n">
        <v>0</v>
      </c>
      <c r="V1422" s="2" t="inlineStr"/>
    </row>
    <row r="1423" ht="15" customHeight="1">
      <c r="A1423" t="inlineStr">
        <is>
          <t>A 47149-2024</t>
        </is>
      </c>
      <c r="B1423" t="inlineStr">
        <is>
          <t>avverkningsanmälan</t>
        </is>
      </c>
      <c r="C1423" t="inlineStr">
        <is>
          <t>Föryngringsavverkning</t>
        </is>
      </c>
      <c r="D1423" s="1" t="n">
        <v>45586</v>
      </c>
      <c r="E1423" s="1" t="n">
        <v>46272</v>
      </c>
      <c r="F1423" t="inlineStr">
        <is>
          <t>GÄVLEBORGS LÄN</t>
        </is>
      </c>
      <c r="G1423" t="inlineStr">
        <is>
          <t>HUDIKSVALL</t>
        </is>
      </c>
      <c r="I1423" t="n">
        <v>0.8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t="n">
        <v>0</v>
      </c>
      <c r="S1423" t="n">
        <v>0</v>
      </c>
      <c r="T1423" t="n">
        <v>0</v>
      </c>
      <c r="U1423" t="n">
        <v>0</v>
      </c>
      <c r="V1423" s="2" t="inlineStr"/>
    </row>
    <row r="1424" ht="15" customHeight="1">
      <c r="A1424" t="inlineStr">
        <is>
          <t>A 33708-2026</t>
        </is>
      </c>
      <c r="B1424" t="inlineStr">
        <is>
          <t>avverkningsanmälan</t>
        </is>
      </c>
      <c r="C1424" t="inlineStr">
        <is>
          <t>Föryngringsavverkning</t>
        </is>
      </c>
      <c r="D1424" s="1" t="n">
        <v>46251</v>
      </c>
      <c r="E1424" s="1" t="n">
        <v>46272</v>
      </c>
      <c r="F1424" t="inlineStr">
        <is>
          <t>GÄVLEBORGS LÄN</t>
        </is>
      </c>
      <c r="G1424" t="inlineStr">
        <is>
          <t>HUDIKSVALL</t>
        </is>
      </c>
      <c r="I1424" t="n">
        <v>3.5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t="n">
        <v>0</v>
      </c>
      <c r="S1424" t="n">
        <v>0</v>
      </c>
      <c r="T1424" t="n">
        <v>0</v>
      </c>
      <c r="U1424" t="n">
        <v>0</v>
      </c>
      <c r="V1424" s="2" t="inlineStr"/>
    </row>
    <row r="1425" ht="15" customHeight="1">
      <c r="A1425" t="inlineStr">
        <is>
          <t>A 29790-2026</t>
        </is>
      </c>
      <c r="B1425" t="inlineStr">
        <is>
          <t>avverkningsanmälan</t>
        </is>
      </c>
      <c r="C1425" t="inlineStr">
        <is>
          <t>Föryngringsavverkning</t>
        </is>
      </c>
      <c r="D1425" s="1" t="n">
        <v>46205</v>
      </c>
      <c r="E1425" s="1" t="n">
        <v>46272</v>
      </c>
      <c r="F1425" t="inlineStr">
        <is>
          <t>GÄVLEBORGS LÄN</t>
        </is>
      </c>
      <c r="G1425" t="inlineStr">
        <is>
          <t>HUDIKSVALL</t>
        </is>
      </c>
      <c r="I1425" t="n">
        <v>6.2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t="n">
        <v>0</v>
      </c>
      <c r="S1425" t="n">
        <v>0</v>
      </c>
      <c r="T1425" t="n">
        <v>0</v>
      </c>
      <c r="U1425" t="n">
        <v>0</v>
      </c>
      <c r="V1425" s="2" t="inlineStr"/>
    </row>
    <row r="1426" ht="15" customHeight="1">
      <c r="A1426" t="inlineStr">
        <is>
          <t>A 10159-2025</t>
        </is>
      </c>
      <c r="B1426" t="inlineStr">
        <is>
          <t>avverkningsanmälan</t>
        </is>
      </c>
      <c r="C1426" t="inlineStr">
        <is>
          <t>Föryngringsavverkning</t>
        </is>
      </c>
      <c r="D1426" s="1" t="n">
        <v>45719</v>
      </c>
      <c r="E1426" s="1" t="n">
        <v>46272</v>
      </c>
      <c r="F1426" t="inlineStr">
        <is>
          <t>GÄVLEBORGS LÄN</t>
        </is>
      </c>
      <c r="G1426" t="inlineStr">
        <is>
          <t>HUDIKSVALL</t>
        </is>
      </c>
      <c r="H1426" t="inlineStr">
        <is>
          <t>Kommuner</t>
        </is>
      </c>
      <c r="I1426" t="n">
        <v>1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t="n">
        <v>0</v>
      </c>
      <c r="S1426" t="n">
        <v>0</v>
      </c>
      <c r="T1426" t="n">
        <v>0</v>
      </c>
      <c r="U1426" t="n">
        <v>0</v>
      </c>
      <c r="V1426" s="2" t="inlineStr"/>
    </row>
    <row r="1427" ht="15" customHeight="1">
      <c r="A1427" t="inlineStr">
        <is>
          <t>A 30697-2024</t>
        </is>
      </c>
      <c r="B1427" t="inlineStr">
        <is>
          <t>avverkningsanmälan</t>
        </is>
      </c>
      <c r="C1427" t="inlineStr">
        <is>
          <t>Föryngringsavverkning</t>
        </is>
      </c>
      <c r="D1427" s="1" t="n">
        <v>45496</v>
      </c>
      <c r="E1427" s="1" t="n">
        <v>46272</v>
      </c>
      <c r="F1427" t="inlineStr">
        <is>
          <t>GÄVLEBORGS LÄN</t>
        </is>
      </c>
      <c r="G1427" t="inlineStr">
        <is>
          <t>HUDIKSVALL</t>
        </is>
      </c>
      <c r="I1427" t="n">
        <v>2.9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t="n">
        <v>0</v>
      </c>
      <c r="S1427" t="n">
        <v>0</v>
      </c>
      <c r="T1427" t="n">
        <v>0</v>
      </c>
      <c r="U1427" t="n">
        <v>0</v>
      </c>
      <c r="V1427" s="2" t="inlineStr"/>
    </row>
    <row r="1428" ht="15" customHeight="1">
      <c r="A1428" t="inlineStr">
        <is>
          <t>A 22945-2023</t>
        </is>
      </c>
      <c r="B1428" t="inlineStr">
        <is>
          <t>avverkningsanmälan</t>
        </is>
      </c>
      <c r="C1428" t="inlineStr">
        <is>
          <t>Föryngringsavverkning</t>
        </is>
      </c>
      <c r="D1428" s="1" t="n">
        <v>45072</v>
      </c>
      <c r="E1428" s="1" t="n">
        <v>46272</v>
      </c>
      <c r="F1428" t="inlineStr">
        <is>
          <t>GÄVLEBORGS LÄN</t>
        </is>
      </c>
      <c r="G1428" t="inlineStr">
        <is>
          <t>HUDIKSVALL</t>
        </is>
      </c>
      <c r="I1428" t="n">
        <v>1.4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t="n">
        <v>0</v>
      </c>
      <c r="S1428" t="n">
        <v>0</v>
      </c>
      <c r="T1428" t="n">
        <v>0</v>
      </c>
      <c r="U1428" t="n">
        <v>0</v>
      </c>
      <c r="V1428" s="2" t="inlineStr"/>
    </row>
    <row r="1429" ht="15" customHeight="1">
      <c r="A1429" t="inlineStr">
        <is>
          <t>A 54126-2021</t>
        </is>
      </c>
      <c r="B1429" t="inlineStr">
        <is>
          <t>avverkningsanmälan</t>
        </is>
      </c>
      <c r="C1429" t="inlineStr">
        <is>
          <t>Föryngringsavverkning</t>
        </is>
      </c>
      <c r="D1429" s="1" t="n">
        <v>44470</v>
      </c>
      <c r="E1429" s="1" t="n">
        <v>46272</v>
      </c>
      <c r="F1429" t="inlineStr">
        <is>
          <t>GÄVLEBORGS LÄN</t>
        </is>
      </c>
      <c r="G1429" t="inlineStr">
        <is>
          <t>HUDIKSVALL</t>
        </is>
      </c>
      <c r="I1429" t="n">
        <v>7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t="n">
        <v>0</v>
      </c>
      <c r="S1429" t="n">
        <v>0</v>
      </c>
      <c r="T1429" t="n">
        <v>0</v>
      </c>
      <c r="U1429" t="n">
        <v>0</v>
      </c>
      <c r="V1429" s="2" t="inlineStr"/>
    </row>
    <row r="1430" ht="15" customHeight="1">
      <c r="A1430" t="inlineStr">
        <is>
          <t>A 57871-2023</t>
        </is>
      </c>
      <c r="B1430" t="inlineStr">
        <is>
          <t>avverkningsanmälan</t>
        </is>
      </c>
      <c r="C1430" t="inlineStr">
        <is>
          <t>Föryngringsavverkning</t>
        </is>
      </c>
      <c r="D1430" s="1" t="n">
        <v>45247</v>
      </c>
      <c r="E1430" s="1" t="n">
        <v>46272</v>
      </c>
      <c r="F1430" t="inlineStr">
        <is>
          <t>GÄVLEBORGS LÄN</t>
        </is>
      </c>
      <c r="G1430" t="inlineStr">
        <is>
          <t>HUDIKSVALL</t>
        </is>
      </c>
      <c r="H1430" t="inlineStr">
        <is>
          <t>Holmen skog AB</t>
        </is>
      </c>
      <c r="I1430" t="n">
        <v>2.3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t="n">
        <v>0</v>
      </c>
      <c r="S1430" t="n">
        <v>0</v>
      </c>
      <c r="T1430" t="n">
        <v>0</v>
      </c>
      <c r="U1430" t="n">
        <v>0</v>
      </c>
      <c r="V1430" s="2" t="inlineStr"/>
    </row>
    <row r="1431" ht="15" customHeight="1">
      <c r="A1431" t="inlineStr">
        <is>
          <t>A 29801-2026</t>
        </is>
      </c>
      <c r="B1431" t="inlineStr">
        <is>
          <t>avverkningsanmälan</t>
        </is>
      </c>
      <c r="C1431" t="inlineStr">
        <is>
          <t>Föryngringsavverkning</t>
        </is>
      </c>
      <c r="D1431" s="1" t="n">
        <v>46205</v>
      </c>
      <c r="E1431" s="1" t="n">
        <v>46272</v>
      </c>
      <c r="F1431" t="inlineStr">
        <is>
          <t>GÄVLEBORGS LÄN</t>
        </is>
      </c>
      <c r="G1431" t="inlineStr">
        <is>
          <t>HUDIKSVALL</t>
        </is>
      </c>
      <c r="I1431" t="n">
        <v>1.7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t="n">
        <v>0</v>
      </c>
      <c r="S1431" t="n">
        <v>0</v>
      </c>
      <c r="T1431" t="n">
        <v>0</v>
      </c>
      <c r="U1431" t="n">
        <v>0</v>
      </c>
      <c r="V1431" s="2" t="inlineStr"/>
    </row>
    <row r="1432" ht="15" customHeight="1">
      <c r="A1432" t="inlineStr">
        <is>
          <t>A 33572-2026</t>
        </is>
      </c>
      <c r="B1432" t="inlineStr">
        <is>
          <t>avverkningsanmälan</t>
        </is>
      </c>
      <c r="C1432" t="inlineStr">
        <is>
          <t>Föryngringsavverkning</t>
        </is>
      </c>
      <c r="D1432" s="1" t="n">
        <v>46248</v>
      </c>
      <c r="E1432" s="1" t="n">
        <v>46272</v>
      </c>
      <c r="F1432" t="inlineStr">
        <is>
          <t>GÄVLEBORGS LÄN</t>
        </is>
      </c>
      <c r="G1432" t="inlineStr">
        <is>
          <t>HUDIKSVALL</t>
        </is>
      </c>
      <c r="H1432" t="inlineStr">
        <is>
          <t>Naturvårdsverket</t>
        </is>
      </c>
      <c r="I1432" t="n">
        <v>1.8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t="n">
        <v>0</v>
      </c>
      <c r="S1432" t="n">
        <v>0</v>
      </c>
      <c r="T1432" t="n">
        <v>0</v>
      </c>
      <c r="U1432" t="n">
        <v>0</v>
      </c>
      <c r="V1432" s="2" t="inlineStr"/>
    </row>
    <row r="1433" ht="15" customHeight="1">
      <c r="A1433" t="inlineStr">
        <is>
          <t>A 9905-2024</t>
        </is>
      </c>
      <c r="B1433" t="inlineStr">
        <is>
          <t>avverkningsanmälan</t>
        </is>
      </c>
      <c r="C1433" t="inlineStr">
        <is>
          <t>Föryngringsavverkning</t>
        </is>
      </c>
      <c r="D1433" s="1" t="n">
        <v>45363</v>
      </c>
      <c r="E1433" s="1" t="n">
        <v>46272</v>
      </c>
      <c r="F1433" t="inlineStr">
        <is>
          <t>GÄVLEBORGS LÄN</t>
        </is>
      </c>
      <c r="G1433" t="inlineStr">
        <is>
          <t>HUDIKSVALL</t>
        </is>
      </c>
      <c r="H1433" t="inlineStr">
        <is>
          <t>Holmen skog AB</t>
        </is>
      </c>
      <c r="I1433" t="n">
        <v>16.5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t="n">
        <v>0</v>
      </c>
      <c r="S1433" t="n">
        <v>0</v>
      </c>
      <c r="T1433" t="n">
        <v>0</v>
      </c>
      <c r="U1433" t="n">
        <v>0</v>
      </c>
      <c r="V1433" s="2" t="inlineStr"/>
    </row>
    <row r="1434" ht="15" customHeight="1">
      <c r="A1434" t="inlineStr">
        <is>
          <t>A 33826-2026</t>
        </is>
      </c>
      <c r="B1434" t="inlineStr">
        <is>
          <t>avverkningsanmälan</t>
        </is>
      </c>
      <c r="C1434" t="inlineStr">
        <is>
          <t>Föryngringsavverkning</t>
        </is>
      </c>
      <c r="D1434" s="1" t="n">
        <v>46251</v>
      </c>
      <c r="E1434" s="1" t="n">
        <v>46272</v>
      </c>
      <c r="F1434" t="inlineStr">
        <is>
          <t>GÄVLEBORGS LÄN</t>
        </is>
      </c>
      <c r="G1434" t="inlineStr">
        <is>
          <t>HUDIKSVALL</t>
        </is>
      </c>
      <c r="I1434" t="n">
        <v>1.1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t="n">
        <v>0</v>
      </c>
      <c r="S1434" t="n">
        <v>0</v>
      </c>
      <c r="T1434" t="n">
        <v>0</v>
      </c>
      <c r="U1434" t="n">
        <v>0</v>
      </c>
      <c r="V1434" s="2" t="inlineStr"/>
    </row>
    <row r="1435" ht="15" customHeight="1">
      <c r="A1435" t="inlineStr">
        <is>
          <t>A 12545-2024</t>
        </is>
      </c>
      <c r="B1435" t="inlineStr">
        <is>
          <t>avverkningsanmälan</t>
        </is>
      </c>
      <c r="C1435" t="inlineStr">
        <is>
          <t>Avverkning för annat ändamål</t>
        </is>
      </c>
      <c r="D1435" s="1" t="n">
        <v>45379</v>
      </c>
      <c r="E1435" s="1" t="n">
        <v>46272</v>
      </c>
      <c r="F1435" t="inlineStr">
        <is>
          <t>GÄVLEBORGS LÄN</t>
        </is>
      </c>
      <c r="G1435" t="inlineStr">
        <is>
          <t>HUDIKSVALL</t>
        </is>
      </c>
      <c r="I1435" t="n">
        <v>2.6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t="n">
        <v>0</v>
      </c>
      <c r="S1435" t="n">
        <v>0</v>
      </c>
      <c r="T1435" t="n">
        <v>0</v>
      </c>
      <c r="U1435" t="n">
        <v>0</v>
      </c>
      <c r="V1435" s="2" t="inlineStr"/>
    </row>
    <row r="1436" ht="15" customHeight="1">
      <c r="A1436" t="inlineStr">
        <is>
          <t>A 72899-2021</t>
        </is>
      </c>
      <c r="B1436" t="inlineStr">
        <is>
          <t>avverkningsanmälan</t>
        </is>
      </c>
      <c r="C1436" t="inlineStr">
        <is>
          <t>Föryngringsavverkning</t>
        </is>
      </c>
      <c r="D1436" s="1" t="n">
        <v>44547</v>
      </c>
      <c r="E1436" s="1" t="n">
        <v>46272</v>
      </c>
      <c r="F1436" t="inlineStr">
        <is>
          <t>GÄVLEBORGS LÄN</t>
        </is>
      </c>
      <c r="G1436" t="inlineStr">
        <is>
          <t>HUDIKSVALL</t>
        </is>
      </c>
      <c r="I1436" t="n">
        <v>1.1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t="n">
        <v>0</v>
      </c>
      <c r="S1436" t="n">
        <v>0</v>
      </c>
      <c r="T1436" t="n">
        <v>0</v>
      </c>
      <c r="U1436" t="n">
        <v>0</v>
      </c>
      <c r="V1436" s="2" t="inlineStr"/>
    </row>
    <row r="1437" ht="15" customHeight="1">
      <c r="A1437" t="inlineStr">
        <is>
          <t>A 33545-2026</t>
        </is>
      </c>
      <c r="B1437" t="inlineStr">
        <is>
          <t>avverkningsanmälan</t>
        </is>
      </c>
      <c r="C1437" t="inlineStr">
        <is>
          <t>Föryngringsavverkning</t>
        </is>
      </c>
      <c r="D1437" s="1" t="n">
        <v>46248</v>
      </c>
      <c r="E1437" s="1" t="n">
        <v>46272</v>
      </c>
      <c r="F1437" t="inlineStr">
        <is>
          <t>GÄVLEBORGS LÄN</t>
        </is>
      </c>
      <c r="G1437" t="inlineStr">
        <is>
          <t>HUDIKSVALL</t>
        </is>
      </c>
      <c r="H1437" t="inlineStr">
        <is>
          <t>Holmen skog AB</t>
        </is>
      </c>
      <c r="I1437" t="n">
        <v>1.2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t="n">
        <v>0</v>
      </c>
      <c r="S1437" t="n">
        <v>0</v>
      </c>
      <c r="T1437" t="n">
        <v>0</v>
      </c>
      <c r="U1437" t="n">
        <v>0</v>
      </c>
      <c r="V1437" s="2" t="inlineStr"/>
    </row>
    <row r="1438" ht="15" customHeight="1">
      <c r="A1438" t="inlineStr">
        <is>
          <t>A 50242-2024</t>
        </is>
      </c>
      <c r="B1438" t="inlineStr">
        <is>
          <t>avverkningsanmälan</t>
        </is>
      </c>
      <c r="C1438" t="inlineStr">
        <is>
          <t>Föryngringsavverkning</t>
        </is>
      </c>
      <c r="D1438" s="1" t="n">
        <v>45600</v>
      </c>
      <c r="E1438" s="1" t="n">
        <v>46272</v>
      </c>
      <c r="F1438" t="inlineStr">
        <is>
          <t>GÄVLEBORGS LÄN</t>
        </is>
      </c>
      <c r="G1438" t="inlineStr">
        <is>
          <t>HUDIKSVALL</t>
        </is>
      </c>
      <c r="I1438" t="n">
        <v>3.9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t="n">
        <v>0</v>
      </c>
      <c r="S1438" t="n">
        <v>0</v>
      </c>
      <c r="T1438" t="n">
        <v>0</v>
      </c>
      <c r="U1438" t="n">
        <v>0</v>
      </c>
      <c r="V1438" s="2" t="inlineStr"/>
    </row>
    <row r="1439" ht="15" customHeight="1">
      <c r="A1439" t="inlineStr">
        <is>
          <t>A 35679-2023</t>
        </is>
      </c>
      <c r="B1439" t="inlineStr">
        <is>
          <t>avverkningsanmälan</t>
        </is>
      </c>
      <c r="C1439" t="inlineStr">
        <is>
          <t>Föryngringsavverkning</t>
        </is>
      </c>
      <c r="D1439" s="1" t="n">
        <v>45147</v>
      </c>
      <c r="E1439" s="1" t="n">
        <v>46272</v>
      </c>
      <c r="F1439" t="inlineStr">
        <is>
          <t>GÄVLEBORGS LÄN</t>
        </is>
      </c>
      <c r="G1439" t="inlineStr">
        <is>
          <t>HUDIKSVALL</t>
        </is>
      </c>
      <c r="H1439" t="inlineStr">
        <is>
          <t>Holmen skog AB</t>
        </is>
      </c>
      <c r="I1439" t="n">
        <v>6.5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t="n">
        <v>0</v>
      </c>
      <c r="S1439" t="n">
        <v>0</v>
      </c>
      <c r="T1439" t="n">
        <v>0</v>
      </c>
      <c r="U1439" t="n">
        <v>0</v>
      </c>
      <c r="V1439" s="2" t="inlineStr"/>
    </row>
    <row r="1440" ht="15" customHeight="1">
      <c r="A1440" t="inlineStr">
        <is>
          <t>A 19156-2023</t>
        </is>
      </c>
      <c r="B1440" t="inlineStr">
        <is>
          <t>avverkningsanmälan</t>
        </is>
      </c>
      <c r="C1440" t="inlineStr">
        <is>
          <t>Föryngringsavverkning</t>
        </is>
      </c>
      <c r="D1440" s="1" t="n">
        <v>45048</v>
      </c>
      <c r="E1440" s="1" t="n">
        <v>46272</v>
      </c>
      <c r="F1440" t="inlineStr">
        <is>
          <t>GÄVLEBORGS LÄN</t>
        </is>
      </c>
      <c r="G1440" t="inlineStr">
        <is>
          <t>HUDIKSVALL</t>
        </is>
      </c>
      <c r="I1440" t="n">
        <v>3.7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t="n">
        <v>0</v>
      </c>
      <c r="S1440" t="n">
        <v>0</v>
      </c>
      <c r="T1440" t="n">
        <v>0</v>
      </c>
      <c r="U1440" t="n">
        <v>0</v>
      </c>
      <c r="V1440" s="2" t="inlineStr"/>
    </row>
    <row r="1441" ht="15" customHeight="1">
      <c r="A1441" t="inlineStr">
        <is>
          <t>A 35303-2023</t>
        </is>
      </c>
      <c r="B1441" t="inlineStr">
        <is>
          <t>avverkningsanmälan</t>
        </is>
      </c>
      <c r="C1441" t="inlineStr">
        <is>
          <t>Föryngringsavverkning</t>
        </is>
      </c>
      <c r="D1441" s="1" t="n">
        <v>45146</v>
      </c>
      <c r="E1441" s="1" t="n">
        <v>46272</v>
      </c>
      <c r="F1441" t="inlineStr">
        <is>
          <t>GÄVLEBORGS LÄN</t>
        </is>
      </c>
      <c r="G1441" t="inlineStr">
        <is>
          <t>HUDIKSVALL</t>
        </is>
      </c>
      <c r="H1441" t="inlineStr">
        <is>
          <t>Holmen skog AB</t>
        </is>
      </c>
      <c r="I1441" t="n">
        <v>1.1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t="n">
        <v>0</v>
      </c>
      <c r="S1441" t="n">
        <v>0</v>
      </c>
      <c r="T1441" t="n">
        <v>0</v>
      </c>
      <c r="U1441" t="n">
        <v>0</v>
      </c>
      <c r="V1441" s="2" t="inlineStr"/>
    </row>
    <row r="1442" ht="15" customHeight="1">
      <c r="A1442" t="inlineStr">
        <is>
          <t>A 29797-2026</t>
        </is>
      </c>
      <c r="B1442" t="inlineStr">
        <is>
          <t>avverkningsanmälan</t>
        </is>
      </c>
      <c r="C1442" t="inlineStr">
        <is>
          <t>Föryngringsavverkning</t>
        </is>
      </c>
      <c r="D1442" s="1" t="n">
        <v>46205</v>
      </c>
      <c r="E1442" s="1" t="n">
        <v>46272</v>
      </c>
      <c r="F1442" t="inlineStr">
        <is>
          <t>GÄVLEBORGS LÄN</t>
        </is>
      </c>
      <c r="G1442" t="inlineStr">
        <is>
          <t>HUDIKSVALL</t>
        </is>
      </c>
      <c r="I1442" t="n">
        <v>1.4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t="n">
        <v>0</v>
      </c>
      <c r="S1442" t="n">
        <v>0</v>
      </c>
      <c r="T1442" t="n">
        <v>0</v>
      </c>
      <c r="U1442" t="n">
        <v>0</v>
      </c>
      <c r="V1442" s="2" t="inlineStr"/>
    </row>
    <row r="1443" ht="15" customHeight="1">
      <c r="A1443" t="inlineStr">
        <is>
          <t>A 4428-2025</t>
        </is>
      </c>
      <c r="B1443" t="inlineStr">
        <is>
          <t>avverkningsanmälan</t>
        </is>
      </c>
      <c r="C1443" t="inlineStr">
        <is>
          <t>Föryngringsavverkning</t>
        </is>
      </c>
      <c r="D1443" s="1" t="n">
        <v>45686</v>
      </c>
      <c r="E1443" s="1" t="n">
        <v>46272</v>
      </c>
      <c r="F1443" t="inlineStr">
        <is>
          <t>GÄVLEBORGS LÄN</t>
        </is>
      </c>
      <c r="G1443" t="inlineStr">
        <is>
          <t>HUDIKSVALL</t>
        </is>
      </c>
      <c r="H1443" t="inlineStr">
        <is>
          <t>Holmen skog AB</t>
        </is>
      </c>
      <c r="I1443" t="n">
        <v>3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t="n">
        <v>0</v>
      </c>
      <c r="S1443" t="n">
        <v>0</v>
      </c>
      <c r="T1443" t="n">
        <v>0</v>
      </c>
      <c r="U1443" t="n">
        <v>0</v>
      </c>
      <c r="V1443" s="2" t="inlineStr"/>
    </row>
    <row r="1444" ht="15" customHeight="1">
      <c r="A1444" t="inlineStr">
        <is>
          <t>A 41747-2023</t>
        </is>
      </c>
      <c r="B1444" t="inlineStr">
        <is>
          <t>avverkningsanmälan</t>
        </is>
      </c>
      <c r="C1444" t="inlineStr">
        <is>
          <t>Föryngringsavverkning</t>
        </is>
      </c>
      <c r="D1444" s="1" t="n">
        <v>45176</v>
      </c>
      <c r="E1444" s="1" t="n">
        <v>46272</v>
      </c>
      <c r="F1444" t="inlineStr">
        <is>
          <t>GÄVLEBORGS LÄN</t>
        </is>
      </c>
      <c r="G1444" t="inlineStr">
        <is>
          <t>HUDIKSVALL</t>
        </is>
      </c>
      <c r="H1444" t="inlineStr">
        <is>
          <t>Holmen skog AB</t>
        </is>
      </c>
      <c r="I1444" t="n">
        <v>0.5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t="n">
        <v>0</v>
      </c>
      <c r="S1444" t="n">
        <v>0</v>
      </c>
      <c r="T1444" t="n">
        <v>0</v>
      </c>
      <c r="U1444" t="n">
        <v>0</v>
      </c>
      <c r="V1444" s="2" t="inlineStr"/>
    </row>
    <row r="1445" ht="15" customHeight="1">
      <c r="A1445" t="inlineStr">
        <is>
          <t>A 35201-2024</t>
        </is>
      </c>
      <c r="B1445" t="inlineStr">
        <is>
          <t>avverkningsanmälan</t>
        </is>
      </c>
      <c r="C1445" t="inlineStr">
        <is>
          <t>Föryngringsavverkning</t>
        </is>
      </c>
      <c r="D1445" s="1" t="n">
        <v>45530</v>
      </c>
      <c r="E1445" s="1" t="n">
        <v>46272</v>
      </c>
      <c r="F1445" t="inlineStr">
        <is>
          <t>GÄVLEBORGS LÄN</t>
        </is>
      </c>
      <c r="G1445" t="inlineStr">
        <is>
          <t>HUDIKSVALL</t>
        </is>
      </c>
      <c r="H1445" t="inlineStr">
        <is>
          <t>Holmen skog AB</t>
        </is>
      </c>
      <c r="I1445" t="n">
        <v>7.3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t="n">
        <v>0</v>
      </c>
      <c r="S1445" t="n">
        <v>0</v>
      </c>
      <c r="T1445" t="n">
        <v>0</v>
      </c>
      <c r="U1445" t="n">
        <v>0</v>
      </c>
      <c r="V1445" s="2" t="inlineStr"/>
    </row>
    <row r="1446" ht="15" customHeight="1">
      <c r="A1446" t="inlineStr">
        <is>
          <t>A 40136-2023</t>
        </is>
      </c>
      <c r="B1446" t="inlineStr">
        <is>
          <t>avverkningsanmälan</t>
        </is>
      </c>
      <c r="C1446" t="inlineStr">
        <is>
          <t>Föryngringsavverkning</t>
        </is>
      </c>
      <c r="D1446" s="1" t="n">
        <v>45169</v>
      </c>
      <c r="E1446" s="1" t="n">
        <v>46272</v>
      </c>
      <c r="F1446" t="inlineStr">
        <is>
          <t>GÄVLEBORGS LÄN</t>
        </is>
      </c>
      <c r="G1446" t="inlineStr">
        <is>
          <t>HUDIKSVALL</t>
        </is>
      </c>
      <c r="H1446" t="inlineStr">
        <is>
          <t>Holmen skog AB</t>
        </is>
      </c>
      <c r="I1446" t="n">
        <v>6.3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t="n">
        <v>0</v>
      </c>
      <c r="S1446" t="n">
        <v>0</v>
      </c>
      <c r="T1446" t="n">
        <v>0</v>
      </c>
      <c r="U1446" t="n">
        <v>0</v>
      </c>
      <c r="V1446" s="2" t="inlineStr"/>
    </row>
    <row r="1447" ht="15" customHeight="1">
      <c r="A1447" t="inlineStr">
        <is>
          <t>A 44736-2024</t>
        </is>
      </c>
      <c r="B1447" t="inlineStr">
        <is>
          <t>avverkningsanmälan</t>
        </is>
      </c>
      <c r="C1447" t="inlineStr">
        <is>
          <t>Föryngringsavverkning</t>
        </is>
      </c>
      <c r="D1447" s="1" t="n">
        <v>45574</v>
      </c>
      <c r="E1447" s="1" t="n">
        <v>46272</v>
      </c>
      <c r="F1447" t="inlineStr">
        <is>
          <t>GÄVLEBORGS LÄN</t>
        </is>
      </c>
      <c r="G1447" t="inlineStr">
        <is>
          <t>HUDIKSVALL</t>
        </is>
      </c>
      <c r="I1447" t="n">
        <v>43.7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t="n">
        <v>0</v>
      </c>
      <c r="S1447" t="n">
        <v>0</v>
      </c>
      <c r="T1447" t="n">
        <v>0</v>
      </c>
      <c r="U1447" t="n">
        <v>0</v>
      </c>
      <c r="V1447" s="2" t="inlineStr"/>
    </row>
    <row r="1448" ht="15" customHeight="1">
      <c r="A1448" t="inlineStr">
        <is>
          <t>A 25349-2022</t>
        </is>
      </c>
      <c r="B1448" t="inlineStr">
        <is>
          <t>avverkningsanmälan</t>
        </is>
      </c>
      <c r="C1448" t="inlineStr">
        <is>
          <t>Föryngringsavverkning</t>
        </is>
      </c>
      <c r="D1448" s="1" t="n">
        <v>44732</v>
      </c>
      <c r="E1448" s="1" t="n">
        <v>46272</v>
      </c>
      <c r="F1448" t="inlineStr">
        <is>
          <t>GÄVLEBORGS LÄN</t>
        </is>
      </c>
      <c r="G1448" t="inlineStr">
        <is>
          <t>HUDIKSVALL</t>
        </is>
      </c>
      <c r="I1448" t="n">
        <v>5.4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t="n">
        <v>0</v>
      </c>
      <c r="S1448" t="n">
        <v>0</v>
      </c>
      <c r="T1448" t="n">
        <v>0</v>
      </c>
      <c r="U1448" t="n">
        <v>0</v>
      </c>
      <c r="V1448" s="2" t="inlineStr"/>
    </row>
    <row r="1449" ht="15" customHeight="1">
      <c r="A1449" t="inlineStr">
        <is>
          <t>A 29808-2026</t>
        </is>
      </c>
      <c r="B1449" t="inlineStr">
        <is>
          <t>avverkningsanmälan</t>
        </is>
      </c>
      <c r="C1449" t="inlineStr">
        <is>
          <t>Föryngringsavverkning</t>
        </is>
      </c>
      <c r="D1449" s="1" t="n">
        <v>46205</v>
      </c>
      <c r="E1449" s="1" t="n">
        <v>46272</v>
      </c>
      <c r="F1449" t="inlineStr">
        <is>
          <t>GÄVLEBORGS LÄN</t>
        </is>
      </c>
      <c r="G1449" t="inlineStr">
        <is>
          <t>HUDIKSVALL</t>
        </is>
      </c>
      <c r="I1449" t="n">
        <v>1.2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t="n">
        <v>0</v>
      </c>
      <c r="S1449" t="n">
        <v>0</v>
      </c>
      <c r="T1449" t="n">
        <v>0</v>
      </c>
      <c r="U1449" t="n">
        <v>0</v>
      </c>
      <c r="V1449" s="2" t="inlineStr"/>
    </row>
    <row r="1450" ht="15" customHeight="1">
      <c r="A1450" t="inlineStr">
        <is>
          <t>A 18706-2024</t>
        </is>
      </c>
      <c r="B1450" t="inlineStr">
        <is>
          <t>avverkningsanmälan</t>
        </is>
      </c>
      <c r="C1450" t="inlineStr">
        <is>
          <t>Föryngringsavverkning</t>
        </is>
      </c>
      <c r="D1450" s="1" t="n">
        <v>45426</v>
      </c>
      <c r="E1450" s="1" t="n">
        <v>46272</v>
      </c>
      <c r="F1450" t="inlineStr">
        <is>
          <t>GÄVLEBORGS LÄN</t>
        </is>
      </c>
      <c r="G1450" t="inlineStr">
        <is>
          <t>HUDIKSVALL</t>
        </is>
      </c>
      <c r="H1450" t="inlineStr">
        <is>
          <t>Holmen skog AB</t>
        </is>
      </c>
      <c r="I1450" t="n">
        <v>9.199999999999999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t="n">
        <v>0</v>
      </c>
      <c r="S1450" t="n">
        <v>0</v>
      </c>
      <c r="T1450" t="n">
        <v>0</v>
      </c>
      <c r="U1450" t="n">
        <v>0</v>
      </c>
      <c r="V1450" s="2" t="inlineStr"/>
    </row>
    <row r="1451" ht="15" customHeight="1">
      <c r="A1451" t="inlineStr">
        <is>
          <t>A 61536-2022</t>
        </is>
      </c>
      <c r="B1451" t="inlineStr">
        <is>
          <t>avverkningsanmälan</t>
        </is>
      </c>
      <c r="C1451" t="inlineStr">
        <is>
          <t>Föryngringsavverkning</t>
        </is>
      </c>
      <c r="D1451" s="1" t="n">
        <v>44916</v>
      </c>
      <c r="E1451" s="1" t="n">
        <v>46272</v>
      </c>
      <c r="F1451" t="inlineStr">
        <is>
          <t>GÄVLEBORGS LÄN</t>
        </is>
      </c>
      <c r="G1451" t="inlineStr">
        <is>
          <t>HUDIKSVALL</t>
        </is>
      </c>
      <c r="I1451" t="n">
        <v>2.2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t="n">
        <v>0</v>
      </c>
      <c r="S1451" t="n">
        <v>0</v>
      </c>
      <c r="T1451" t="n">
        <v>0</v>
      </c>
      <c r="U1451" t="n">
        <v>0</v>
      </c>
      <c r="V1451" s="2" t="inlineStr"/>
    </row>
    <row r="1452" ht="15" customHeight="1">
      <c r="A1452" t="inlineStr">
        <is>
          <t>A 19887-2025</t>
        </is>
      </c>
      <c r="B1452" t="inlineStr">
        <is>
          <t>avverkningsanmälan</t>
        </is>
      </c>
      <c r="C1452" t="inlineStr">
        <is>
          <t>Föryngringsavverkning</t>
        </is>
      </c>
      <c r="D1452" s="1" t="n">
        <v>45771</v>
      </c>
      <c r="E1452" s="1" t="n">
        <v>46272</v>
      </c>
      <c r="F1452" t="inlineStr">
        <is>
          <t>GÄVLEBORGS LÄN</t>
        </is>
      </c>
      <c r="G1452" t="inlineStr">
        <is>
          <t>HUDIKSVALL</t>
        </is>
      </c>
      <c r="I1452" t="n">
        <v>1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t="n">
        <v>0</v>
      </c>
      <c r="S1452" t="n">
        <v>0</v>
      </c>
      <c r="T1452" t="n">
        <v>0</v>
      </c>
      <c r="U1452" t="n">
        <v>0</v>
      </c>
      <c r="V1452" s="2" t="inlineStr"/>
    </row>
    <row r="1453" ht="15" customHeight="1">
      <c r="A1453" t="inlineStr">
        <is>
          <t>A 67088-2021</t>
        </is>
      </c>
      <c r="B1453" t="inlineStr">
        <is>
          <t>avverkningsanmälan</t>
        </is>
      </c>
      <c r="C1453" t="inlineStr">
        <is>
          <t>Föryngringsavverkning</t>
        </is>
      </c>
      <c r="D1453" s="1" t="n">
        <v>44522</v>
      </c>
      <c r="E1453" s="1" t="n">
        <v>46272</v>
      </c>
      <c r="F1453" t="inlineStr">
        <is>
          <t>GÄVLEBORGS LÄN</t>
        </is>
      </c>
      <c r="G1453" t="inlineStr">
        <is>
          <t>HUDIKSVALL</t>
        </is>
      </c>
      <c r="I1453" t="n">
        <v>2.3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t="n">
        <v>0</v>
      </c>
      <c r="S1453" t="n">
        <v>0</v>
      </c>
      <c r="T1453" t="n">
        <v>0</v>
      </c>
      <c r="U1453" t="n">
        <v>0</v>
      </c>
      <c r="V1453" s="2" t="inlineStr"/>
    </row>
    <row r="1454" ht="15" customHeight="1">
      <c r="A1454" t="inlineStr">
        <is>
          <t>A 30345-2026</t>
        </is>
      </c>
      <c r="B1454" t="inlineStr">
        <is>
          <t>avverkningsanmälan</t>
        </is>
      </c>
      <c r="C1454" t="inlineStr">
        <is>
          <t>Föryngringsavverkning</t>
        </is>
      </c>
      <c r="D1454" s="1" t="n">
        <v>46209</v>
      </c>
      <c r="E1454" s="1" t="n">
        <v>46272</v>
      </c>
      <c r="F1454" t="inlineStr">
        <is>
          <t>GÄVLEBORGS LÄN</t>
        </is>
      </c>
      <c r="G1454" t="inlineStr">
        <is>
          <t>HUDIKSVALL</t>
        </is>
      </c>
      <c r="I1454" t="n">
        <v>2.7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t="n">
        <v>0</v>
      </c>
      <c r="S1454" t="n">
        <v>0</v>
      </c>
      <c r="T1454" t="n">
        <v>0</v>
      </c>
      <c r="U1454" t="n">
        <v>0</v>
      </c>
      <c r="V1454" s="2" t="inlineStr"/>
    </row>
    <row r="1455" ht="15" customHeight="1">
      <c r="A1455" t="inlineStr">
        <is>
          <t>A 34032-2026</t>
        </is>
      </c>
      <c r="B1455" t="inlineStr">
        <is>
          <t>avverkningsanmälan</t>
        </is>
      </c>
      <c r="C1455" t="inlineStr">
        <is>
          <t>Föryngringsavverkning</t>
        </is>
      </c>
      <c r="D1455" s="1" t="n">
        <v>46252</v>
      </c>
      <c r="E1455" s="1" t="n">
        <v>46272</v>
      </c>
      <c r="F1455" t="inlineStr">
        <is>
          <t>GÄVLEBORGS LÄN</t>
        </is>
      </c>
      <c r="G1455" t="inlineStr">
        <is>
          <t>HUDIKSVALL</t>
        </is>
      </c>
      <c r="I1455" t="n">
        <v>2.3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t="n">
        <v>0</v>
      </c>
      <c r="S1455" t="n">
        <v>0</v>
      </c>
      <c r="T1455" t="n">
        <v>0</v>
      </c>
      <c r="U1455" t="n">
        <v>0</v>
      </c>
      <c r="V1455" s="2" t="inlineStr"/>
    </row>
    <row r="1456" ht="15" customHeight="1">
      <c r="A1456" t="inlineStr">
        <is>
          <t>A 33970-2026</t>
        </is>
      </c>
      <c r="B1456" t="inlineStr">
        <is>
          <t>avverkningsanmälan</t>
        </is>
      </c>
      <c r="C1456" t="inlineStr">
        <is>
          <t>Föryngringsavverkning</t>
        </is>
      </c>
      <c r="D1456" s="1" t="n">
        <v>46252</v>
      </c>
      <c r="E1456" s="1" t="n">
        <v>46272</v>
      </c>
      <c r="F1456" t="inlineStr">
        <is>
          <t>GÄVLEBORGS LÄN</t>
        </is>
      </c>
      <c r="G1456" t="inlineStr">
        <is>
          <t>HUDIKSVALL</t>
        </is>
      </c>
      <c r="I1456" t="n">
        <v>7.6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t="n">
        <v>0</v>
      </c>
      <c r="S1456" t="n">
        <v>0</v>
      </c>
      <c r="T1456" t="n">
        <v>0</v>
      </c>
      <c r="U1456" t="n">
        <v>0</v>
      </c>
      <c r="V1456" s="2" t="inlineStr"/>
    </row>
    <row r="1457" ht="15" customHeight="1">
      <c r="A1457" t="inlineStr">
        <is>
          <t>A 30491-2026</t>
        </is>
      </c>
      <c r="B1457" t="inlineStr">
        <is>
          <t>avverkningsanmälan</t>
        </is>
      </c>
      <c r="C1457" t="inlineStr">
        <is>
          <t>Föryngringsavverkning</t>
        </is>
      </c>
      <c r="D1457" s="1" t="n">
        <v>46210</v>
      </c>
      <c r="E1457" s="1" t="n">
        <v>46272</v>
      </c>
      <c r="F1457" t="inlineStr">
        <is>
          <t>GÄVLEBORGS LÄN</t>
        </is>
      </c>
      <c r="G1457" t="inlineStr">
        <is>
          <t>HUDIKSVALL</t>
        </is>
      </c>
      <c r="I1457" t="n">
        <v>0.4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t="n">
        <v>0</v>
      </c>
      <c r="S1457" t="n">
        <v>0</v>
      </c>
      <c r="T1457" t="n">
        <v>0</v>
      </c>
      <c r="U1457" t="n">
        <v>0</v>
      </c>
      <c r="V1457" s="2" t="inlineStr"/>
    </row>
    <row r="1458" ht="15" customHeight="1">
      <c r="A1458" t="inlineStr">
        <is>
          <t>A 34034-2026</t>
        </is>
      </c>
      <c r="B1458" t="inlineStr">
        <is>
          <t>avverkningsanmälan</t>
        </is>
      </c>
      <c r="C1458" t="inlineStr">
        <is>
          <t>Föryngringsavverkning</t>
        </is>
      </c>
      <c r="D1458" s="1" t="n">
        <v>46252</v>
      </c>
      <c r="E1458" s="1" t="n">
        <v>46272</v>
      </c>
      <c r="F1458" t="inlineStr">
        <is>
          <t>GÄVLEBORGS LÄN</t>
        </is>
      </c>
      <c r="G1458" t="inlineStr">
        <is>
          <t>HUDIKSVALL</t>
        </is>
      </c>
      <c r="I1458" t="n">
        <v>0.8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t="n">
        <v>0</v>
      </c>
      <c r="S1458" t="n">
        <v>0</v>
      </c>
      <c r="T1458" t="n">
        <v>0</v>
      </c>
      <c r="U1458" t="n">
        <v>0</v>
      </c>
      <c r="V1458" s="2" t="inlineStr"/>
    </row>
    <row r="1459" ht="15" customHeight="1">
      <c r="A1459" t="inlineStr">
        <is>
          <t>A 21805-2024</t>
        </is>
      </c>
      <c r="B1459" t="inlineStr">
        <is>
          <t>avverkningsanmälan</t>
        </is>
      </c>
      <c r="C1459" t="inlineStr">
        <is>
          <t>Föryngringsavverkning</t>
        </is>
      </c>
      <c r="D1459" s="1" t="n">
        <v>45442</v>
      </c>
      <c r="E1459" s="1" t="n">
        <v>46272</v>
      </c>
      <c r="F1459" t="inlineStr">
        <is>
          <t>GÄVLEBORGS LÄN</t>
        </is>
      </c>
      <c r="G1459" t="inlineStr">
        <is>
          <t>HUDIKSVALL</t>
        </is>
      </c>
      <c r="I1459" t="n">
        <v>2.8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t="n">
        <v>0</v>
      </c>
      <c r="S1459" t="n">
        <v>0</v>
      </c>
      <c r="T1459" t="n">
        <v>0</v>
      </c>
      <c r="U1459" t="n">
        <v>0</v>
      </c>
      <c r="V1459" s="2" t="inlineStr"/>
    </row>
    <row r="1460" ht="15" customHeight="1">
      <c r="A1460" t="inlineStr">
        <is>
          <t>A 30349-2026</t>
        </is>
      </c>
      <c r="B1460" t="inlineStr">
        <is>
          <t>avverkningsanmälan</t>
        </is>
      </c>
      <c r="C1460" t="inlineStr">
        <is>
          <t>Föryngringsavverkning</t>
        </is>
      </c>
      <c r="D1460" s="1" t="n">
        <v>46209</v>
      </c>
      <c r="E1460" s="1" t="n">
        <v>46272</v>
      </c>
      <c r="F1460" t="inlineStr">
        <is>
          <t>GÄVLEBORGS LÄN</t>
        </is>
      </c>
      <c r="G1460" t="inlineStr">
        <is>
          <t>HUDIKSVALL</t>
        </is>
      </c>
      <c r="I1460" t="n">
        <v>0.5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t="n">
        <v>0</v>
      </c>
      <c r="S1460" t="n">
        <v>0</v>
      </c>
      <c r="T1460" t="n">
        <v>0</v>
      </c>
      <c r="U1460" t="n">
        <v>0</v>
      </c>
      <c r="V1460" s="2" t="inlineStr"/>
    </row>
    <row r="1461" ht="15" customHeight="1">
      <c r="A1461" t="inlineStr">
        <is>
          <t>A 19894-2025</t>
        </is>
      </c>
      <c r="B1461" t="inlineStr">
        <is>
          <t>avverkningsanmälan</t>
        </is>
      </c>
      <c r="C1461" t="inlineStr">
        <is>
          <t>Föryngringsavverkning</t>
        </is>
      </c>
      <c r="D1461" s="1" t="n">
        <v>45771</v>
      </c>
      <c r="E1461" s="1" t="n">
        <v>46272</v>
      </c>
      <c r="F1461" t="inlineStr">
        <is>
          <t>GÄVLEBORGS LÄN</t>
        </is>
      </c>
      <c r="G1461" t="inlineStr">
        <is>
          <t>HUDIKSVALL</t>
        </is>
      </c>
      <c r="I1461" t="n">
        <v>1.4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t="n">
        <v>0</v>
      </c>
      <c r="S1461" t="n">
        <v>0</v>
      </c>
      <c r="T1461" t="n">
        <v>0</v>
      </c>
      <c r="U1461" t="n">
        <v>0</v>
      </c>
      <c r="V1461" s="2" t="inlineStr"/>
    </row>
    <row r="1462" ht="15" customHeight="1">
      <c r="A1462" t="inlineStr">
        <is>
          <t>A 10148-2026</t>
        </is>
      </c>
      <c r="B1462" t="inlineStr">
        <is>
          <t>avverkningsanmälan</t>
        </is>
      </c>
      <c r="C1462" t="inlineStr">
        <is>
          <t>Föryngringsavverkning</t>
        </is>
      </c>
      <c r="D1462" s="1" t="n">
        <v>46076</v>
      </c>
      <c r="E1462" s="1" t="n">
        <v>46272</v>
      </c>
      <c r="F1462" t="inlineStr">
        <is>
          <t>GÄVLEBORGS LÄN</t>
        </is>
      </c>
      <c r="G1462" t="inlineStr">
        <is>
          <t>HUDIKSVALL</t>
        </is>
      </c>
      <c r="I1462" t="n">
        <v>0.3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t="n">
        <v>0</v>
      </c>
      <c r="S1462" t="n">
        <v>0</v>
      </c>
      <c r="T1462" t="n">
        <v>0</v>
      </c>
      <c r="U1462" t="n">
        <v>0</v>
      </c>
      <c r="V1462" s="2" t="inlineStr"/>
    </row>
    <row r="1463" ht="15" customHeight="1">
      <c r="A1463" t="inlineStr">
        <is>
          <t>A 13670-2024</t>
        </is>
      </c>
      <c r="B1463" t="inlineStr">
        <is>
          <t>avverkningsanmälan</t>
        </is>
      </c>
      <c r="C1463" t="inlineStr">
        <is>
          <t>Föryngringsavverkning</t>
        </is>
      </c>
      <c r="D1463" s="1" t="n">
        <v>45390</v>
      </c>
      <c r="E1463" s="1" t="n">
        <v>46272</v>
      </c>
      <c r="F1463" t="inlineStr">
        <is>
          <t>GÄVLEBORGS LÄN</t>
        </is>
      </c>
      <c r="G1463" t="inlineStr">
        <is>
          <t>HUDIKSVALL</t>
        </is>
      </c>
      <c r="H1463" t="inlineStr">
        <is>
          <t>Holmen skog AB</t>
        </is>
      </c>
      <c r="I1463" t="n">
        <v>3.3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t="n">
        <v>0</v>
      </c>
      <c r="S1463" t="n">
        <v>0</v>
      </c>
      <c r="T1463" t="n">
        <v>0</v>
      </c>
      <c r="U1463" t="n">
        <v>0</v>
      </c>
      <c r="V1463" s="2" t="inlineStr"/>
    </row>
    <row r="1464" ht="15" customHeight="1">
      <c r="A1464" t="inlineStr">
        <is>
          <t>A 34153-2026</t>
        </is>
      </c>
      <c r="B1464" t="inlineStr">
        <is>
          <t>avverkningsanmälan</t>
        </is>
      </c>
      <c r="C1464" t="inlineStr">
        <is>
          <t>Föryngringsavverkning</t>
        </is>
      </c>
      <c r="D1464" s="1" t="n">
        <v>46253</v>
      </c>
      <c r="E1464" s="1" t="n">
        <v>46272</v>
      </c>
      <c r="F1464" t="inlineStr">
        <is>
          <t>GÄVLEBORGS LÄN</t>
        </is>
      </c>
      <c r="G1464" t="inlineStr">
        <is>
          <t>HUDIKSVALL</t>
        </is>
      </c>
      <c r="I1464" t="n">
        <v>0.8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t="n">
        <v>0</v>
      </c>
      <c r="S1464" t="n">
        <v>0</v>
      </c>
      <c r="T1464" t="n">
        <v>0</v>
      </c>
      <c r="U1464" t="n">
        <v>0</v>
      </c>
      <c r="V1464" s="2" t="inlineStr"/>
    </row>
    <row r="1465" ht="15" customHeight="1">
      <c r="A1465" t="inlineStr">
        <is>
          <t>A 35964-2024</t>
        </is>
      </c>
      <c r="B1465" t="inlineStr">
        <is>
          <t>avverkningsanmälan</t>
        </is>
      </c>
      <c r="C1465" t="inlineStr">
        <is>
          <t>Föryngringsavverkning</t>
        </is>
      </c>
      <c r="D1465" s="1" t="n">
        <v>45533</v>
      </c>
      <c r="E1465" s="1" t="n">
        <v>46272</v>
      </c>
      <c r="F1465" t="inlineStr">
        <is>
          <t>GÄVLEBORGS LÄN</t>
        </is>
      </c>
      <c r="G1465" t="inlineStr">
        <is>
          <t>HUDIKSVALL</t>
        </is>
      </c>
      <c r="I1465" t="n">
        <v>2.1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t="n">
        <v>0</v>
      </c>
      <c r="S1465" t="n">
        <v>0</v>
      </c>
      <c r="T1465" t="n">
        <v>0</v>
      </c>
      <c r="U1465" t="n">
        <v>0</v>
      </c>
      <c r="V1465" s="2" t="inlineStr"/>
    </row>
    <row r="1466" ht="15" customHeight="1">
      <c r="A1466" t="inlineStr">
        <is>
          <t>A 35985-2024</t>
        </is>
      </c>
      <c r="B1466" t="inlineStr">
        <is>
          <t>avverkningsanmälan</t>
        </is>
      </c>
      <c r="C1466" t="inlineStr">
        <is>
          <t>Föryngringsavverkning</t>
        </is>
      </c>
      <c r="D1466" s="1" t="n">
        <v>45533</v>
      </c>
      <c r="E1466" s="1" t="n">
        <v>46272</v>
      </c>
      <c r="F1466" t="inlineStr">
        <is>
          <t>GÄVLEBORGS LÄN</t>
        </is>
      </c>
      <c r="G1466" t="inlineStr">
        <is>
          <t>HUDIKSVALL</t>
        </is>
      </c>
      <c r="I1466" t="n">
        <v>0.6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t="n">
        <v>0</v>
      </c>
      <c r="S1466" t="n">
        <v>0</v>
      </c>
      <c r="T1466" t="n">
        <v>0</v>
      </c>
      <c r="U1466" t="n">
        <v>0</v>
      </c>
      <c r="V1466" s="2" t="inlineStr"/>
    </row>
    <row r="1467" ht="15" customHeight="1">
      <c r="A1467" t="inlineStr">
        <is>
          <t>A 30116-2024</t>
        </is>
      </c>
      <c r="B1467" t="inlineStr">
        <is>
          <t>avverkningsanmälan</t>
        </is>
      </c>
      <c r="C1467" t="inlineStr">
        <is>
          <t>Föryngringsavverkning</t>
        </is>
      </c>
      <c r="D1467" s="1" t="n">
        <v>45489</v>
      </c>
      <c r="E1467" s="1" t="n">
        <v>46272</v>
      </c>
      <c r="F1467" t="inlineStr">
        <is>
          <t>GÄVLEBORGS LÄN</t>
        </is>
      </c>
      <c r="G1467" t="inlineStr">
        <is>
          <t>HUDIKSVALL</t>
        </is>
      </c>
      <c r="H1467" t="inlineStr">
        <is>
          <t>Holmen skog AB</t>
        </is>
      </c>
      <c r="I1467" t="n">
        <v>0.6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t="n">
        <v>0</v>
      </c>
      <c r="S1467" t="n">
        <v>0</v>
      </c>
      <c r="T1467" t="n">
        <v>0</v>
      </c>
      <c r="U1467" t="n">
        <v>0</v>
      </c>
      <c r="V1467" s="2" t="inlineStr"/>
    </row>
    <row r="1468" ht="15" customHeight="1">
      <c r="A1468" t="inlineStr">
        <is>
          <t>A 59571-2022</t>
        </is>
      </c>
      <c r="B1468" t="inlineStr">
        <is>
          <t>avverkningsanmälan</t>
        </is>
      </c>
      <c r="C1468" t="inlineStr">
        <is>
          <t>Föryngringsavverkning</t>
        </is>
      </c>
      <c r="D1468" s="1" t="n">
        <v>44907</v>
      </c>
      <c r="E1468" s="1" t="n">
        <v>46272</v>
      </c>
      <c r="F1468" t="inlineStr">
        <is>
          <t>GÄVLEBORGS LÄN</t>
        </is>
      </c>
      <c r="G1468" t="inlineStr">
        <is>
          <t>HUDIKSVALL</t>
        </is>
      </c>
      <c r="I1468" t="n">
        <v>0.8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t="n">
        <v>0</v>
      </c>
      <c r="S1468" t="n">
        <v>0</v>
      </c>
      <c r="T1468" t="n">
        <v>0</v>
      </c>
      <c r="U1468" t="n">
        <v>0</v>
      </c>
      <c r="V1468" s="2" t="inlineStr"/>
    </row>
    <row r="1469" ht="15" customHeight="1">
      <c r="A1469" t="inlineStr">
        <is>
          <t>A 34141-2026</t>
        </is>
      </c>
      <c r="B1469" t="inlineStr">
        <is>
          <t>avverkningsanmälan</t>
        </is>
      </c>
      <c r="C1469" t="inlineStr">
        <is>
          <t>Föryngringsavverkning</t>
        </is>
      </c>
      <c r="D1469" s="1" t="n">
        <v>46253</v>
      </c>
      <c r="E1469" s="1" t="n">
        <v>46272</v>
      </c>
      <c r="F1469" t="inlineStr">
        <is>
          <t>GÄVLEBORGS LÄN</t>
        </is>
      </c>
      <c r="G1469" t="inlineStr">
        <is>
          <t>HUDIKSVALL</t>
        </is>
      </c>
      <c r="H1469" t="inlineStr">
        <is>
          <t>Holmen skog AB</t>
        </is>
      </c>
      <c r="I1469" t="n">
        <v>1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t="n">
        <v>0</v>
      </c>
      <c r="S1469" t="n">
        <v>0</v>
      </c>
      <c r="T1469" t="n">
        <v>0</v>
      </c>
      <c r="U1469" t="n">
        <v>0</v>
      </c>
      <c r="V1469" s="2" t="inlineStr"/>
    </row>
    <row r="1470" ht="15" customHeight="1">
      <c r="A1470" t="inlineStr">
        <is>
          <t>A 30519-2026</t>
        </is>
      </c>
      <c r="B1470" t="inlineStr">
        <is>
          <t>avverkningsanmälan</t>
        </is>
      </c>
      <c r="C1470" t="inlineStr">
        <is>
          <t>Föryngringsavverkning</t>
        </is>
      </c>
      <c r="D1470" s="1" t="n">
        <v>46210</v>
      </c>
      <c r="E1470" s="1" t="n">
        <v>46272</v>
      </c>
      <c r="F1470" t="inlineStr">
        <is>
          <t>GÄVLEBORGS LÄN</t>
        </is>
      </c>
      <c r="G1470" t="inlineStr">
        <is>
          <t>HUDIKSVALL</t>
        </is>
      </c>
      <c r="I1470" t="n">
        <v>0.6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t="n">
        <v>0</v>
      </c>
      <c r="S1470" t="n">
        <v>0</v>
      </c>
      <c r="T1470" t="n">
        <v>0</v>
      </c>
      <c r="U1470" t="n">
        <v>0</v>
      </c>
      <c r="V1470" s="2" t="inlineStr"/>
    </row>
    <row r="1471" ht="15" customHeight="1">
      <c r="A1471" t="inlineStr">
        <is>
          <t>A 2663-2025</t>
        </is>
      </c>
      <c r="B1471" t="inlineStr">
        <is>
          <t>avverkningsanmälan</t>
        </is>
      </c>
      <c r="C1471" t="inlineStr">
        <is>
          <t>Föryngringsavverkning</t>
        </is>
      </c>
      <c r="D1471" s="1" t="n">
        <v>45676</v>
      </c>
      <c r="E1471" s="1" t="n">
        <v>46272</v>
      </c>
      <c r="F1471" t="inlineStr">
        <is>
          <t>GÄVLEBORGS LÄN</t>
        </is>
      </c>
      <c r="G1471" t="inlineStr">
        <is>
          <t>HUDIKSVALL</t>
        </is>
      </c>
      <c r="I1471" t="n">
        <v>0.9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t="n">
        <v>0</v>
      </c>
      <c r="S1471" t="n">
        <v>0</v>
      </c>
      <c r="T1471" t="n">
        <v>0</v>
      </c>
      <c r="U1471" t="n">
        <v>0</v>
      </c>
      <c r="V1471" s="2" t="inlineStr"/>
    </row>
    <row r="1472" ht="15" customHeight="1">
      <c r="A1472" t="inlineStr">
        <is>
          <t>A 59522-2022</t>
        </is>
      </c>
      <c r="B1472" t="inlineStr">
        <is>
          <t>avverkningsanmälan</t>
        </is>
      </c>
      <c r="C1472" t="inlineStr">
        <is>
          <t>Föryngringsavverkning</t>
        </is>
      </c>
      <c r="D1472" s="1" t="n">
        <v>44907</v>
      </c>
      <c r="E1472" s="1" t="n">
        <v>46272</v>
      </c>
      <c r="F1472" t="inlineStr">
        <is>
          <t>GÄVLEBORGS LÄN</t>
        </is>
      </c>
      <c r="G1472" t="inlineStr">
        <is>
          <t>HUDIKSVALL</t>
        </is>
      </c>
      <c r="I1472" t="n">
        <v>0.7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t="n">
        <v>0</v>
      </c>
      <c r="S1472" t="n">
        <v>0</v>
      </c>
      <c r="T1472" t="n">
        <v>0</v>
      </c>
      <c r="U1472" t="n">
        <v>0</v>
      </c>
      <c r="V1472" s="2" t="inlineStr"/>
    </row>
    <row r="1473" ht="15" customHeight="1">
      <c r="A1473" t="inlineStr">
        <is>
          <t>A 30348-2026</t>
        </is>
      </c>
      <c r="B1473" t="inlineStr">
        <is>
          <t>avverkningsanmälan</t>
        </is>
      </c>
      <c r="C1473" t="inlineStr">
        <is>
          <t>Föryngringsavverkning</t>
        </is>
      </c>
      <c r="D1473" s="1" t="n">
        <v>46209</v>
      </c>
      <c r="E1473" s="1" t="n">
        <v>46272</v>
      </c>
      <c r="F1473" t="inlineStr">
        <is>
          <t>GÄVLEBORGS LÄN</t>
        </is>
      </c>
      <c r="G1473" t="inlineStr">
        <is>
          <t>HUDIKSVALL</t>
        </is>
      </c>
      <c r="I1473" t="n">
        <v>1.1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t="n">
        <v>0</v>
      </c>
      <c r="S1473" t="n">
        <v>0</v>
      </c>
      <c r="T1473" t="n">
        <v>0</v>
      </c>
      <c r="U1473" t="n">
        <v>0</v>
      </c>
      <c r="V1473" s="2" t="inlineStr"/>
    </row>
    <row r="1474" ht="15" customHeight="1">
      <c r="A1474" t="inlineStr">
        <is>
          <t>A 30351-2026</t>
        </is>
      </c>
      <c r="B1474" t="inlineStr">
        <is>
          <t>avverkningsanmälan</t>
        </is>
      </c>
      <c r="C1474" t="inlineStr">
        <is>
          <t>Föryngringsavverkning</t>
        </is>
      </c>
      <c r="D1474" s="1" t="n">
        <v>46209</v>
      </c>
      <c r="E1474" s="1" t="n">
        <v>46272</v>
      </c>
      <c r="F1474" t="inlineStr">
        <is>
          <t>GÄVLEBORGS LÄN</t>
        </is>
      </c>
      <c r="G1474" t="inlineStr">
        <is>
          <t>HUDIKSVALL</t>
        </is>
      </c>
      <c r="I1474" t="n">
        <v>0.6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t="n">
        <v>0</v>
      </c>
      <c r="S1474" t="n">
        <v>0</v>
      </c>
      <c r="T1474" t="n">
        <v>0</v>
      </c>
      <c r="U1474" t="n">
        <v>0</v>
      </c>
      <c r="V1474" s="2" t="inlineStr"/>
    </row>
    <row r="1475" ht="15" customHeight="1">
      <c r="A1475" t="inlineStr">
        <is>
          <t>A 34528-2026</t>
        </is>
      </c>
      <c r="B1475" t="inlineStr">
        <is>
          <t>avverkningsanmälan</t>
        </is>
      </c>
      <c r="C1475" t="inlineStr">
        <is>
          <t>Föryngringsavverkning</t>
        </is>
      </c>
      <c r="D1475" s="1" t="n">
        <v>46255</v>
      </c>
      <c r="E1475" s="1" t="n">
        <v>46272</v>
      </c>
      <c r="F1475" t="inlineStr">
        <is>
          <t>GÄVLEBORGS LÄN</t>
        </is>
      </c>
      <c r="G1475" t="inlineStr">
        <is>
          <t>HUDIKSVALL</t>
        </is>
      </c>
      <c r="I1475" t="n">
        <v>0.6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t="n">
        <v>0</v>
      </c>
      <c r="S1475" t="n">
        <v>0</v>
      </c>
      <c r="T1475" t="n">
        <v>0</v>
      </c>
      <c r="U1475" t="n">
        <v>0</v>
      </c>
      <c r="V1475" s="2" t="inlineStr"/>
    </row>
    <row r="1476" ht="15" customHeight="1">
      <c r="A1476" t="inlineStr">
        <is>
          <t>A 26746-2026</t>
        </is>
      </c>
      <c r="B1476" t="inlineStr">
        <is>
          <t>avverkningsanmälan</t>
        </is>
      </c>
      <c r="C1476" t="inlineStr">
        <is>
          <t>Föryngringsavverkning</t>
        </is>
      </c>
      <c r="D1476" s="1" t="n">
        <v>46184</v>
      </c>
      <c r="E1476" s="1" t="n">
        <v>46272</v>
      </c>
      <c r="F1476" t="inlineStr">
        <is>
          <t>GÄVLEBORGS LÄN</t>
        </is>
      </c>
      <c r="G1476" t="inlineStr">
        <is>
          <t>HUDIKSVALL</t>
        </is>
      </c>
      <c r="H1476" t="inlineStr">
        <is>
          <t>Holmen skog AB</t>
        </is>
      </c>
      <c r="I1476" t="n">
        <v>78.5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t="n">
        <v>0</v>
      </c>
      <c r="S1476" t="n">
        <v>0</v>
      </c>
      <c r="T1476" t="n">
        <v>0</v>
      </c>
      <c r="U1476" t="n">
        <v>0</v>
      </c>
      <c r="V1476" s="2" t="inlineStr"/>
    </row>
    <row r="1477" ht="15" customHeight="1">
      <c r="A1477" t="inlineStr">
        <is>
          <t>A 19509-2025</t>
        </is>
      </c>
      <c r="B1477" t="inlineStr">
        <is>
          <t>avverkningsanmälan</t>
        </is>
      </c>
      <c r="C1477" t="inlineStr">
        <is>
          <t>Föryngringsavverkning</t>
        </is>
      </c>
      <c r="D1477" s="1" t="n">
        <v>45770</v>
      </c>
      <c r="E1477" s="1" t="n">
        <v>46272</v>
      </c>
      <c r="F1477" t="inlineStr">
        <is>
          <t>GÄVLEBORGS LÄN</t>
        </is>
      </c>
      <c r="G1477" t="inlineStr">
        <is>
          <t>HUDIKSVALL</t>
        </is>
      </c>
      <c r="I1477" t="n">
        <v>13.7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t="n">
        <v>0</v>
      </c>
      <c r="S1477" t="n">
        <v>0</v>
      </c>
      <c r="T1477" t="n">
        <v>0</v>
      </c>
      <c r="U1477" t="n">
        <v>0</v>
      </c>
      <c r="V1477" s="2" t="inlineStr"/>
    </row>
    <row r="1478" ht="15" customHeight="1">
      <c r="A1478" t="inlineStr">
        <is>
          <t>A 34526-2026</t>
        </is>
      </c>
      <c r="B1478" t="inlineStr">
        <is>
          <t>avverkningsanmälan</t>
        </is>
      </c>
      <c r="C1478" t="inlineStr">
        <is>
          <t>Föryngringsavverkning</t>
        </is>
      </c>
      <c r="D1478" s="1" t="n">
        <v>46255</v>
      </c>
      <c r="E1478" s="1" t="n">
        <v>46272</v>
      </c>
      <c r="F1478" t="inlineStr">
        <is>
          <t>GÄVLEBORGS LÄN</t>
        </is>
      </c>
      <c r="G1478" t="inlineStr">
        <is>
          <t>HUDIKSVALL</t>
        </is>
      </c>
      <c r="I1478" t="n">
        <v>1.1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t="n">
        <v>0</v>
      </c>
      <c r="S1478" t="n">
        <v>0</v>
      </c>
      <c r="T1478" t="n">
        <v>0</v>
      </c>
      <c r="U1478" t="n">
        <v>0</v>
      </c>
      <c r="V1478" s="2" t="inlineStr"/>
    </row>
    <row r="1479" ht="15" customHeight="1">
      <c r="A1479" t="inlineStr">
        <is>
          <t>A 34540-2026</t>
        </is>
      </c>
      <c r="B1479" t="inlineStr">
        <is>
          <t>avverkningsanmälan</t>
        </is>
      </c>
      <c r="C1479" t="inlineStr">
        <is>
          <t>Föryngringsavverkning</t>
        </is>
      </c>
      <c r="D1479" s="1" t="n">
        <v>46255</v>
      </c>
      <c r="E1479" s="1" t="n">
        <v>46272</v>
      </c>
      <c r="F1479" t="inlineStr">
        <is>
          <t>GÄVLEBORGS LÄN</t>
        </is>
      </c>
      <c r="G1479" t="inlineStr">
        <is>
          <t>HUDIKSVALL</t>
        </is>
      </c>
      <c r="H1479" t="inlineStr">
        <is>
          <t>Holmen skog AB</t>
        </is>
      </c>
      <c r="I1479" t="n">
        <v>17.9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t="n">
        <v>0</v>
      </c>
      <c r="S1479" t="n">
        <v>0</v>
      </c>
      <c r="T1479" t="n">
        <v>0</v>
      </c>
      <c r="U1479" t="n">
        <v>0</v>
      </c>
      <c r="V1479" s="2" t="inlineStr"/>
    </row>
    <row r="1480" ht="15" customHeight="1">
      <c r="A1480" t="inlineStr">
        <is>
          <t>A 20932-2025</t>
        </is>
      </c>
      <c r="B1480" t="inlineStr">
        <is>
          <t>avverkningsanmälan</t>
        </is>
      </c>
      <c r="C1480" t="inlineStr">
        <is>
          <t>Föryngringsavverkning</t>
        </is>
      </c>
      <c r="D1480" s="1" t="n">
        <v>45777</v>
      </c>
      <c r="E1480" s="1" t="n">
        <v>46272</v>
      </c>
      <c r="F1480" t="inlineStr">
        <is>
          <t>GÄVLEBORGS LÄN</t>
        </is>
      </c>
      <c r="G1480" t="inlineStr">
        <is>
          <t>HUDIKSVALL</t>
        </is>
      </c>
      <c r="H1480" t="inlineStr">
        <is>
          <t>Holmen skog AB</t>
        </is>
      </c>
      <c r="I1480" t="n">
        <v>2.3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t="n">
        <v>0</v>
      </c>
      <c r="S1480" t="n">
        <v>0</v>
      </c>
      <c r="T1480" t="n">
        <v>0</v>
      </c>
      <c r="U1480" t="n">
        <v>0</v>
      </c>
      <c r="V1480" s="2" t="inlineStr"/>
    </row>
    <row r="1481" ht="15" customHeight="1">
      <c r="A1481" t="inlineStr">
        <is>
          <t>A 6949-2025</t>
        </is>
      </c>
      <c r="B1481" t="inlineStr">
        <is>
          <t>avverkningsanmälan</t>
        </is>
      </c>
      <c r="C1481" t="inlineStr">
        <is>
          <t>Föryngringsavverkning</t>
        </is>
      </c>
      <c r="D1481" s="1" t="n">
        <v>45701</v>
      </c>
      <c r="E1481" s="1" t="n">
        <v>46272</v>
      </c>
      <c r="F1481" t="inlineStr">
        <is>
          <t>GÄVLEBORGS LÄN</t>
        </is>
      </c>
      <c r="G1481" t="inlineStr">
        <is>
          <t>HUDIKSVALL</t>
        </is>
      </c>
      <c r="I1481" t="n">
        <v>4.5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t="n">
        <v>0</v>
      </c>
      <c r="S1481" t="n">
        <v>0</v>
      </c>
      <c r="T1481" t="n">
        <v>0</v>
      </c>
      <c r="U1481" t="n">
        <v>0</v>
      </c>
      <c r="V1481" s="2" t="inlineStr"/>
    </row>
    <row r="1482" ht="15" customHeight="1">
      <c r="A1482" t="inlineStr">
        <is>
          <t>A 21524-2025</t>
        </is>
      </c>
      <c r="B1482" t="inlineStr">
        <is>
          <t>avverkningsanmälan</t>
        </is>
      </c>
      <c r="C1482" t="inlineStr">
        <is>
          <t>Föryngringsavverkning</t>
        </is>
      </c>
      <c r="D1482" s="1" t="n">
        <v>45782</v>
      </c>
      <c r="E1482" s="1" t="n">
        <v>46272</v>
      </c>
      <c r="F1482" t="inlineStr">
        <is>
          <t>GÄVLEBORGS LÄN</t>
        </is>
      </c>
      <c r="G1482" t="inlineStr">
        <is>
          <t>HUDIKSVALL</t>
        </is>
      </c>
      <c r="I1482" t="n">
        <v>3.7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t="n">
        <v>0</v>
      </c>
      <c r="S1482" t="n">
        <v>0</v>
      </c>
      <c r="T1482" t="n">
        <v>0</v>
      </c>
      <c r="U1482" t="n">
        <v>0</v>
      </c>
      <c r="V1482" s="2" t="inlineStr"/>
    </row>
    <row r="1483" ht="15" customHeight="1">
      <c r="A1483" t="inlineStr">
        <is>
          <t>A 63952-2023</t>
        </is>
      </c>
      <c r="B1483" t="inlineStr">
        <is>
          <t>avverkningsanmälan</t>
        </is>
      </c>
      <c r="C1483" t="inlineStr">
        <is>
          <t>Föryngringsavverkning</t>
        </is>
      </c>
      <c r="D1483" s="1" t="n">
        <v>45278</v>
      </c>
      <c r="E1483" s="1" t="n">
        <v>46272</v>
      </c>
      <c r="F1483" t="inlineStr">
        <is>
          <t>GÄVLEBORGS LÄN</t>
        </is>
      </c>
      <c r="G1483" t="inlineStr">
        <is>
          <t>HUDIKSVALL</t>
        </is>
      </c>
      <c r="H1483" t="inlineStr">
        <is>
          <t>Holmen skog AB</t>
        </is>
      </c>
      <c r="I1483" t="n">
        <v>7.2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t="n">
        <v>0</v>
      </c>
      <c r="S1483" t="n">
        <v>0</v>
      </c>
      <c r="T1483" t="n">
        <v>0</v>
      </c>
      <c r="U1483" t="n">
        <v>0</v>
      </c>
      <c r="V1483" s="2" t="inlineStr"/>
    </row>
    <row r="1484" ht="15" customHeight="1">
      <c r="A1484" t="inlineStr">
        <is>
          <t>A 27545-2024</t>
        </is>
      </c>
      <c r="B1484" t="inlineStr">
        <is>
          <t>avverkningsanmälan</t>
        </is>
      </c>
      <c r="C1484" t="inlineStr">
        <is>
          <t>Föryngringsavverkning</t>
        </is>
      </c>
      <c r="D1484" s="1" t="n">
        <v>45474</v>
      </c>
      <c r="E1484" s="1" t="n">
        <v>46272</v>
      </c>
      <c r="F1484" t="inlineStr">
        <is>
          <t>GÄVLEBORGS LÄN</t>
        </is>
      </c>
      <c r="G1484" t="inlineStr">
        <is>
          <t>HUDIKSVALL</t>
        </is>
      </c>
      <c r="I1484" t="n">
        <v>9.300000000000001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t="n">
        <v>0</v>
      </c>
      <c r="S1484" t="n">
        <v>0</v>
      </c>
      <c r="T1484" t="n">
        <v>0</v>
      </c>
      <c r="U1484" t="n">
        <v>0</v>
      </c>
      <c r="V1484" s="2" t="inlineStr"/>
    </row>
    <row r="1485" ht="15" customHeight="1">
      <c r="A1485" t="inlineStr">
        <is>
          <t>A 22015-2025</t>
        </is>
      </c>
      <c r="B1485" t="inlineStr">
        <is>
          <t>avverkningsanmälan</t>
        </is>
      </c>
      <c r="C1485" t="inlineStr">
        <is>
          <t>Föryngringsavverkning</t>
        </is>
      </c>
      <c r="D1485" s="1" t="n">
        <v>45784</v>
      </c>
      <c r="E1485" s="1" t="n">
        <v>46272</v>
      </c>
      <c r="F1485" t="inlineStr">
        <is>
          <t>GÄVLEBORGS LÄN</t>
        </is>
      </c>
      <c r="G1485" t="inlineStr">
        <is>
          <t>HUDIKSVALL</t>
        </is>
      </c>
      <c r="H1485" t="inlineStr">
        <is>
          <t>Holmen skog AB</t>
        </is>
      </c>
      <c r="I1485" t="n">
        <v>14.3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t="n">
        <v>0</v>
      </c>
      <c r="S1485" t="n">
        <v>0</v>
      </c>
      <c r="T1485" t="n">
        <v>0</v>
      </c>
      <c r="U1485" t="n">
        <v>0</v>
      </c>
      <c r="V1485" s="2" t="inlineStr"/>
    </row>
    <row r="1486" ht="15" customHeight="1">
      <c r="A1486" t="inlineStr">
        <is>
          <t>A 34974-2026</t>
        </is>
      </c>
      <c r="B1486" t="inlineStr">
        <is>
          <t>avverkningsanmälan</t>
        </is>
      </c>
      <c r="C1486" t="inlineStr">
        <is>
          <t>Föryngringsavverkning</t>
        </is>
      </c>
      <c r="D1486" s="1" t="n">
        <v>46259</v>
      </c>
      <c r="E1486" s="1" t="n">
        <v>46272</v>
      </c>
      <c r="F1486" t="inlineStr">
        <is>
          <t>GÄVLEBORGS LÄN</t>
        </is>
      </c>
      <c r="G1486" t="inlineStr">
        <is>
          <t>HUDIKSVALL</t>
        </is>
      </c>
      <c r="I1486" t="n">
        <v>0.7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t="n">
        <v>0</v>
      </c>
      <c r="S1486" t="n">
        <v>0</v>
      </c>
      <c r="T1486" t="n">
        <v>0</v>
      </c>
      <c r="U1486" t="n">
        <v>0</v>
      </c>
      <c r="V1486" s="2" t="inlineStr"/>
    </row>
    <row r="1487" ht="15" customHeight="1">
      <c r="A1487" t="inlineStr">
        <is>
          <t>A 15775-2025</t>
        </is>
      </c>
      <c r="B1487" t="inlineStr">
        <is>
          <t>avverkningsanmälan</t>
        </is>
      </c>
      <c r="C1487" t="inlineStr">
        <is>
          <t>Föryngringsavverkning</t>
        </is>
      </c>
      <c r="D1487" s="1" t="n">
        <v>45748</v>
      </c>
      <c r="E1487" s="1" t="n">
        <v>46272</v>
      </c>
      <c r="F1487" t="inlineStr">
        <is>
          <t>GÄVLEBORGS LÄN</t>
        </is>
      </c>
      <c r="G1487" t="inlineStr">
        <is>
          <t>HUDIKSVALL</t>
        </is>
      </c>
      <c r="H1487" t="inlineStr">
        <is>
          <t>Kommuner</t>
        </is>
      </c>
      <c r="I1487" t="n">
        <v>1.3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t="n">
        <v>0</v>
      </c>
      <c r="S1487" t="n">
        <v>0</v>
      </c>
      <c r="T1487" t="n">
        <v>0</v>
      </c>
      <c r="U1487" t="n">
        <v>0</v>
      </c>
      <c r="V1487" s="2" t="inlineStr"/>
    </row>
    <row r="1488" ht="15" customHeight="1">
      <c r="A1488" t="inlineStr">
        <is>
          <t>A 22148-2025</t>
        </is>
      </c>
      <c r="B1488" t="inlineStr">
        <is>
          <t>avverkningsanmälan</t>
        </is>
      </c>
      <c r="C1488" t="inlineStr">
        <is>
          <t>Föryngringsavverkning</t>
        </is>
      </c>
      <c r="D1488" s="1" t="n">
        <v>45785</v>
      </c>
      <c r="E1488" s="1" t="n">
        <v>46272</v>
      </c>
      <c r="F1488" t="inlineStr">
        <is>
          <t>GÄVLEBORGS LÄN</t>
        </is>
      </c>
      <c r="G1488" t="inlineStr">
        <is>
          <t>HUDIKSVALL</t>
        </is>
      </c>
      <c r="I1488" t="n">
        <v>0.9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t="n">
        <v>0</v>
      </c>
      <c r="S1488" t="n">
        <v>0</v>
      </c>
      <c r="T1488" t="n">
        <v>0</v>
      </c>
      <c r="U1488" t="n">
        <v>0</v>
      </c>
      <c r="V1488" s="2" t="inlineStr"/>
    </row>
    <row r="1489" ht="15" customHeight="1">
      <c r="A1489" t="inlineStr">
        <is>
          <t>A 34853-2026</t>
        </is>
      </c>
      <c r="B1489" t="inlineStr">
        <is>
          <t>avverkningsanmälan</t>
        </is>
      </c>
      <c r="C1489" t="inlineStr">
        <is>
          <t>Föryngringsavverkning</t>
        </is>
      </c>
      <c r="D1489" s="1" t="n">
        <v>46258</v>
      </c>
      <c r="E1489" s="1" t="n">
        <v>46272</v>
      </c>
      <c r="F1489" t="inlineStr">
        <is>
          <t>GÄVLEBORGS LÄN</t>
        </is>
      </c>
      <c r="G1489" t="inlineStr">
        <is>
          <t>HUDIKSVALL</t>
        </is>
      </c>
      <c r="H1489" t="inlineStr">
        <is>
          <t>Holmen skog AB</t>
        </is>
      </c>
      <c r="I1489" t="n">
        <v>2.1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t="n">
        <v>0</v>
      </c>
      <c r="S1489" t="n">
        <v>0</v>
      </c>
      <c r="T1489" t="n">
        <v>0</v>
      </c>
      <c r="U1489" t="n">
        <v>0</v>
      </c>
      <c r="V1489" s="2" t="inlineStr"/>
    </row>
    <row r="1490" ht="15" customHeight="1">
      <c r="A1490" t="inlineStr">
        <is>
          <t>A 35067-2026</t>
        </is>
      </c>
      <c r="B1490" t="inlineStr">
        <is>
          <t>avverkningsanmälan</t>
        </is>
      </c>
      <c r="C1490" t="inlineStr">
        <is>
          <t>Föryngringsavverkning</t>
        </is>
      </c>
      <c r="D1490" s="1" t="n">
        <v>46259</v>
      </c>
      <c r="E1490" s="1" t="n">
        <v>46272</v>
      </c>
      <c r="F1490" t="inlineStr">
        <is>
          <t>GÄVLEBORGS LÄN</t>
        </is>
      </c>
      <c r="G1490" t="inlineStr">
        <is>
          <t>HUDIKSVALL</t>
        </is>
      </c>
      <c r="I1490" t="n">
        <v>1.9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t="n">
        <v>0</v>
      </c>
      <c r="S1490" t="n">
        <v>0</v>
      </c>
      <c r="T1490" t="n">
        <v>0</v>
      </c>
      <c r="U1490" t="n">
        <v>0</v>
      </c>
      <c r="V1490" s="2" t="inlineStr"/>
    </row>
    <row r="1491" ht="15" customHeight="1">
      <c r="A1491" t="inlineStr">
        <is>
          <t>A 13390-2026</t>
        </is>
      </c>
      <c r="B1491" t="inlineStr">
        <is>
          <t>avverkningsanmälan</t>
        </is>
      </c>
      <c r="C1491" t="inlineStr">
        <is>
          <t>Föryngringsavverkning</t>
        </is>
      </c>
      <c r="D1491" s="1" t="n">
        <v>46094</v>
      </c>
      <c r="E1491" s="1" t="n">
        <v>46272</v>
      </c>
      <c r="F1491" t="inlineStr">
        <is>
          <t>GÄVLEBORGS LÄN</t>
        </is>
      </c>
      <c r="G1491" t="inlineStr">
        <is>
          <t>HUDIKSVALL</t>
        </is>
      </c>
      <c r="I1491" t="n">
        <v>1.7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t="n">
        <v>0</v>
      </c>
      <c r="S1491" t="n">
        <v>0</v>
      </c>
      <c r="T1491" t="n">
        <v>0</v>
      </c>
      <c r="U1491" t="n">
        <v>0</v>
      </c>
      <c r="V1491" s="2" t="inlineStr"/>
    </row>
    <row r="1492" ht="15" customHeight="1">
      <c r="A1492" t="inlineStr">
        <is>
          <t>A 22454-2025</t>
        </is>
      </c>
      <c r="B1492" t="inlineStr">
        <is>
          <t>avverkningsanmälan</t>
        </is>
      </c>
      <c r="C1492" t="inlineStr">
        <is>
          <t>Föryngringsavverkning</t>
        </is>
      </c>
      <c r="D1492" s="1" t="n">
        <v>45786</v>
      </c>
      <c r="E1492" s="1" t="n">
        <v>46272</v>
      </c>
      <c r="F1492" t="inlineStr">
        <is>
          <t>GÄVLEBORGS LÄN</t>
        </is>
      </c>
      <c r="G1492" t="inlineStr">
        <is>
          <t>HUDIKSVALL</t>
        </is>
      </c>
      <c r="H1492" t="inlineStr">
        <is>
          <t>Holmen skog AB</t>
        </is>
      </c>
      <c r="I1492" t="n">
        <v>5.3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t="n">
        <v>0</v>
      </c>
      <c r="S1492" t="n">
        <v>0</v>
      </c>
      <c r="T1492" t="n">
        <v>0</v>
      </c>
      <c r="U1492" t="n">
        <v>0</v>
      </c>
      <c r="V1492" s="2" t="inlineStr"/>
    </row>
    <row r="1493" ht="15" customHeight="1">
      <c r="A1493" t="inlineStr">
        <is>
          <t>A 22608-2025</t>
        </is>
      </c>
      <c r="B1493" t="inlineStr">
        <is>
          <t>avverkningsanmälan</t>
        </is>
      </c>
      <c r="C1493" t="inlineStr">
        <is>
          <t>Föryngringsavverkning</t>
        </is>
      </c>
      <c r="D1493" s="1" t="n">
        <v>45789</v>
      </c>
      <c r="E1493" s="1" t="n">
        <v>46272</v>
      </c>
      <c r="F1493" t="inlineStr">
        <is>
          <t>GÄVLEBORGS LÄN</t>
        </is>
      </c>
      <c r="G1493" t="inlineStr">
        <is>
          <t>HUDIKSVALL</t>
        </is>
      </c>
      <c r="H1493" t="inlineStr">
        <is>
          <t>Holmen skog AB</t>
        </is>
      </c>
      <c r="I1493" t="n">
        <v>6.2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t="n">
        <v>0</v>
      </c>
      <c r="S1493" t="n">
        <v>0</v>
      </c>
      <c r="T1493" t="n">
        <v>0</v>
      </c>
      <c r="U1493" t="n">
        <v>0</v>
      </c>
      <c r="V1493" s="2" t="inlineStr"/>
    </row>
    <row r="1494" ht="15" customHeight="1">
      <c r="A1494" t="inlineStr">
        <is>
          <t>A 22579-2025</t>
        </is>
      </c>
      <c r="B1494" t="inlineStr">
        <is>
          <t>avverkningsanmälan</t>
        </is>
      </c>
      <c r="C1494" t="inlineStr">
        <is>
          <t>Föryngringsavverkning</t>
        </is>
      </c>
      <c r="D1494" s="1" t="n">
        <v>45789</v>
      </c>
      <c r="E1494" s="1" t="n">
        <v>46272</v>
      </c>
      <c r="F1494" t="inlineStr">
        <is>
          <t>GÄVLEBORGS LÄN</t>
        </is>
      </c>
      <c r="G1494" t="inlineStr">
        <is>
          <t>HUDIKSVALL</t>
        </is>
      </c>
      <c r="I1494" t="n">
        <v>2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t="n">
        <v>0</v>
      </c>
      <c r="S1494" t="n">
        <v>0</v>
      </c>
      <c r="T1494" t="n">
        <v>0</v>
      </c>
      <c r="U1494" t="n">
        <v>0</v>
      </c>
      <c r="V1494" s="2" t="inlineStr"/>
    </row>
    <row r="1495" ht="15" customHeight="1">
      <c r="A1495" t="inlineStr">
        <is>
          <t>A 22600-2025</t>
        </is>
      </c>
      <c r="B1495" t="inlineStr">
        <is>
          <t>avverkningsanmälan</t>
        </is>
      </c>
      <c r="C1495" t="inlineStr">
        <is>
          <t>Föryngringsavverkning</t>
        </is>
      </c>
      <c r="D1495" s="1" t="n">
        <v>45789</v>
      </c>
      <c r="E1495" s="1" t="n">
        <v>46272</v>
      </c>
      <c r="F1495" t="inlineStr">
        <is>
          <t>GÄVLEBORGS LÄN</t>
        </is>
      </c>
      <c r="G1495" t="inlineStr">
        <is>
          <t>HUDIKSVALL</t>
        </is>
      </c>
      <c r="H1495" t="inlineStr">
        <is>
          <t>Holmen skog AB</t>
        </is>
      </c>
      <c r="I1495" t="n">
        <v>4.9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t="n">
        <v>0</v>
      </c>
      <c r="S1495" t="n">
        <v>0</v>
      </c>
      <c r="T1495" t="n">
        <v>0</v>
      </c>
      <c r="U1495" t="n">
        <v>0</v>
      </c>
      <c r="V1495" s="2" t="inlineStr"/>
    </row>
    <row r="1496" ht="15" customHeight="1">
      <c r="A1496" t="inlineStr">
        <is>
          <t>A 22611-2025</t>
        </is>
      </c>
      <c r="B1496" t="inlineStr">
        <is>
          <t>avverkningsanmälan</t>
        </is>
      </c>
      <c r="C1496" t="inlineStr">
        <is>
          <t>Föryngringsavverkning</t>
        </is>
      </c>
      <c r="D1496" s="1" t="n">
        <v>45789</v>
      </c>
      <c r="E1496" s="1" t="n">
        <v>46272</v>
      </c>
      <c r="F1496" t="inlineStr">
        <is>
          <t>GÄVLEBORGS LÄN</t>
        </is>
      </c>
      <c r="G1496" t="inlineStr">
        <is>
          <t>HUDIKSVALL</t>
        </is>
      </c>
      <c r="H1496" t="inlineStr">
        <is>
          <t>Holmen skog AB</t>
        </is>
      </c>
      <c r="I1496" t="n">
        <v>2.3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t="n">
        <v>0</v>
      </c>
      <c r="S1496" t="n">
        <v>0</v>
      </c>
      <c r="T1496" t="n">
        <v>0</v>
      </c>
      <c r="U1496" t="n">
        <v>0</v>
      </c>
      <c r="V1496" s="2" t="inlineStr"/>
    </row>
    <row r="1497" ht="15" customHeight="1">
      <c r="A1497" t="inlineStr">
        <is>
          <t>A 21821-2025</t>
        </is>
      </c>
      <c r="B1497" t="inlineStr">
        <is>
          <t>avverkningsanmälan</t>
        </is>
      </c>
      <c r="C1497" t="inlineStr">
        <is>
          <t>Föryngringsavverkning</t>
        </is>
      </c>
      <c r="D1497" s="1" t="n">
        <v>45783</v>
      </c>
      <c r="E1497" s="1" t="n">
        <v>46272</v>
      </c>
      <c r="F1497" t="inlineStr">
        <is>
          <t>GÄVLEBORGS LÄN</t>
        </is>
      </c>
      <c r="G1497" t="inlineStr">
        <is>
          <t>HUDIKSVALL</t>
        </is>
      </c>
      <c r="H1497" t="inlineStr">
        <is>
          <t>Holmen skog AB</t>
        </is>
      </c>
      <c r="I1497" t="n">
        <v>44.8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t="n">
        <v>0</v>
      </c>
      <c r="S1497" t="n">
        <v>0</v>
      </c>
      <c r="T1497" t="n">
        <v>0</v>
      </c>
      <c r="U1497" t="n">
        <v>0</v>
      </c>
      <c r="V1497" s="2" t="inlineStr"/>
    </row>
    <row r="1498" ht="15" customHeight="1">
      <c r="A1498" t="inlineStr">
        <is>
          <t>A 34728-2026</t>
        </is>
      </c>
      <c r="B1498" t="inlineStr">
        <is>
          <t>avverkningsanmälan</t>
        </is>
      </c>
      <c r="C1498" t="inlineStr">
        <is>
          <t>Föryngringsavverkning</t>
        </is>
      </c>
      <c r="D1498" s="1" t="n">
        <v>46258</v>
      </c>
      <c r="E1498" s="1" t="n">
        <v>46272</v>
      </c>
      <c r="F1498" t="inlineStr">
        <is>
          <t>GÄVLEBORGS LÄN</t>
        </is>
      </c>
      <c r="G1498" t="inlineStr">
        <is>
          <t>HUDIKSVALL</t>
        </is>
      </c>
      <c r="I1498" t="n">
        <v>0.6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t="n">
        <v>0</v>
      </c>
      <c r="S1498" t="n">
        <v>0</v>
      </c>
      <c r="T1498" t="n">
        <v>0</v>
      </c>
      <c r="U1498" t="n">
        <v>0</v>
      </c>
      <c r="V1498" s="2" t="inlineStr"/>
    </row>
    <row r="1499" ht="15" customHeight="1">
      <c r="A1499" t="inlineStr">
        <is>
          <t>A 20208-2025</t>
        </is>
      </c>
      <c r="B1499" t="inlineStr">
        <is>
          <t>avverkningsanmälan</t>
        </is>
      </c>
      <c r="C1499" t="inlineStr">
        <is>
          <t>Föryngringsavverkning</t>
        </is>
      </c>
      <c r="D1499" s="1" t="n">
        <v>45772</v>
      </c>
      <c r="E1499" s="1" t="n">
        <v>46272</v>
      </c>
      <c r="F1499" t="inlineStr">
        <is>
          <t>GÄVLEBORGS LÄN</t>
        </is>
      </c>
      <c r="G1499" t="inlineStr">
        <is>
          <t>HUDIKSVALL</t>
        </is>
      </c>
      <c r="I1499" t="n">
        <v>10.1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t="n">
        <v>0</v>
      </c>
      <c r="S1499" t="n">
        <v>0</v>
      </c>
      <c r="T1499" t="n">
        <v>0</v>
      </c>
      <c r="U1499" t="n">
        <v>0</v>
      </c>
      <c r="V1499" s="2" t="inlineStr"/>
    </row>
    <row r="1500" ht="15" customHeight="1">
      <c r="A1500" t="inlineStr">
        <is>
          <t>A 22832-2025</t>
        </is>
      </c>
      <c r="B1500" t="inlineStr">
        <is>
          <t>avverkningsanmälan</t>
        </is>
      </c>
      <c r="C1500" t="inlineStr">
        <is>
          <t>Föryngringsavverkning</t>
        </is>
      </c>
      <c r="D1500" s="1" t="n">
        <v>45789</v>
      </c>
      <c r="E1500" s="1" t="n">
        <v>46272</v>
      </c>
      <c r="F1500" t="inlineStr">
        <is>
          <t>GÄVLEBORGS LÄN</t>
        </is>
      </c>
      <c r="G1500" t="inlineStr">
        <is>
          <t>HUDIKSVALL</t>
        </is>
      </c>
      <c r="H1500" t="inlineStr">
        <is>
          <t>Holmen skog AB</t>
        </is>
      </c>
      <c r="I1500" t="n">
        <v>82.3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t="n">
        <v>0</v>
      </c>
      <c r="S1500" t="n">
        <v>0</v>
      </c>
      <c r="T1500" t="n">
        <v>0</v>
      </c>
      <c r="U1500" t="n">
        <v>0</v>
      </c>
      <c r="V1500" s="2" t="inlineStr"/>
    </row>
    <row r="1501" ht="15" customHeight="1">
      <c r="A1501" t="inlineStr">
        <is>
          <t>A 35169-2026</t>
        </is>
      </c>
      <c r="B1501" t="inlineStr">
        <is>
          <t>avverkningsanmälan</t>
        </is>
      </c>
      <c r="C1501" t="inlineStr">
        <is>
          <t>Föryngringsavverkning</t>
        </is>
      </c>
      <c r="D1501" s="1" t="n">
        <v>46260</v>
      </c>
      <c r="E1501" s="1" t="n">
        <v>46272</v>
      </c>
      <c r="F1501" t="inlineStr">
        <is>
          <t>GÄVLEBORGS LÄN</t>
        </is>
      </c>
      <c r="G1501" t="inlineStr">
        <is>
          <t>HUDIKSVALL</t>
        </is>
      </c>
      <c r="H1501" t="inlineStr">
        <is>
          <t>Kommuner</t>
        </is>
      </c>
      <c r="I1501" t="n">
        <v>2.8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t="n">
        <v>0</v>
      </c>
      <c r="S1501" t="n">
        <v>0</v>
      </c>
      <c r="T1501" t="n">
        <v>0</v>
      </c>
      <c r="U1501" t="n">
        <v>0</v>
      </c>
      <c r="V1501" s="2" t="inlineStr"/>
    </row>
    <row r="1502" ht="15" customHeight="1">
      <c r="A1502" t="inlineStr">
        <is>
          <t>A 50161-2024</t>
        </is>
      </c>
      <c r="B1502" t="inlineStr">
        <is>
          <t>avverkningsanmälan</t>
        </is>
      </c>
      <c r="C1502" t="inlineStr">
        <is>
          <t>Avverkning för annat ändamål</t>
        </is>
      </c>
      <c r="D1502" s="1" t="n">
        <v>45600</v>
      </c>
      <c r="E1502" s="1" t="n">
        <v>46272</v>
      </c>
      <c r="F1502" t="inlineStr">
        <is>
          <t>GÄVLEBORGS LÄN</t>
        </is>
      </c>
      <c r="G1502" t="inlineStr">
        <is>
          <t>HUDIKSVALL</t>
        </is>
      </c>
      <c r="I1502" t="n">
        <v>2.3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t="n">
        <v>0</v>
      </c>
      <c r="S1502" t="n">
        <v>0</v>
      </c>
      <c r="T1502" t="n">
        <v>0</v>
      </c>
      <c r="U1502" t="n">
        <v>0</v>
      </c>
      <c r="V1502" s="2" t="inlineStr"/>
    </row>
    <row r="1503" ht="15" customHeight="1">
      <c r="A1503" t="inlineStr">
        <is>
          <t>A 47145-2023</t>
        </is>
      </c>
      <c r="B1503" t="inlineStr">
        <is>
          <t>avverkningsanmälan</t>
        </is>
      </c>
      <c r="C1503" t="inlineStr">
        <is>
          <t>Föryngringsavverkning</t>
        </is>
      </c>
      <c r="D1503" s="1" t="n">
        <v>45201</v>
      </c>
      <c r="E1503" s="1" t="n">
        <v>46272</v>
      </c>
      <c r="F1503" t="inlineStr">
        <is>
          <t>GÄVLEBORGS LÄN</t>
        </is>
      </c>
      <c r="G1503" t="inlineStr">
        <is>
          <t>HUDIKSVALL</t>
        </is>
      </c>
      <c r="I1503" t="n">
        <v>1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t="n">
        <v>0</v>
      </c>
      <c r="S1503" t="n">
        <v>0</v>
      </c>
      <c r="T1503" t="n">
        <v>0</v>
      </c>
      <c r="U1503" t="n">
        <v>0</v>
      </c>
      <c r="V1503" s="2" t="inlineStr"/>
    </row>
    <row r="1504" ht="15" customHeight="1">
      <c r="A1504" t="inlineStr">
        <is>
          <t>A 4164-2024</t>
        </is>
      </c>
      <c r="B1504" t="inlineStr">
        <is>
          <t>avverkningsanmälan</t>
        </is>
      </c>
      <c r="C1504" t="inlineStr">
        <is>
          <t>Föryngringsavverkning</t>
        </is>
      </c>
      <c r="D1504" s="1" t="n">
        <v>45323</v>
      </c>
      <c r="E1504" s="1" t="n">
        <v>46272</v>
      </c>
      <c r="F1504" t="inlineStr">
        <is>
          <t>GÄVLEBORGS LÄN</t>
        </is>
      </c>
      <c r="G1504" t="inlineStr">
        <is>
          <t>HUDIKSVALL</t>
        </is>
      </c>
      <c r="I1504" t="n">
        <v>2.7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t="n">
        <v>0</v>
      </c>
      <c r="S1504" t="n">
        <v>0</v>
      </c>
      <c r="T1504" t="n">
        <v>0</v>
      </c>
      <c r="U1504" t="n">
        <v>0</v>
      </c>
      <c r="V1504" s="2" t="inlineStr"/>
    </row>
    <row r="1505" ht="15" customHeight="1">
      <c r="A1505" t="inlineStr">
        <is>
          <t>A 1105-2025</t>
        </is>
      </c>
      <c r="B1505" t="inlineStr">
        <is>
          <t>avverkningsanmälan</t>
        </is>
      </c>
      <c r="C1505" t="inlineStr">
        <is>
          <t>Föryngringsavverkning</t>
        </is>
      </c>
      <c r="D1505" s="1" t="n">
        <v>45666</v>
      </c>
      <c r="E1505" s="1" t="n">
        <v>46272</v>
      </c>
      <c r="F1505" t="inlineStr">
        <is>
          <t>GÄVLEBORGS LÄN</t>
        </is>
      </c>
      <c r="G1505" t="inlineStr">
        <is>
          <t>HUDIKSVALL</t>
        </is>
      </c>
      <c r="I1505" t="n">
        <v>1.5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t="n">
        <v>0</v>
      </c>
      <c r="S1505" t="n">
        <v>0</v>
      </c>
      <c r="T1505" t="n">
        <v>0</v>
      </c>
      <c r="U1505" t="n">
        <v>0</v>
      </c>
      <c r="V1505" s="2" t="inlineStr"/>
    </row>
    <row r="1506" ht="15" customHeight="1">
      <c r="A1506" t="inlineStr">
        <is>
          <t>A 35170-2026</t>
        </is>
      </c>
      <c r="B1506" t="inlineStr">
        <is>
          <t>avverkningsanmälan</t>
        </is>
      </c>
      <c r="C1506" t="inlineStr">
        <is>
          <t>Föryngringsavverkning</t>
        </is>
      </c>
      <c r="D1506" s="1" t="n">
        <v>46260</v>
      </c>
      <c r="E1506" s="1" t="n">
        <v>46272</v>
      </c>
      <c r="F1506" t="inlineStr">
        <is>
          <t>GÄVLEBORGS LÄN</t>
        </is>
      </c>
      <c r="G1506" t="inlineStr">
        <is>
          <t>HUDIKSVALL</t>
        </is>
      </c>
      <c r="H1506" t="inlineStr">
        <is>
          <t>Kommuner</t>
        </is>
      </c>
      <c r="I1506" t="n">
        <v>2.6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t="n">
        <v>0</v>
      </c>
      <c r="S1506" t="n">
        <v>0</v>
      </c>
      <c r="T1506" t="n">
        <v>0</v>
      </c>
      <c r="U1506" t="n">
        <v>0</v>
      </c>
      <c r="V1506" s="2" t="inlineStr"/>
    </row>
    <row r="1507" ht="15" customHeight="1">
      <c r="A1507" t="inlineStr">
        <is>
          <t>A 64579-2023</t>
        </is>
      </c>
      <c r="B1507" t="inlineStr">
        <is>
          <t>avverkningsanmälan</t>
        </is>
      </c>
      <c r="C1507" t="inlineStr">
        <is>
          <t>Avverkning för annat ändamål</t>
        </is>
      </c>
      <c r="D1507" s="1" t="n">
        <v>45281</v>
      </c>
      <c r="E1507" s="1" t="n">
        <v>46272</v>
      </c>
      <c r="F1507" t="inlineStr">
        <is>
          <t>GÄVLEBORGS LÄN</t>
        </is>
      </c>
      <c r="G1507" t="inlineStr">
        <is>
          <t>HUDIKSVALL</t>
        </is>
      </c>
      <c r="I1507" t="n">
        <v>1.4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t="n">
        <v>0</v>
      </c>
      <c r="S1507" t="n">
        <v>0</v>
      </c>
      <c r="T1507" t="n">
        <v>0</v>
      </c>
      <c r="U1507" t="n">
        <v>0</v>
      </c>
      <c r="V1507" s="2" t="inlineStr"/>
    </row>
    <row r="1508" ht="15" customHeight="1">
      <c r="A1508" t="inlineStr">
        <is>
          <t>A 53624-2024</t>
        </is>
      </c>
      <c r="B1508" t="inlineStr">
        <is>
          <t>avverkningsanmälan</t>
        </is>
      </c>
      <c r="C1508" t="inlineStr">
        <is>
          <t>Avverkning för annat ändamål</t>
        </is>
      </c>
      <c r="D1508" s="1" t="n">
        <v>45614</v>
      </c>
      <c r="E1508" s="1" t="n">
        <v>46272</v>
      </c>
      <c r="F1508" t="inlineStr">
        <is>
          <t>GÄVLEBORGS LÄN</t>
        </is>
      </c>
      <c r="G1508" t="inlineStr">
        <is>
          <t>HUDIKSVALL</t>
        </is>
      </c>
      <c r="I1508" t="n">
        <v>1.8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t="n">
        <v>0</v>
      </c>
      <c r="S1508" t="n">
        <v>0</v>
      </c>
      <c r="T1508" t="n">
        <v>0</v>
      </c>
      <c r="U1508" t="n">
        <v>0</v>
      </c>
      <c r="V1508" s="2" t="inlineStr"/>
    </row>
    <row r="1509" ht="15" customHeight="1">
      <c r="A1509" t="inlineStr">
        <is>
          <t>A 7976-2026</t>
        </is>
      </c>
      <c r="B1509" t="inlineStr">
        <is>
          <t>avverkningsanmälan</t>
        </is>
      </c>
      <c r="C1509" t="inlineStr">
        <is>
          <t>Föryngringsavverkning</t>
        </is>
      </c>
      <c r="D1509" s="1" t="n">
        <v>46063</v>
      </c>
      <c r="E1509" s="1" t="n">
        <v>46272</v>
      </c>
      <c r="F1509" t="inlineStr">
        <is>
          <t>GÄVLEBORGS LÄN</t>
        </is>
      </c>
      <c r="G1509" t="inlineStr">
        <is>
          <t>HUDIKSVALL</t>
        </is>
      </c>
      <c r="I1509" t="n">
        <v>1.5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t="n">
        <v>0</v>
      </c>
      <c r="S1509" t="n">
        <v>0</v>
      </c>
      <c r="T1509" t="n">
        <v>0</v>
      </c>
      <c r="U1509" t="n">
        <v>0</v>
      </c>
      <c r="V1509" s="2" t="inlineStr"/>
    </row>
    <row r="1510" ht="15" customHeight="1">
      <c r="A1510" t="inlineStr">
        <is>
          <t>A 35767-2026</t>
        </is>
      </c>
      <c r="B1510" t="inlineStr">
        <is>
          <t>avverkningsanmälan</t>
        </is>
      </c>
      <c r="C1510" t="inlineStr">
        <is>
          <t>Föryngringsavverkning</t>
        </is>
      </c>
      <c r="D1510" s="1" t="n">
        <v>46265</v>
      </c>
      <c r="E1510" s="1" t="n">
        <v>46272</v>
      </c>
      <c r="F1510" t="inlineStr">
        <is>
          <t>GÄVLEBORGS LÄN</t>
        </is>
      </c>
      <c r="G1510" t="inlineStr">
        <is>
          <t>HUDIKSVALL</t>
        </is>
      </c>
      <c r="I1510" t="n">
        <v>1.4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t="n">
        <v>0</v>
      </c>
      <c r="S1510" t="n">
        <v>0</v>
      </c>
      <c r="T1510" t="n">
        <v>0</v>
      </c>
      <c r="U1510" t="n">
        <v>0</v>
      </c>
      <c r="V1510" s="2" t="inlineStr"/>
    </row>
    <row r="1511" ht="15" customHeight="1">
      <c r="A1511" t="inlineStr">
        <is>
          <t>A 21927-2024</t>
        </is>
      </c>
      <c r="B1511" t="inlineStr">
        <is>
          <t>avverkningsanmälan</t>
        </is>
      </c>
      <c r="C1511" t="inlineStr">
        <is>
          <t>Föryngringsavverkning</t>
        </is>
      </c>
      <c r="D1511" s="1" t="n">
        <v>45443</v>
      </c>
      <c r="E1511" s="1" t="n">
        <v>46272</v>
      </c>
      <c r="F1511" t="inlineStr">
        <is>
          <t>GÄVLEBORGS LÄN</t>
        </is>
      </c>
      <c r="G1511" t="inlineStr">
        <is>
          <t>HUDIKSVALL</t>
        </is>
      </c>
      <c r="H1511" t="inlineStr">
        <is>
          <t>Holmen skog AB</t>
        </is>
      </c>
      <c r="I1511" t="n">
        <v>1.2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t="n">
        <v>0</v>
      </c>
      <c r="S1511" t="n">
        <v>0</v>
      </c>
      <c r="T1511" t="n">
        <v>0</v>
      </c>
      <c r="U1511" t="n">
        <v>0</v>
      </c>
      <c r="V1511" s="2" t="inlineStr"/>
    </row>
    <row r="1512" ht="15" customHeight="1">
      <c r="A1512" t="inlineStr">
        <is>
          <t>A 35769-2026</t>
        </is>
      </c>
      <c r="B1512" t="inlineStr">
        <is>
          <t>avverkningsanmälan</t>
        </is>
      </c>
      <c r="C1512" t="inlineStr">
        <is>
          <t>Föryngringsavverkning</t>
        </is>
      </c>
      <c r="D1512" s="1" t="n">
        <v>46265</v>
      </c>
      <c r="E1512" s="1" t="n">
        <v>46272</v>
      </c>
      <c r="F1512" t="inlineStr">
        <is>
          <t>GÄVLEBORGS LÄN</t>
        </is>
      </c>
      <c r="G1512" t="inlineStr">
        <is>
          <t>HUDIKSVALL</t>
        </is>
      </c>
      <c r="I1512" t="n">
        <v>0.9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t="n">
        <v>0</v>
      </c>
      <c r="S1512" t="n">
        <v>0</v>
      </c>
      <c r="T1512" t="n">
        <v>0</v>
      </c>
      <c r="U1512" t="n">
        <v>0</v>
      </c>
      <c r="V1512" s="2" t="inlineStr"/>
    </row>
    <row r="1513" ht="15" customHeight="1">
      <c r="A1513" t="inlineStr">
        <is>
          <t>A 47700-2024</t>
        </is>
      </c>
      <c r="B1513" t="inlineStr">
        <is>
          <t>avverkningsanmälan</t>
        </is>
      </c>
      <c r="C1513" t="inlineStr">
        <is>
          <t>Föryngringsavverkning</t>
        </is>
      </c>
      <c r="D1513" s="1" t="n">
        <v>45588</v>
      </c>
      <c r="E1513" s="1" t="n">
        <v>46272</v>
      </c>
      <c r="F1513" t="inlineStr">
        <is>
          <t>GÄVLEBORGS LÄN</t>
        </is>
      </c>
      <c r="G1513" t="inlineStr">
        <is>
          <t>HUDIKSVALL</t>
        </is>
      </c>
      <c r="I1513" t="n">
        <v>1.4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t="n">
        <v>0</v>
      </c>
      <c r="S1513" t="n">
        <v>0</v>
      </c>
      <c r="T1513" t="n">
        <v>0</v>
      </c>
      <c r="U1513" t="n">
        <v>0</v>
      </c>
      <c r="V1513" s="2" t="inlineStr"/>
    </row>
    <row r="1514" ht="15" customHeight="1">
      <c r="A1514" t="inlineStr">
        <is>
          <t>A 46667-2024</t>
        </is>
      </c>
      <c r="B1514" t="inlineStr">
        <is>
          <t>avverkningsanmälan</t>
        </is>
      </c>
      <c r="C1514" t="inlineStr">
        <is>
          <t>Föryngringsavverkning</t>
        </is>
      </c>
      <c r="D1514" s="1" t="n">
        <v>45583</v>
      </c>
      <c r="E1514" s="1" t="n">
        <v>46272</v>
      </c>
      <c r="F1514" t="inlineStr">
        <is>
          <t>GÄVLEBORGS LÄN</t>
        </is>
      </c>
      <c r="G1514" t="inlineStr">
        <is>
          <t>HUDIKSVALL</t>
        </is>
      </c>
      <c r="I1514" t="n">
        <v>1.2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t="n">
        <v>0</v>
      </c>
      <c r="S1514" t="n">
        <v>0</v>
      </c>
      <c r="T1514" t="n">
        <v>0</v>
      </c>
      <c r="U1514" t="n">
        <v>0</v>
      </c>
      <c r="V1514" s="2" t="inlineStr"/>
    </row>
    <row r="1515" ht="15" customHeight="1">
      <c r="A1515" t="inlineStr">
        <is>
          <t>A 31435-2026</t>
        </is>
      </c>
      <c r="B1515" t="inlineStr">
        <is>
          <t>avverkningsanmälan</t>
        </is>
      </c>
      <c r="C1515" t="inlineStr">
        <is>
          <t>Föryngringsavverkning</t>
        </is>
      </c>
      <c r="D1515" s="1" t="n">
        <v>46220</v>
      </c>
      <c r="E1515" s="1" t="n">
        <v>46272</v>
      </c>
      <c r="F1515" t="inlineStr">
        <is>
          <t>GÄVLEBORGS LÄN</t>
        </is>
      </c>
      <c r="G1515" t="inlineStr">
        <is>
          <t>HUDIKSVALL</t>
        </is>
      </c>
      <c r="I1515" t="n">
        <v>1.5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t="n">
        <v>0</v>
      </c>
      <c r="S1515" t="n">
        <v>0</v>
      </c>
      <c r="T1515" t="n">
        <v>0</v>
      </c>
      <c r="U1515" t="n">
        <v>0</v>
      </c>
      <c r="V1515" s="2" t="inlineStr"/>
    </row>
    <row r="1516" ht="15" customHeight="1">
      <c r="A1516" t="inlineStr">
        <is>
          <t>A 7652-2026</t>
        </is>
      </c>
      <c r="B1516" t="inlineStr">
        <is>
          <t>avverkningsanmälan</t>
        </is>
      </c>
      <c r="C1516" t="inlineStr">
        <is>
          <t>Föryngringsavverkning</t>
        </is>
      </c>
      <c r="D1516" s="1" t="n">
        <v>46062</v>
      </c>
      <c r="E1516" s="1" t="n">
        <v>46272</v>
      </c>
      <c r="F1516" t="inlineStr">
        <is>
          <t>GÄVLEBORGS LÄN</t>
        </is>
      </c>
      <c r="G1516" t="inlineStr">
        <is>
          <t>HUDIKSVALL</t>
        </is>
      </c>
      <c r="I1516" t="n">
        <v>3.3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t="n">
        <v>0</v>
      </c>
      <c r="S1516" t="n">
        <v>0</v>
      </c>
      <c r="T1516" t="n">
        <v>0</v>
      </c>
      <c r="U1516" t="n">
        <v>0</v>
      </c>
      <c r="V1516" s="2" t="inlineStr"/>
    </row>
    <row r="1517" ht="15" customHeight="1">
      <c r="A1517" t="inlineStr">
        <is>
          <t>A 36042-2026</t>
        </is>
      </c>
      <c r="B1517" t="inlineStr">
        <is>
          <t>avverkningsanmälan</t>
        </is>
      </c>
      <c r="C1517" t="inlineStr">
        <is>
          <t>Föryngringsavverkning</t>
        </is>
      </c>
      <c r="D1517" s="1" t="n">
        <v>46267</v>
      </c>
      <c r="E1517" s="1" t="n">
        <v>46272</v>
      </c>
      <c r="F1517" t="inlineStr">
        <is>
          <t>GÄVLEBORGS LÄN</t>
        </is>
      </c>
      <c r="G1517" t="inlineStr">
        <is>
          <t>HUDIKSVALL</t>
        </is>
      </c>
      <c r="I1517" t="n">
        <v>1.2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t="n">
        <v>0</v>
      </c>
      <c r="S1517" t="n">
        <v>0</v>
      </c>
      <c r="T1517" t="n">
        <v>0</v>
      </c>
      <c r="U1517" t="n">
        <v>0</v>
      </c>
      <c r="V1517" s="2" t="inlineStr"/>
    </row>
    <row r="1518" ht="15" customHeight="1">
      <c r="A1518" t="inlineStr">
        <is>
          <t>A 31663-2026</t>
        </is>
      </c>
      <c r="B1518" t="inlineStr">
        <is>
          <t>avverkningsanmälan</t>
        </is>
      </c>
      <c r="C1518" t="inlineStr">
        <is>
          <t>Föryngringsavverkning</t>
        </is>
      </c>
      <c r="D1518" s="1" t="n">
        <v>46225</v>
      </c>
      <c r="E1518" s="1" t="n">
        <v>46272</v>
      </c>
      <c r="F1518" t="inlineStr">
        <is>
          <t>GÄVLEBORGS LÄN</t>
        </is>
      </c>
      <c r="G1518" t="inlineStr">
        <is>
          <t>HUDIKSVALL</t>
        </is>
      </c>
      <c r="H1518" t="inlineStr">
        <is>
          <t>Holmen skog AB</t>
        </is>
      </c>
      <c r="I1518" t="n">
        <v>2.4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t="n">
        <v>0</v>
      </c>
      <c r="S1518" t="n">
        <v>0</v>
      </c>
      <c r="T1518" t="n">
        <v>0</v>
      </c>
      <c r="U1518" t="n">
        <v>0</v>
      </c>
      <c r="V1518" s="2" t="inlineStr"/>
    </row>
    <row r="1519" ht="15" customHeight="1">
      <c r="A1519" t="inlineStr">
        <is>
          <t>A 36318-2026</t>
        </is>
      </c>
      <c r="B1519" t="inlineStr">
        <is>
          <t>avverkningsanmälan</t>
        </is>
      </c>
      <c r="C1519" t="inlineStr">
        <is>
          <t>Föryngringsavverkning</t>
        </is>
      </c>
      <c r="D1519" s="1" t="n">
        <v>46268</v>
      </c>
      <c r="E1519" s="1" t="n">
        <v>46272</v>
      </c>
      <c r="F1519" t="inlineStr">
        <is>
          <t>GÄVLEBORGS LÄN</t>
        </is>
      </c>
      <c r="G1519" t="inlineStr">
        <is>
          <t>HUDIKSVALL</t>
        </is>
      </c>
      <c r="I1519" t="n">
        <v>2.6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t="n">
        <v>0</v>
      </c>
      <c r="S1519" t="n">
        <v>0</v>
      </c>
      <c r="T1519" t="n">
        <v>0</v>
      </c>
      <c r="U1519" t="n">
        <v>0</v>
      </c>
      <c r="V1519" s="2" t="inlineStr"/>
    </row>
    <row r="1520" ht="15" customHeight="1">
      <c r="A1520" t="inlineStr">
        <is>
          <t>A 36357-2026</t>
        </is>
      </c>
      <c r="B1520" t="inlineStr">
        <is>
          <t>avverkningsanmälan</t>
        </is>
      </c>
      <c r="C1520" t="inlineStr">
        <is>
          <t>Föryngringsavverkning</t>
        </is>
      </c>
      <c r="D1520" s="1" t="n">
        <v>46268</v>
      </c>
      <c r="E1520" s="1" t="n">
        <v>46272</v>
      </c>
      <c r="F1520" t="inlineStr">
        <is>
          <t>GÄVLEBORGS LÄN</t>
        </is>
      </c>
      <c r="G1520" t="inlineStr">
        <is>
          <t>HUDIKSVALL</t>
        </is>
      </c>
      <c r="I1520" t="n">
        <v>2.1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t="n">
        <v>0</v>
      </c>
      <c r="S1520" t="n">
        <v>0</v>
      </c>
      <c r="T1520" t="n">
        <v>0</v>
      </c>
      <c r="U1520" t="n">
        <v>0</v>
      </c>
      <c r="V1520" s="2" t="inlineStr"/>
    </row>
    <row r="1521" ht="15" customHeight="1">
      <c r="A1521" t="inlineStr">
        <is>
          <t>A 31662-2026</t>
        </is>
      </c>
      <c r="B1521" t="inlineStr">
        <is>
          <t>avverkningsanmälan</t>
        </is>
      </c>
      <c r="C1521" t="inlineStr">
        <is>
          <t>Föryngringsavverkning</t>
        </is>
      </c>
      <c r="D1521" s="1" t="n">
        <v>46225</v>
      </c>
      <c r="E1521" s="1" t="n">
        <v>46272</v>
      </c>
      <c r="F1521" t="inlineStr">
        <is>
          <t>GÄVLEBORGS LÄN</t>
        </is>
      </c>
      <c r="G1521" t="inlineStr">
        <is>
          <t>HUDIKSVALL</t>
        </is>
      </c>
      <c r="H1521" t="inlineStr">
        <is>
          <t>Holmen skog AB</t>
        </is>
      </c>
      <c r="I1521" t="n">
        <v>12.1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t="n">
        <v>0</v>
      </c>
      <c r="S1521" t="n">
        <v>0</v>
      </c>
      <c r="T1521" t="n">
        <v>0</v>
      </c>
      <c r="U1521" t="n">
        <v>0</v>
      </c>
      <c r="V1521" s="2" t="inlineStr"/>
    </row>
    <row r="1522" ht="15" customHeight="1">
      <c r="A1522" t="inlineStr">
        <is>
          <t>A 31686-2026</t>
        </is>
      </c>
      <c r="B1522" t="inlineStr">
        <is>
          <t>avverkningsanmälan</t>
        </is>
      </c>
      <c r="C1522" t="inlineStr">
        <is>
          <t>Föryngringsavverkning</t>
        </is>
      </c>
      <c r="D1522" s="1" t="n">
        <v>46226</v>
      </c>
      <c r="E1522" s="1" t="n">
        <v>46272</v>
      </c>
      <c r="F1522" t="inlineStr">
        <is>
          <t>GÄVLEBORGS LÄN</t>
        </is>
      </c>
      <c r="G1522" t="inlineStr">
        <is>
          <t>HUDIKSVALL</t>
        </is>
      </c>
      <c r="H1522" t="inlineStr">
        <is>
          <t>Naturvårdsverket</t>
        </is>
      </c>
      <c r="I1522" t="n">
        <v>1.6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t="n">
        <v>0</v>
      </c>
      <c r="S1522" t="n">
        <v>0</v>
      </c>
      <c r="T1522" t="n">
        <v>0</v>
      </c>
      <c r="U1522" t="n">
        <v>0</v>
      </c>
      <c r="V1522" s="2" t="inlineStr"/>
    </row>
    <row r="1523" ht="15" customHeight="1">
      <c r="A1523" t="inlineStr">
        <is>
          <t>S 161-2025</t>
        </is>
      </c>
      <c r="B1523" t="inlineStr">
        <is>
          <t>samrådsanmälan</t>
        </is>
      </c>
      <c r="C1523" t="inlineStr">
        <is>
          <t>Skogsgödsling</t>
        </is>
      </c>
      <c r="D1523" s="1" t="n">
        <v>45670</v>
      </c>
      <c r="E1523" s="1" t="n">
        <v>46272</v>
      </c>
      <c r="F1523" t="inlineStr">
        <is>
          <t>GÄVLEBORGS LÄN</t>
        </is>
      </c>
      <c r="G1523" t="inlineStr">
        <is>
          <t>HUDIKSVALL</t>
        </is>
      </c>
      <c r="H1523" t="inlineStr">
        <is>
          <t>Holmen skog AB</t>
        </is>
      </c>
      <c r="I1523" t="n">
        <v>39.3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t="n">
        <v>0</v>
      </c>
      <c r="S1523" t="n">
        <v>0</v>
      </c>
      <c r="T1523" t="n">
        <v>0</v>
      </c>
      <c r="U1523" t="n">
        <v>0</v>
      </c>
      <c r="V1523" s="2" t="inlineStr"/>
    </row>
    <row r="1524" ht="15" customHeight="1">
      <c r="A1524" t="inlineStr">
        <is>
          <t>S 1025-2024</t>
        </is>
      </c>
      <c r="B1524" t="inlineStr">
        <is>
          <t>samrådsanmälan</t>
        </is>
      </c>
      <c r="C1524" t="inlineStr">
        <is>
          <t>Skogsgödsling</t>
        </is>
      </c>
      <c r="D1524" s="1" t="n">
        <v>45387</v>
      </c>
      <c r="E1524" s="1" t="n">
        <v>46272</v>
      </c>
      <c r="F1524" t="inlineStr">
        <is>
          <t>GÄVLEBORGS LÄN</t>
        </is>
      </c>
      <c r="G1524" t="inlineStr">
        <is>
          <t>HUDIKSVALL</t>
        </is>
      </c>
      <c r="H1524" t="inlineStr">
        <is>
          <t>Holmen skog AB</t>
        </is>
      </c>
      <c r="I1524" t="n">
        <v>117.6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t="n">
        <v>0</v>
      </c>
      <c r="S1524" t="n">
        <v>0</v>
      </c>
      <c r="T1524" t="n">
        <v>0</v>
      </c>
      <c r="U1524" t="n">
        <v>0</v>
      </c>
      <c r="V1524" s="2" t="inlineStr"/>
    </row>
    <row r="1525" ht="15" customHeight="1">
      <c r="A1525" t="inlineStr">
        <is>
          <t>S 4009-2023</t>
        </is>
      </c>
      <c r="B1525" t="inlineStr">
        <is>
          <t>samrådsanmälan</t>
        </is>
      </c>
      <c r="C1525" t="inlineStr">
        <is>
          <t>Skogsgödsling</t>
        </is>
      </c>
      <c r="D1525" s="1" t="n">
        <v>45237</v>
      </c>
      <c r="E1525" s="1" t="n">
        <v>46272</v>
      </c>
      <c r="F1525" t="inlineStr">
        <is>
          <t>GÄVLEBORGS LÄN</t>
        </is>
      </c>
      <c r="G1525" t="inlineStr">
        <is>
          <t>HUDIKSVALL</t>
        </is>
      </c>
      <c r="H1525" t="inlineStr">
        <is>
          <t>Holmen skog AB</t>
        </is>
      </c>
      <c r="I1525" t="n">
        <v>10.6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t="n">
        <v>0</v>
      </c>
      <c r="S1525" t="n">
        <v>0</v>
      </c>
      <c r="T1525" t="n">
        <v>0</v>
      </c>
      <c r="U1525" t="n">
        <v>0</v>
      </c>
      <c r="V1525" s="2" t="inlineStr"/>
    </row>
    <row r="1526" ht="15" customHeight="1">
      <c r="A1526" t="inlineStr">
        <is>
          <t>S 4008-2023</t>
        </is>
      </c>
      <c r="B1526" t="inlineStr">
        <is>
          <t>samrådsanmälan</t>
        </is>
      </c>
      <c r="C1526" t="inlineStr">
        <is>
          <t>Skogsgödsling</t>
        </is>
      </c>
      <c r="D1526" s="1" t="n">
        <v>45237</v>
      </c>
      <c r="E1526" s="1" t="n">
        <v>46272</v>
      </c>
      <c r="F1526" t="inlineStr">
        <is>
          <t>GÄVLEBORGS LÄN</t>
        </is>
      </c>
      <c r="G1526" t="inlineStr">
        <is>
          <t>HUDIKSVALL</t>
        </is>
      </c>
      <c r="H1526" t="inlineStr">
        <is>
          <t>Holmen skog AB</t>
        </is>
      </c>
      <c r="I1526" t="n">
        <v>42.8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t="n">
        <v>0</v>
      </c>
      <c r="S1526" t="n">
        <v>0</v>
      </c>
      <c r="T1526" t="n">
        <v>0</v>
      </c>
      <c r="U1526" t="n">
        <v>0</v>
      </c>
      <c r="V1526" s="2" t="inlineStr"/>
    </row>
    <row r="1527" ht="15" customHeight="1">
      <c r="A1527" t="inlineStr">
        <is>
          <t>S 10198-2021</t>
        </is>
      </c>
      <c r="B1527" t="inlineStr">
        <is>
          <t>samrådsanmälan</t>
        </is>
      </c>
      <c r="C1527" t="inlineStr">
        <is>
          <t>Skogsgödsling</t>
        </is>
      </c>
      <c r="D1527" s="1" t="n">
        <v>44543</v>
      </c>
      <c r="E1527" s="1" t="n">
        <v>46272</v>
      </c>
      <c r="F1527" t="inlineStr">
        <is>
          <t>GÄVLEBORGS LÄN</t>
        </is>
      </c>
      <c r="G1527" t="inlineStr">
        <is>
          <t>HUDIKSVALL</t>
        </is>
      </c>
      <c r="I1527" t="n">
        <v>2.8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t="n">
        <v>0</v>
      </c>
      <c r="S1527" t="n">
        <v>0</v>
      </c>
      <c r="T1527" t="n">
        <v>0</v>
      </c>
      <c r="U1527" t="n">
        <v>0</v>
      </c>
      <c r="V1527" s="2" t="inlineStr"/>
    </row>
    <row r="1528" ht="15" customHeight="1">
      <c r="A1528" t="inlineStr">
        <is>
          <t>S 5089-2024</t>
        </is>
      </c>
      <c r="B1528" t="inlineStr">
        <is>
          <t>samrådsanmälan</t>
        </is>
      </c>
      <c r="C1528" t="inlineStr">
        <is>
          <t>Skogsgödsling</t>
        </is>
      </c>
      <c r="D1528" s="1" t="n">
        <v>45639</v>
      </c>
      <c r="E1528" s="1" t="n">
        <v>46272</v>
      </c>
      <c r="F1528" t="inlineStr">
        <is>
          <t>GÄVLEBORGS LÄN</t>
        </is>
      </c>
      <c r="G1528" t="inlineStr">
        <is>
          <t>HUDIKSVALL</t>
        </is>
      </c>
      <c r="I1528" t="n">
        <v>17.2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t="n">
        <v>0</v>
      </c>
      <c r="S1528" t="n">
        <v>0</v>
      </c>
      <c r="T1528" t="n">
        <v>0</v>
      </c>
      <c r="U1528" t="n">
        <v>0</v>
      </c>
      <c r="V1528" s="2" t="inlineStr"/>
    </row>
    <row r="1529" ht="15" customHeight="1">
      <c r="A1529" t="inlineStr">
        <is>
          <t>S 125-2025</t>
        </is>
      </c>
      <c r="B1529" t="inlineStr">
        <is>
          <t>samrådsanmälan</t>
        </is>
      </c>
      <c r="C1529" t="inlineStr">
        <is>
          <t>Skogsgödsling</t>
        </is>
      </c>
      <c r="D1529" s="1" t="n">
        <v>45670</v>
      </c>
      <c r="E1529" s="1" t="n">
        <v>46272</v>
      </c>
      <c r="F1529" t="inlineStr">
        <is>
          <t>GÄVLEBORGS LÄN</t>
        </is>
      </c>
      <c r="G1529" t="inlineStr">
        <is>
          <t>HUDIKSVALL</t>
        </is>
      </c>
      <c r="H1529" t="inlineStr">
        <is>
          <t>Holmen skog AB</t>
        </is>
      </c>
      <c r="I1529" t="n">
        <v>29.4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t="n">
        <v>0</v>
      </c>
      <c r="S1529" t="n">
        <v>0</v>
      </c>
      <c r="T1529" t="n">
        <v>0</v>
      </c>
      <c r="U1529" t="n">
        <v>0</v>
      </c>
      <c r="V1529" s="2" t="inlineStr"/>
    </row>
    <row r="1530" ht="15" customHeight="1">
      <c r="A1530" t="inlineStr">
        <is>
          <t>S 126-2025</t>
        </is>
      </c>
      <c r="B1530" t="inlineStr">
        <is>
          <t>samrådsanmälan</t>
        </is>
      </c>
      <c r="C1530" t="inlineStr">
        <is>
          <t>Skogsgödsling</t>
        </is>
      </c>
      <c r="D1530" s="1" t="n">
        <v>45670</v>
      </c>
      <c r="E1530" s="1" t="n">
        <v>46272</v>
      </c>
      <c r="F1530" t="inlineStr">
        <is>
          <t>GÄVLEBORGS LÄN</t>
        </is>
      </c>
      <c r="G1530" t="inlineStr">
        <is>
          <t>HUDIKSVALL</t>
        </is>
      </c>
      <c r="H1530" t="inlineStr">
        <is>
          <t>Holmen skog AB</t>
        </is>
      </c>
      <c r="I1530" t="n">
        <v>2.1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t="n">
        <v>0</v>
      </c>
      <c r="S1530" t="n">
        <v>0</v>
      </c>
      <c r="T1530" t="n">
        <v>0</v>
      </c>
      <c r="U1530" t="n">
        <v>0</v>
      </c>
      <c r="V1530" s="2" t="inlineStr"/>
    </row>
    <row r="1531" ht="15" customHeight="1">
      <c r="A1531" t="inlineStr">
        <is>
          <t>S 4021-2023</t>
        </is>
      </c>
      <c r="B1531" t="inlineStr">
        <is>
          <t>samrådsanmälan</t>
        </is>
      </c>
      <c r="C1531" t="inlineStr">
        <is>
          <t>Skogsgödsling</t>
        </is>
      </c>
      <c r="D1531" s="1" t="n">
        <v>45237</v>
      </c>
      <c r="E1531" s="1" t="n">
        <v>46272</v>
      </c>
      <c r="F1531" t="inlineStr">
        <is>
          <t>GÄVLEBORGS LÄN</t>
        </is>
      </c>
      <c r="G1531" t="inlineStr">
        <is>
          <t>HUDIKSVALL</t>
        </is>
      </c>
      <c r="H1531" t="inlineStr">
        <is>
          <t>Holmen skog AB</t>
        </is>
      </c>
      <c r="I1531" t="n">
        <v>29.1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t="n">
        <v>0</v>
      </c>
      <c r="S1531" t="n">
        <v>0</v>
      </c>
      <c r="T1531" t="n">
        <v>0</v>
      </c>
      <c r="U1531" t="n">
        <v>0</v>
      </c>
      <c r="V1531" s="2" t="inlineStr"/>
      <c r="Z1531">
        <f>HYPERLINK("https://klasma.github.io/Logging_2184/knärot/S 4021-2023 karta knärot.png", "S 4021-2023")</f>
        <v/>
      </c>
      <c r="AA1531">
        <f>HYPERLINK("https://klasma.github.io/Logging_2184/klagomål/S 4021-2023 FSC-klagomål.docx", "S 4021-2023")</f>
        <v/>
      </c>
      <c r="AB1531">
        <f>HYPERLINK("https://klasma.github.io/Logging_2184/klagomålsmail/S 4021-2023 FSC-klagomål mail.docx", "S 4021-2023")</f>
        <v/>
      </c>
      <c r="AC1531">
        <f>HYPERLINK("https://klasma.github.io/Logging_2184/tillsyn/S 4021-2023 tillsynsbegäran.docx", "S 4021-2023")</f>
        <v/>
      </c>
      <c r="AD1531">
        <f>HYPERLINK("https://klasma.github.io/Logging_2184/tillsynsmail/S 4021-2023 tillsynsbegäran mail.docx", "S 4021-2023")</f>
        <v/>
      </c>
    </row>
    <row r="1532" ht="15" customHeight="1">
      <c r="A1532" t="inlineStr">
        <is>
          <t>S 130-2025</t>
        </is>
      </c>
      <c r="B1532" t="inlineStr">
        <is>
          <t>samrådsanmälan</t>
        </is>
      </c>
      <c r="C1532" t="inlineStr">
        <is>
          <t>Skogsgödsling</t>
        </is>
      </c>
      <c r="D1532" s="1" t="n">
        <v>45670</v>
      </c>
      <c r="E1532" s="1" t="n">
        <v>46272</v>
      </c>
      <c r="F1532" t="inlineStr">
        <is>
          <t>GÄVLEBORGS LÄN</t>
        </is>
      </c>
      <c r="G1532" t="inlineStr">
        <is>
          <t>HUDIKSVALL</t>
        </is>
      </c>
      <c r="H1532" t="inlineStr">
        <is>
          <t>Holmen skog AB</t>
        </is>
      </c>
      <c r="I1532" t="n">
        <v>18.8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t="n">
        <v>0</v>
      </c>
      <c r="S1532" t="n">
        <v>0</v>
      </c>
      <c r="T1532" t="n">
        <v>0</v>
      </c>
      <c r="U1532" t="n">
        <v>0</v>
      </c>
      <c r="V1532" s="2" t="inlineStr"/>
    </row>
    <row r="1533" ht="15" customHeight="1">
      <c r="A1533" t="inlineStr">
        <is>
          <t>S 4013-2023</t>
        </is>
      </c>
      <c r="B1533" t="inlineStr">
        <is>
          <t>samrådsanmälan</t>
        </is>
      </c>
      <c r="C1533" t="inlineStr">
        <is>
          <t>Skogsgödsling</t>
        </is>
      </c>
      <c r="D1533" s="1" t="n">
        <v>45237</v>
      </c>
      <c r="E1533" s="1" t="n">
        <v>46272</v>
      </c>
      <c r="F1533" t="inlineStr">
        <is>
          <t>GÄVLEBORGS LÄN</t>
        </is>
      </c>
      <c r="G1533" t="inlineStr">
        <is>
          <t>HUDIKSVALL</t>
        </is>
      </c>
      <c r="H1533" t="inlineStr">
        <is>
          <t>Holmen skog AB</t>
        </is>
      </c>
      <c r="I1533" t="n">
        <v>7.9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t="n">
        <v>0</v>
      </c>
      <c r="S1533" t="n">
        <v>0</v>
      </c>
      <c r="T1533" t="n">
        <v>0</v>
      </c>
      <c r="U1533" t="n">
        <v>0</v>
      </c>
      <c r="V1533" s="2" t="inlineStr"/>
    </row>
    <row r="1534" ht="15" customHeight="1">
      <c r="A1534" t="inlineStr">
        <is>
          <t>S 1023-2024</t>
        </is>
      </c>
      <c r="B1534" t="inlineStr">
        <is>
          <t>samrådsanmälan</t>
        </is>
      </c>
      <c r="C1534" t="inlineStr">
        <is>
          <t>Skogsgödsling</t>
        </is>
      </c>
      <c r="D1534" s="1" t="n">
        <v>45387</v>
      </c>
      <c r="E1534" s="1" t="n">
        <v>46272</v>
      </c>
      <c r="F1534" t="inlineStr">
        <is>
          <t>GÄVLEBORGS LÄN</t>
        </is>
      </c>
      <c r="G1534" t="inlineStr">
        <is>
          <t>HUDIKSVALL</t>
        </is>
      </c>
      <c r="H1534" t="inlineStr">
        <is>
          <t>Holmen skog AB</t>
        </is>
      </c>
      <c r="I1534" t="n">
        <v>153.3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t="n">
        <v>0</v>
      </c>
      <c r="S1534" t="n">
        <v>0</v>
      </c>
      <c r="T1534" t="n">
        <v>0</v>
      </c>
      <c r="U1534" t="n">
        <v>0</v>
      </c>
      <c r="V1534" s="2" t="inlineStr"/>
    </row>
    <row r="1535" ht="15" customHeight="1">
      <c r="A1535" t="inlineStr">
        <is>
          <t>S 115-2025</t>
        </is>
      </c>
      <c r="B1535" t="inlineStr">
        <is>
          <t>samrådsanmälan</t>
        </is>
      </c>
      <c r="C1535" t="inlineStr">
        <is>
          <t>Skogsgödsling</t>
        </is>
      </c>
      <c r="D1535" s="1" t="n">
        <v>45670</v>
      </c>
      <c r="E1535" s="1" t="n">
        <v>46272</v>
      </c>
      <c r="F1535" t="inlineStr">
        <is>
          <t>GÄVLEBORGS LÄN</t>
        </is>
      </c>
      <c r="G1535" t="inlineStr">
        <is>
          <t>HUDIKSVALL</t>
        </is>
      </c>
      <c r="H1535" t="inlineStr">
        <is>
          <t>Holmen skog AB</t>
        </is>
      </c>
      <c r="I1535" t="n">
        <v>47.1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t="n">
        <v>0</v>
      </c>
      <c r="S1535" t="n">
        <v>0</v>
      </c>
      <c r="T1535" t="n">
        <v>0</v>
      </c>
      <c r="U1535" t="n">
        <v>0</v>
      </c>
      <c r="V1535" s="2" t="inlineStr"/>
    </row>
    <row r="1536" ht="15" customHeight="1">
      <c r="A1536" t="inlineStr">
        <is>
          <t>S 124-2025</t>
        </is>
      </c>
      <c r="B1536" t="inlineStr">
        <is>
          <t>samrådsanmälan</t>
        </is>
      </c>
      <c r="C1536" t="inlineStr">
        <is>
          <t>Skogsgödsling</t>
        </is>
      </c>
      <c r="D1536" s="1" t="n">
        <v>45670</v>
      </c>
      <c r="E1536" s="1" t="n">
        <v>46272</v>
      </c>
      <c r="F1536" t="inlineStr">
        <is>
          <t>GÄVLEBORGS LÄN</t>
        </is>
      </c>
      <c r="G1536" t="inlineStr">
        <is>
          <t>HUDIKSVALL</t>
        </is>
      </c>
      <c r="H1536" t="inlineStr">
        <is>
          <t>Holmen skog AB</t>
        </is>
      </c>
      <c r="I1536" t="n">
        <v>74.09999999999999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t="n">
        <v>0</v>
      </c>
      <c r="S1536" t="n">
        <v>0</v>
      </c>
      <c r="T1536" t="n">
        <v>0</v>
      </c>
      <c r="U1536" t="n">
        <v>0</v>
      </c>
      <c r="V1536" s="2" t="inlineStr"/>
    </row>
    <row r="1537" ht="15" customHeight="1">
      <c r="A1537" t="inlineStr">
        <is>
          <t>S 137-2025</t>
        </is>
      </c>
      <c r="B1537" t="inlineStr">
        <is>
          <t>samrådsanmälan</t>
        </is>
      </c>
      <c r="C1537" t="inlineStr">
        <is>
          <t>Skogsgödsling</t>
        </is>
      </c>
      <c r="D1537" s="1" t="n">
        <v>45670</v>
      </c>
      <c r="E1537" s="1" t="n">
        <v>46272</v>
      </c>
      <c r="F1537" t="inlineStr">
        <is>
          <t>GÄVLEBORGS LÄN</t>
        </is>
      </c>
      <c r="G1537" t="inlineStr">
        <is>
          <t>HUDIKSVALL</t>
        </is>
      </c>
      <c r="H1537" t="inlineStr">
        <is>
          <t>Holmen skog AB</t>
        </is>
      </c>
      <c r="I1537" t="n">
        <v>216.9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t="n">
        <v>0</v>
      </c>
      <c r="S1537" t="n">
        <v>0</v>
      </c>
      <c r="T1537" t="n">
        <v>0</v>
      </c>
      <c r="U1537" t="n">
        <v>0</v>
      </c>
      <c r="V1537" s="2" t="inlineStr"/>
    </row>
    <row r="1538" ht="15" customHeight="1">
      <c r="A1538" t="inlineStr">
        <is>
          <t>S 118-2025</t>
        </is>
      </c>
      <c r="B1538" t="inlineStr">
        <is>
          <t>samrådsanmälan</t>
        </is>
      </c>
      <c r="C1538" t="inlineStr">
        <is>
          <t>Skogsgödsling</t>
        </is>
      </c>
      <c r="D1538" s="1" t="n">
        <v>45670</v>
      </c>
      <c r="E1538" s="1" t="n">
        <v>46272</v>
      </c>
      <c r="F1538" t="inlineStr">
        <is>
          <t>GÄVLEBORGS LÄN</t>
        </is>
      </c>
      <c r="G1538" t="inlineStr">
        <is>
          <t>HUDIKSVALL</t>
        </is>
      </c>
      <c r="H1538" t="inlineStr">
        <is>
          <t>Holmen skog AB</t>
        </is>
      </c>
      <c r="I1538" t="n">
        <v>103.8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t="n">
        <v>0</v>
      </c>
      <c r="S1538" t="n">
        <v>0</v>
      </c>
      <c r="T1538" t="n">
        <v>0</v>
      </c>
      <c r="U1538" t="n">
        <v>0</v>
      </c>
      <c r="V1538" s="2" t="inlineStr"/>
    </row>
    <row r="1539" ht="15" customHeight="1">
      <c r="A1539" t="inlineStr">
        <is>
          <t>S 4017-2023</t>
        </is>
      </c>
      <c r="B1539" t="inlineStr">
        <is>
          <t>samrådsanmälan</t>
        </is>
      </c>
      <c r="C1539" t="inlineStr">
        <is>
          <t>Skogsgödsling</t>
        </is>
      </c>
      <c r="D1539" s="1" t="n">
        <v>45237</v>
      </c>
      <c r="E1539" s="1" t="n">
        <v>46272</v>
      </c>
      <c r="F1539" t="inlineStr">
        <is>
          <t>GÄVLEBORGS LÄN</t>
        </is>
      </c>
      <c r="G1539" t="inlineStr">
        <is>
          <t>HUDIKSVALL</t>
        </is>
      </c>
      <c r="H1539" t="inlineStr">
        <is>
          <t>Holmen skog AB</t>
        </is>
      </c>
      <c r="I1539" t="n">
        <v>99.90000000000001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t="n">
        <v>0</v>
      </c>
      <c r="S1539" t="n">
        <v>0</v>
      </c>
      <c r="T1539" t="n">
        <v>0</v>
      </c>
      <c r="U1539" t="n">
        <v>0</v>
      </c>
      <c r="V1539" s="2" t="inlineStr"/>
    </row>
    <row r="1540" ht="15" customHeight="1">
      <c r="A1540" t="inlineStr">
        <is>
          <t>S 109-2025</t>
        </is>
      </c>
      <c r="B1540" t="inlineStr">
        <is>
          <t>samrådsanmälan</t>
        </is>
      </c>
      <c r="C1540" t="inlineStr">
        <is>
          <t>Skogsgödsling</t>
        </is>
      </c>
      <c r="D1540" s="1" t="n">
        <v>45670</v>
      </c>
      <c r="E1540" s="1" t="n">
        <v>46272</v>
      </c>
      <c r="F1540" t="inlineStr">
        <is>
          <t>GÄVLEBORGS LÄN</t>
        </is>
      </c>
      <c r="G1540" t="inlineStr">
        <is>
          <t>HUDIKSVALL</t>
        </is>
      </c>
      <c r="H1540" t="inlineStr">
        <is>
          <t>Holmen skog AB</t>
        </is>
      </c>
      <c r="I1540" t="n">
        <v>24.9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t="n">
        <v>0</v>
      </c>
      <c r="S1540" t="n">
        <v>0</v>
      </c>
      <c r="T1540" t="n">
        <v>0</v>
      </c>
      <c r="U1540" t="n">
        <v>0</v>
      </c>
      <c r="V1540" s="2" t="inlineStr"/>
    </row>
    <row r="1541" ht="15" customHeight="1">
      <c r="A1541" t="inlineStr">
        <is>
          <t>S 4011-2023</t>
        </is>
      </c>
      <c r="B1541" t="inlineStr">
        <is>
          <t>samrådsanmälan</t>
        </is>
      </c>
      <c r="C1541" t="inlineStr">
        <is>
          <t>Skogsgödsling</t>
        </is>
      </c>
      <c r="D1541" s="1" t="n">
        <v>45237</v>
      </c>
      <c r="E1541" s="1" t="n">
        <v>46272</v>
      </c>
      <c r="F1541" t="inlineStr">
        <is>
          <t>GÄVLEBORGS LÄN</t>
        </is>
      </c>
      <c r="G1541" t="inlineStr">
        <is>
          <t>HUDIKSVALL</t>
        </is>
      </c>
      <c r="H1541" t="inlineStr">
        <is>
          <t>Holmen skog AB</t>
        </is>
      </c>
      <c r="I1541" t="n">
        <v>97.90000000000001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t="n">
        <v>0</v>
      </c>
      <c r="S1541" t="n">
        <v>0</v>
      </c>
      <c r="T1541" t="n">
        <v>0</v>
      </c>
      <c r="U1541" t="n">
        <v>0</v>
      </c>
      <c r="V1541" s="2" t="inlineStr"/>
    </row>
    <row r="1542" ht="15" customHeight="1">
      <c r="A1542" t="inlineStr">
        <is>
          <t>S 123-2025</t>
        </is>
      </c>
      <c r="B1542" t="inlineStr">
        <is>
          <t>samrådsanmälan</t>
        </is>
      </c>
      <c r="C1542" t="inlineStr">
        <is>
          <t>Skogsgödsling</t>
        </is>
      </c>
      <c r="D1542" s="1" t="n">
        <v>45670</v>
      </c>
      <c r="E1542" s="1" t="n">
        <v>46272</v>
      </c>
      <c r="F1542" t="inlineStr">
        <is>
          <t>GÄVLEBORGS LÄN</t>
        </is>
      </c>
      <c r="G1542" t="inlineStr">
        <is>
          <t>HUDIKSVALL</t>
        </is>
      </c>
      <c r="I1542" t="n">
        <v>39.6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t="n">
        <v>0</v>
      </c>
      <c r="S1542" t="n">
        <v>0</v>
      </c>
      <c r="T1542" t="n">
        <v>0</v>
      </c>
      <c r="U1542" t="n">
        <v>0</v>
      </c>
      <c r="V1542" s="2" t="inlineStr"/>
    </row>
    <row r="1543" ht="15" customHeight="1">
      <c r="A1543" t="inlineStr">
        <is>
          <t>S 121-2025</t>
        </is>
      </c>
      <c r="B1543" t="inlineStr">
        <is>
          <t>samrådsanmälan</t>
        </is>
      </c>
      <c r="C1543" t="inlineStr">
        <is>
          <t>Skogsgödsling</t>
        </is>
      </c>
      <c r="D1543" s="1" t="n">
        <v>45670</v>
      </c>
      <c r="E1543" s="1" t="n">
        <v>46272</v>
      </c>
      <c r="F1543" t="inlineStr">
        <is>
          <t>GÄVLEBORGS LÄN</t>
        </is>
      </c>
      <c r="G1543" t="inlineStr">
        <is>
          <t>HUDIKSVALL</t>
        </is>
      </c>
      <c r="H1543" t="inlineStr">
        <is>
          <t>Holmen skog AB</t>
        </is>
      </c>
      <c r="I1543" t="n">
        <v>30.5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t="n">
        <v>0</v>
      </c>
      <c r="S1543" t="n">
        <v>0</v>
      </c>
      <c r="T1543" t="n">
        <v>0</v>
      </c>
      <c r="U1543" t="n">
        <v>0</v>
      </c>
      <c r="V1543" s="2" t="inlineStr"/>
    </row>
    <row r="1544" ht="15" customHeight="1">
      <c r="A1544" t="inlineStr">
        <is>
          <t>S 373-2023</t>
        </is>
      </c>
      <c r="B1544" t="inlineStr">
        <is>
          <t>samrådsanmälan</t>
        </is>
      </c>
      <c r="C1544" t="inlineStr">
        <is>
          <t>Skogsgödsling</t>
        </is>
      </c>
      <c r="D1544" s="1" t="n">
        <v>44959</v>
      </c>
      <c r="E1544" s="1" t="n">
        <v>46272</v>
      </c>
      <c r="F1544" t="inlineStr">
        <is>
          <t>GÄVLEBORGS LÄN</t>
        </is>
      </c>
      <c r="G1544" t="inlineStr">
        <is>
          <t>HUDIKSVALL</t>
        </is>
      </c>
      <c r="H1544" t="inlineStr">
        <is>
          <t>Holmen skog AB</t>
        </is>
      </c>
      <c r="I1544" t="n">
        <v>256.4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t="n">
        <v>0</v>
      </c>
      <c r="S1544" t="n">
        <v>0</v>
      </c>
      <c r="T1544" t="n">
        <v>0</v>
      </c>
      <c r="U1544" t="n">
        <v>0</v>
      </c>
      <c r="V1544" s="2" t="inlineStr"/>
    </row>
    <row r="1545" ht="15" customHeight="1">
      <c r="A1545" t="inlineStr">
        <is>
          <t>S 4016-2023</t>
        </is>
      </c>
      <c r="B1545" t="inlineStr">
        <is>
          <t>samrådsanmälan</t>
        </is>
      </c>
      <c r="C1545" t="inlineStr">
        <is>
          <t>Skogsgödsling</t>
        </is>
      </c>
      <c r="D1545" s="1" t="n">
        <v>45237</v>
      </c>
      <c r="E1545" s="1" t="n">
        <v>46272</v>
      </c>
      <c r="F1545" t="inlineStr">
        <is>
          <t>GÄVLEBORGS LÄN</t>
        </is>
      </c>
      <c r="G1545" t="inlineStr">
        <is>
          <t>HUDIKSVALL</t>
        </is>
      </c>
      <c r="H1545" t="inlineStr">
        <is>
          <t>Holmen skog AB</t>
        </is>
      </c>
      <c r="I1545" t="n">
        <v>172.2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t="n">
        <v>0</v>
      </c>
      <c r="S1545" t="n">
        <v>0</v>
      </c>
      <c r="T1545" t="n">
        <v>0</v>
      </c>
      <c r="U1545" t="n">
        <v>0</v>
      </c>
      <c r="V1545" s="2" t="inlineStr"/>
    </row>
    <row r="1546" ht="15" customHeight="1">
      <c r="A1546" t="inlineStr">
        <is>
          <t>S 129-2025</t>
        </is>
      </c>
      <c r="B1546" t="inlineStr">
        <is>
          <t>samrådsanmälan</t>
        </is>
      </c>
      <c r="C1546" t="inlineStr">
        <is>
          <t>Skogsgödsling</t>
        </is>
      </c>
      <c r="D1546" s="1" t="n">
        <v>45670</v>
      </c>
      <c r="E1546" s="1" t="n">
        <v>46272</v>
      </c>
      <c r="F1546" t="inlineStr">
        <is>
          <t>GÄVLEBORGS LÄN</t>
        </is>
      </c>
      <c r="G1546" t="inlineStr">
        <is>
          <t>HUDIKSVALL</t>
        </is>
      </c>
      <c r="H1546" t="inlineStr">
        <is>
          <t>Holmen skog AB</t>
        </is>
      </c>
      <c r="I1546" t="n">
        <v>97.3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t="n">
        <v>0</v>
      </c>
      <c r="S1546" t="n">
        <v>0</v>
      </c>
      <c r="T1546" t="n">
        <v>0</v>
      </c>
      <c r="U1546" t="n">
        <v>0</v>
      </c>
      <c r="V1546" s="2" t="inlineStr"/>
    </row>
    <row r="1547" ht="15" customHeight="1">
      <c r="A1547" t="inlineStr">
        <is>
          <t>S 110-2025</t>
        </is>
      </c>
      <c r="B1547" t="inlineStr">
        <is>
          <t>samrådsanmälan</t>
        </is>
      </c>
      <c r="C1547" t="inlineStr">
        <is>
          <t>Skogsgödsling</t>
        </is>
      </c>
      <c r="D1547" s="1" t="n">
        <v>45670</v>
      </c>
      <c r="E1547" s="1" t="n">
        <v>46272</v>
      </c>
      <c r="F1547" t="inlineStr">
        <is>
          <t>GÄVLEBORGS LÄN</t>
        </is>
      </c>
      <c r="G1547" t="inlineStr">
        <is>
          <t>HUDIKSVALL</t>
        </is>
      </c>
      <c r="H1547" t="inlineStr">
        <is>
          <t>Holmen skog AB</t>
        </is>
      </c>
      <c r="I1547" t="n">
        <v>206.1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t="n">
        <v>0</v>
      </c>
      <c r="S1547" t="n">
        <v>0</v>
      </c>
      <c r="T1547" t="n">
        <v>0</v>
      </c>
      <c r="U1547" t="n">
        <v>0</v>
      </c>
      <c r="V1547" s="2" t="inlineStr"/>
    </row>
    <row r="1548" ht="15" customHeight="1">
      <c r="A1548" t="inlineStr">
        <is>
          <t>S 1310-2025</t>
        </is>
      </c>
      <c r="B1548" t="inlineStr">
        <is>
          <t>samrådsanmälan</t>
        </is>
      </c>
      <c r="C1548" t="inlineStr">
        <is>
          <t>Annan skogsbruksåtgärd</t>
        </is>
      </c>
      <c r="D1548" s="1" t="n">
        <v>45770</v>
      </c>
      <c r="E1548" s="1" t="n">
        <v>46272</v>
      </c>
      <c r="F1548" t="inlineStr">
        <is>
          <t>GÄVLEBORGS LÄN</t>
        </is>
      </c>
      <c r="G1548" t="inlineStr">
        <is>
          <t>HUDIKSVALL</t>
        </is>
      </c>
      <c r="I1548" t="n">
        <v>4.5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t="n">
        <v>0</v>
      </c>
      <c r="S1548" t="n">
        <v>0</v>
      </c>
      <c r="T1548" t="n">
        <v>0</v>
      </c>
      <c r="U1548" t="n">
        <v>0</v>
      </c>
      <c r="V1548" s="2" t="inlineStr"/>
    </row>
    <row r="1549" ht="15" customHeight="1">
      <c r="A1549" t="inlineStr">
        <is>
          <t>S 1899-2025</t>
        </is>
      </c>
      <c r="B1549" t="inlineStr">
        <is>
          <t>samrådsanmälan</t>
        </is>
      </c>
      <c r="C1549" t="inlineStr">
        <is>
          <t>Annan skogsbruksåtgärd</t>
        </is>
      </c>
      <c r="D1549" s="1" t="n">
        <v>45825</v>
      </c>
      <c r="E1549" s="1" t="n">
        <v>46272</v>
      </c>
      <c r="F1549" t="inlineStr">
        <is>
          <t>GÄVLEBORGS LÄN</t>
        </is>
      </c>
      <c r="G1549" t="inlineStr">
        <is>
          <t>HUDIKSVALL</t>
        </is>
      </c>
      <c r="I1549" t="n">
        <v>1.8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t="n">
        <v>0</v>
      </c>
      <c r="S1549" t="n">
        <v>0</v>
      </c>
      <c r="T1549" t="n">
        <v>0</v>
      </c>
      <c r="U1549" t="n">
        <v>0</v>
      </c>
      <c r="V1549" s="2" t="inlineStr"/>
    </row>
    <row r="1550" ht="15" customHeight="1">
      <c r="A1550" t="inlineStr">
        <is>
          <t>S 3428-2025</t>
        </is>
      </c>
      <c r="B1550" t="inlineStr">
        <is>
          <t>samrådsanmälan</t>
        </is>
      </c>
      <c r="C1550" t="inlineStr">
        <is>
          <t>Skogsgödsling</t>
        </is>
      </c>
      <c r="D1550" s="1" t="n">
        <v>45995</v>
      </c>
      <c r="E1550" s="1" t="n">
        <v>46272</v>
      </c>
      <c r="F1550" t="inlineStr">
        <is>
          <t>GÄVLEBORGS LÄN</t>
        </is>
      </c>
      <c r="G1550" t="inlineStr">
        <is>
          <t>HUDIKSVALL</t>
        </is>
      </c>
      <c r="H1550" t="inlineStr">
        <is>
          <t>Holmen skog AB</t>
        </is>
      </c>
      <c r="I1550" t="n">
        <v>55.4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t="n">
        <v>0</v>
      </c>
      <c r="S1550" t="n">
        <v>0</v>
      </c>
      <c r="T1550" t="n">
        <v>0</v>
      </c>
      <c r="U1550" t="n">
        <v>0</v>
      </c>
      <c r="V1550" s="2" t="inlineStr"/>
    </row>
    <row r="1551" ht="15" customHeight="1">
      <c r="A1551" t="inlineStr">
        <is>
          <t>S 695-2026</t>
        </is>
      </c>
      <c r="B1551" t="inlineStr">
        <is>
          <t>samrådsanmälan</t>
        </is>
      </c>
      <c r="C1551" t="inlineStr">
        <is>
          <t>Skogsgödsling</t>
        </is>
      </c>
      <c r="D1551" s="1" t="n">
        <v>46091</v>
      </c>
      <c r="E1551" s="1" t="n">
        <v>46272</v>
      </c>
      <c r="F1551" t="inlineStr">
        <is>
          <t>GÄVLEBORGS LÄN</t>
        </is>
      </c>
      <c r="G1551" t="inlineStr">
        <is>
          <t>HUDIKSVALL</t>
        </is>
      </c>
      <c r="I1551" t="n">
        <v>12.2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t="n">
        <v>0</v>
      </c>
      <c r="S1551" t="n">
        <v>0</v>
      </c>
      <c r="T1551" t="n">
        <v>0</v>
      </c>
      <c r="U1551" t="n">
        <v>0</v>
      </c>
      <c r="V1551" s="2" t="inlineStr"/>
    </row>
    <row r="1552" ht="15" customHeight="1">
      <c r="A1552" t="inlineStr">
        <is>
          <t>S 1968-2026</t>
        </is>
      </c>
      <c r="B1552" t="inlineStr">
        <is>
          <t>samrådsanmälan</t>
        </is>
      </c>
      <c r="C1552" t="inlineStr">
        <is>
          <t>Annan skogsbruksåtgärd</t>
        </is>
      </c>
      <c r="D1552" s="1" t="n">
        <v>46210</v>
      </c>
      <c r="E1552" s="1" t="n">
        <v>46272</v>
      </c>
      <c r="F1552" t="inlineStr">
        <is>
          <t>GÄVLEBORGS LÄN</t>
        </is>
      </c>
      <c r="G1552" t="inlineStr">
        <is>
          <t>HUDIKSVALL</t>
        </is>
      </c>
      <c r="I1552" t="n">
        <v>0.2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t="n">
        <v>0</v>
      </c>
      <c r="S1552" t="n">
        <v>0</v>
      </c>
      <c r="T1552" t="n">
        <v>0</v>
      </c>
      <c r="U1552" t="n">
        <v>0</v>
      </c>
      <c r="V1552" s="2" t="inlineStr"/>
    </row>
    <row r="1553" ht="15" customHeight="1">
      <c r="A1553" t="inlineStr">
        <is>
          <t>S 1969-2026</t>
        </is>
      </c>
      <c r="B1553" t="inlineStr">
        <is>
          <t>samrådsanmälan</t>
        </is>
      </c>
      <c r="C1553" t="inlineStr">
        <is>
          <t>Annan skogsbruksåtgärd</t>
        </is>
      </c>
      <c r="D1553" s="1" t="n">
        <v>46210</v>
      </c>
      <c r="E1553" s="1" t="n">
        <v>46272</v>
      </c>
      <c r="F1553" t="inlineStr">
        <is>
          <t>GÄVLEBORGS LÄN</t>
        </is>
      </c>
      <c r="G1553" t="inlineStr">
        <is>
          <t>HUDIKSVALL</t>
        </is>
      </c>
      <c r="I1553" t="n">
        <v>0.1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t="n">
        <v>0</v>
      </c>
      <c r="S1553" t="n">
        <v>0</v>
      </c>
      <c r="T1553" t="n">
        <v>0</v>
      </c>
      <c r="U1553" t="n">
        <v>0</v>
      </c>
      <c r="V1553" s="2" t="inlineStr"/>
    </row>
    <row r="1554" ht="15" customHeight="1">
      <c r="A1554" t="inlineStr">
        <is>
          <t>S 1971-2026</t>
        </is>
      </c>
      <c r="B1554" t="inlineStr">
        <is>
          <t>samrådsanmälan</t>
        </is>
      </c>
      <c r="C1554" t="inlineStr">
        <is>
          <t>Annan skogsbruksåtgärd</t>
        </is>
      </c>
      <c r="D1554" s="1" t="n">
        <v>46210</v>
      </c>
      <c r="E1554" s="1" t="n">
        <v>46272</v>
      </c>
      <c r="F1554" t="inlineStr">
        <is>
          <t>GÄVLEBORGS LÄN</t>
        </is>
      </c>
      <c r="G1554" t="inlineStr">
        <is>
          <t>HUDIKSVALL</t>
        </is>
      </c>
      <c r="I1554" t="n">
        <v>1.3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t="n">
        <v>0</v>
      </c>
      <c r="S1554" t="n">
        <v>0</v>
      </c>
      <c r="T1554" t="n">
        <v>0</v>
      </c>
      <c r="U1554" t="n">
        <v>0</v>
      </c>
      <c r="V1554" s="2" t="inlineStr"/>
    </row>
    <row r="1555">
      <c r="A1555" t="inlineStr">
        <is>
          <t>S 246-2026</t>
        </is>
      </c>
      <c r="B1555" t="inlineStr">
        <is>
          <t>samrådsanmälan</t>
        </is>
      </c>
      <c r="C1555" t="inlineStr">
        <is>
          <t>Annan skogsbruksåtgärd</t>
        </is>
      </c>
      <c r="D1555" s="1" t="n">
        <v>46050</v>
      </c>
      <c r="E1555" s="1" t="n">
        <v>46272</v>
      </c>
      <c r="F1555" t="inlineStr">
        <is>
          <t>GÄVLEBORGS LÄN</t>
        </is>
      </c>
      <c r="G1555" t="inlineStr">
        <is>
          <t>HUDIKSVALL</t>
        </is>
      </c>
      <c r="I1555" t="n">
        <v>6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t="n">
        <v>0</v>
      </c>
      <c r="S1555" t="n">
        <v>0</v>
      </c>
      <c r="T1555" t="n">
        <v>0</v>
      </c>
      <c r="U1555" t="n">
        <v>0</v>
      </c>
      <c r="V155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2026-09-07T02:07:39Z</dcterms:created>
  <dcterms:modified xmlns:dcterms="http://purl.org/dc/terms/" xmlns:xsi="http://www.w3.org/2001/XMLSchema-instance" xsi:type="dcterms:W3CDTF">2026-09-07T02:07:41Z</dcterms:modified>
</cp:coreProperties>
</file>