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45831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45831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45831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45831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45831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45831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45831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45831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45831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45831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45831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45831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45831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45831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45831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45831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45831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45831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45831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45831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45831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45831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45831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45831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45831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45831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45831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45831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45831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45831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45831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45831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45831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45831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45831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45831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45831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45831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45831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45831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45831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45831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21895-2019</t>
        </is>
      </c>
      <c r="B44" s="1" t="n">
        <v>43584</v>
      </c>
      <c r="C44" s="1" t="n">
        <v>45831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5.6</v>
      </c>
      <c r="H44" t="n">
        <v>1</v>
      </c>
      <c r="I44" t="n">
        <v>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3</v>
      </c>
      <c r="R44" s="2" t="inlineStr">
        <is>
          <t>Blackticka
Knärot
Bågpraktmossa</t>
        </is>
      </c>
      <c r="S44">
        <f>HYPERLINK("https://klasma.github.io/Logging_2184/artfynd/A 21895-2019 artfynd.xlsx", "A 21895-2019")</f>
        <v/>
      </c>
      <c r="T44">
        <f>HYPERLINK("https://klasma.github.io/Logging_2184/kartor/A 21895-2019 karta.png", "A 21895-2019")</f>
        <v/>
      </c>
      <c r="U44">
        <f>HYPERLINK("https://klasma.github.io/Logging_2184/knärot/A 21895-2019 karta knärot.png", "A 21895-2019")</f>
        <v/>
      </c>
      <c r="V44">
        <f>HYPERLINK("https://klasma.github.io/Logging_2184/klagomål/A 21895-2019 FSC-klagomål.docx", "A 21895-2019")</f>
        <v/>
      </c>
      <c r="W44">
        <f>HYPERLINK("https://klasma.github.io/Logging_2184/klagomålsmail/A 21895-2019 FSC-klagomål mail.docx", "A 21895-2019")</f>
        <v/>
      </c>
      <c r="X44">
        <f>HYPERLINK("https://klasma.github.io/Logging_2184/tillsyn/A 21895-2019 tillsynsbegäran.docx", "A 21895-2019")</f>
        <v/>
      </c>
      <c r="Y44">
        <f>HYPERLINK("https://klasma.github.io/Logging_2184/tillsynsmail/A 21895-2019 tillsynsbegäran mail.docx", "A 21895-2019")</f>
        <v/>
      </c>
    </row>
    <row r="45" ht="15" customHeight="1">
      <c r="A45" t="inlineStr">
        <is>
          <t>A 56429-2020</t>
        </is>
      </c>
      <c r="B45" s="1" t="n">
        <v>44137</v>
      </c>
      <c r="C45" s="1" t="n">
        <v>45831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Bollvitmossa
Nästlav</t>
        </is>
      </c>
      <c r="S45">
        <f>HYPERLINK("https://klasma.github.io/Logging_2184/artfynd/A 56429-2020 artfynd.xlsx", "A 56429-2020")</f>
        <v/>
      </c>
      <c r="T45">
        <f>HYPERLINK("https://klasma.github.io/Logging_2184/kartor/A 56429-2020 karta.png", "A 56429-2020")</f>
        <v/>
      </c>
      <c r="V45">
        <f>HYPERLINK("https://klasma.github.io/Logging_2184/klagomål/A 56429-2020 FSC-klagomål.docx", "A 56429-2020")</f>
        <v/>
      </c>
      <c r="W45">
        <f>HYPERLINK("https://klasma.github.io/Logging_2184/klagomålsmail/A 56429-2020 FSC-klagomål mail.docx", "A 56429-2020")</f>
        <v/>
      </c>
      <c r="X45">
        <f>HYPERLINK("https://klasma.github.io/Logging_2184/tillsyn/A 56429-2020 tillsynsbegäran.docx", "A 56429-2020")</f>
        <v/>
      </c>
      <c r="Y45">
        <f>HYPERLINK("https://klasma.github.io/Logging_2184/tillsynsmail/A 56429-2020 tillsynsbegäran mail.docx", "A 56429-2020")</f>
        <v/>
      </c>
    </row>
    <row r="46" ht="15" customHeight="1">
      <c r="A46" t="inlineStr">
        <is>
          <t>A 49922-2021</t>
        </is>
      </c>
      <c r="B46" s="1" t="n">
        <v>44455</v>
      </c>
      <c r="C46" s="1" t="n">
        <v>45831</v>
      </c>
      <c r="D46" t="inlineStr">
        <is>
          <t>GÄVLEBORGS LÄN</t>
        </is>
      </c>
      <c r="E46" t="inlineStr">
        <is>
          <t>HUDIKSVALL</t>
        </is>
      </c>
      <c r="G46" t="n">
        <v>4.5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Kattfotslav
Korallblylav
Skinnlav</t>
        </is>
      </c>
      <c r="S46">
        <f>HYPERLINK("https://klasma.github.io/Logging_2184/artfynd/A 49922-2021 artfynd.xlsx", "A 49922-2021")</f>
        <v/>
      </c>
      <c r="T46">
        <f>HYPERLINK("https://klasma.github.io/Logging_2184/kartor/A 49922-2021 karta.png", "A 49922-2021")</f>
        <v/>
      </c>
      <c r="V46">
        <f>HYPERLINK("https://klasma.github.io/Logging_2184/klagomål/A 49922-2021 FSC-klagomål.docx", "A 49922-2021")</f>
        <v/>
      </c>
      <c r="W46">
        <f>HYPERLINK("https://klasma.github.io/Logging_2184/klagomålsmail/A 49922-2021 FSC-klagomål mail.docx", "A 49922-2021")</f>
        <v/>
      </c>
      <c r="X46">
        <f>HYPERLINK("https://klasma.github.io/Logging_2184/tillsyn/A 49922-2021 tillsynsbegäran.docx", "A 49922-2021")</f>
        <v/>
      </c>
      <c r="Y46">
        <f>HYPERLINK("https://klasma.github.io/Logging_2184/tillsynsmail/A 49922-2021 tillsynsbegäran mail.docx", "A 49922-2021")</f>
        <v/>
      </c>
    </row>
    <row r="47" ht="15" customHeight="1">
      <c r="A47" t="inlineStr">
        <is>
          <t>A 8446-2022</t>
        </is>
      </c>
      <c r="B47" s="1" t="n">
        <v>44612</v>
      </c>
      <c r="C47" s="1" t="n">
        <v>45831</v>
      </c>
      <c r="D47" t="inlineStr">
        <is>
          <t>GÄVLEBORGS LÄN</t>
        </is>
      </c>
      <c r="E47" t="inlineStr">
        <is>
          <t>HUDIKSVALL</t>
        </is>
      </c>
      <c r="G47" t="n">
        <v>5.4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Nattviol
Blåsippa</t>
        </is>
      </c>
      <c r="S47">
        <f>HYPERLINK("https://klasma.github.io/Logging_2184/artfynd/A 8446-2022 artfynd.xlsx", "A 8446-2022")</f>
        <v/>
      </c>
      <c r="T47">
        <f>HYPERLINK("https://klasma.github.io/Logging_2184/kartor/A 8446-2022 karta.png", "A 8446-2022")</f>
        <v/>
      </c>
      <c r="V47">
        <f>HYPERLINK("https://klasma.github.io/Logging_2184/klagomål/A 8446-2022 FSC-klagomål.docx", "A 8446-2022")</f>
        <v/>
      </c>
      <c r="W47">
        <f>HYPERLINK("https://klasma.github.io/Logging_2184/klagomålsmail/A 8446-2022 FSC-klagomål mail.docx", "A 8446-2022")</f>
        <v/>
      </c>
      <c r="X47">
        <f>HYPERLINK("https://klasma.github.io/Logging_2184/tillsyn/A 8446-2022 tillsynsbegäran.docx", "A 8446-2022")</f>
        <v/>
      </c>
      <c r="Y47">
        <f>HYPERLINK("https://klasma.github.io/Logging_2184/tillsynsmail/A 8446-2022 tillsynsbegäran mail.docx", "A 8446-2022")</f>
        <v/>
      </c>
    </row>
    <row r="48" ht="15" customHeight="1">
      <c r="A48" t="inlineStr">
        <is>
          <t>A 52399-2022</t>
        </is>
      </c>
      <c r="B48" s="1" t="n">
        <v>44874</v>
      </c>
      <c r="C48" s="1" t="n">
        <v>45831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Blanksvart spiklav
Gammelgransskål
Garnlav</t>
        </is>
      </c>
      <c r="S48">
        <f>HYPERLINK("https://klasma.github.io/Logging_2184/artfynd/A 52399-2022 artfynd.xlsx", "A 52399-2022")</f>
        <v/>
      </c>
      <c r="T48">
        <f>HYPERLINK("https://klasma.github.io/Logging_2184/kartor/A 52399-2022 karta.png", "A 52399-2022")</f>
        <v/>
      </c>
      <c r="V48">
        <f>HYPERLINK("https://klasma.github.io/Logging_2184/klagomål/A 52399-2022 FSC-klagomål.docx", "A 52399-2022")</f>
        <v/>
      </c>
      <c r="W48">
        <f>HYPERLINK("https://klasma.github.io/Logging_2184/klagomålsmail/A 52399-2022 FSC-klagomål mail.docx", "A 52399-2022")</f>
        <v/>
      </c>
      <c r="X48">
        <f>HYPERLINK("https://klasma.github.io/Logging_2184/tillsyn/A 52399-2022 tillsynsbegäran.docx", "A 52399-2022")</f>
        <v/>
      </c>
      <c r="Y48">
        <f>HYPERLINK("https://klasma.github.io/Logging_2184/tillsynsmail/A 52399-2022 tillsynsbegäran mail.docx", "A 52399-2022")</f>
        <v/>
      </c>
    </row>
    <row r="49" ht="15" customHeight="1">
      <c r="A49" t="inlineStr">
        <is>
          <t>A 23246-2023</t>
        </is>
      </c>
      <c r="B49" s="1" t="n">
        <v>45075</v>
      </c>
      <c r="C49" s="1" t="n">
        <v>45831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7.2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Mörk kolflarnlav
Fläcknycklar</t>
        </is>
      </c>
      <c r="S49">
        <f>HYPERLINK("https://klasma.github.io/Logging_2184/artfynd/A 23246-2023 artfynd.xlsx", "A 23246-2023")</f>
        <v/>
      </c>
      <c r="T49">
        <f>HYPERLINK("https://klasma.github.io/Logging_2184/kartor/A 23246-2023 karta.png", "A 23246-2023")</f>
        <v/>
      </c>
      <c r="V49">
        <f>HYPERLINK("https://klasma.github.io/Logging_2184/klagomål/A 23246-2023 FSC-klagomål.docx", "A 23246-2023")</f>
        <v/>
      </c>
      <c r="W49">
        <f>HYPERLINK("https://klasma.github.io/Logging_2184/klagomålsmail/A 23246-2023 FSC-klagomål mail.docx", "A 23246-2023")</f>
        <v/>
      </c>
      <c r="X49">
        <f>HYPERLINK("https://klasma.github.io/Logging_2184/tillsyn/A 23246-2023 tillsynsbegäran.docx", "A 23246-2023")</f>
        <v/>
      </c>
      <c r="Y49">
        <f>HYPERLINK("https://klasma.github.io/Logging_2184/tillsynsmail/A 23246-2023 tillsynsbegäran mail.docx", "A 23246-2023")</f>
        <v/>
      </c>
    </row>
    <row r="50" ht="15" customHeight="1">
      <c r="A50" t="inlineStr">
        <is>
          <t>A 33783-2023</t>
        </is>
      </c>
      <c r="B50" s="1" t="n">
        <v>45133</v>
      </c>
      <c r="C50" s="1" t="n">
        <v>45831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2.6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Lunglav
Stuplav</t>
        </is>
      </c>
      <c r="S50">
        <f>HYPERLINK("https://klasma.github.io/Logging_2184/artfynd/A 33783-2023 artfynd.xlsx", "A 33783-2023")</f>
        <v/>
      </c>
      <c r="T50">
        <f>HYPERLINK("https://klasma.github.io/Logging_2184/kartor/A 33783-2023 karta.png", "A 33783-2023")</f>
        <v/>
      </c>
      <c r="V50">
        <f>HYPERLINK("https://klasma.github.io/Logging_2184/klagomål/A 33783-2023 FSC-klagomål.docx", "A 33783-2023")</f>
        <v/>
      </c>
      <c r="W50">
        <f>HYPERLINK("https://klasma.github.io/Logging_2184/klagomålsmail/A 33783-2023 FSC-klagomål mail.docx", "A 33783-2023")</f>
        <v/>
      </c>
      <c r="X50">
        <f>HYPERLINK("https://klasma.github.io/Logging_2184/tillsyn/A 33783-2023 tillsynsbegäran.docx", "A 33783-2023")</f>
        <v/>
      </c>
      <c r="Y50">
        <f>HYPERLINK("https://klasma.github.io/Logging_2184/tillsynsmail/A 33783-2023 tillsynsbegäran mail.docx", "A 33783-2023")</f>
        <v/>
      </c>
    </row>
    <row r="51" ht="15" customHeight="1">
      <c r="A51" t="inlineStr">
        <is>
          <t>A 36196-2023</t>
        </is>
      </c>
      <c r="B51" s="1" t="n">
        <v>45149</v>
      </c>
      <c r="C51" s="1" t="n">
        <v>45831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11.8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Ullticka</t>
        </is>
      </c>
      <c r="S51">
        <f>HYPERLINK("https://klasma.github.io/Logging_2184/artfynd/A 36196-2023 artfynd.xlsx", "A 36196-2023")</f>
        <v/>
      </c>
      <c r="T51">
        <f>HYPERLINK("https://klasma.github.io/Logging_2184/kartor/A 36196-2023 karta.png", "A 36196-2023")</f>
        <v/>
      </c>
      <c r="U51">
        <f>HYPERLINK("https://klasma.github.io/Logging_2184/knärot/A 36196-2023 karta knärot.png", "A 36196-2023")</f>
        <v/>
      </c>
      <c r="V51">
        <f>HYPERLINK("https://klasma.github.io/Logging_2184/klagomål/A 36196-2023 FSC-klagomål.docx", "A 36196-2023")</f>
        <v/>
      </c>
      <c r="W51">
        <f>HYPERLINK("https://klasma.github.io/Logging_2184/klagomålsmail/A 36196-2023 FSC-klagomål mail.docx", "A 36196-2023")</f>
        <v/>
      </c>
      <c r="X51">
        <f>HYPERLINK("https://klasma.github.io/Logging_2184/tillsyn/A 36196-2023 tillsynsbegäran.docx", "A 36196-2023")</f>
        <v/>
      </c>
      <c r="Y51">
        <f>HYPERLINK("https://klasma.github.io/Logging_2184/tillsynsmail/A 36196-2023 tillsynsbegäran mail.docx", "A 36196-2023")</f>
        <v/>
      </c>
    </row>
    <row r="52" ht="15" customHeight="1">
      <c r="A52" t="inlineStr">
        <is>
          <t>A 12843-2024</t>
        </is>
      </c>
      <c r="B52" s="1" t="n">
        <v>45384</v>
      </c>
      <c r="C52" s="1" t="n">
        <v>45831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23.4</v>
      </c>
      <c r="H52" t="n">
        <v>3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Spindelblomster
Fläcknycklar
Revlummer</t>
        </is>
      </c>
      <c r="S52">
        <f>HYPERLINK("https://klasma.github.io/Logging_2184/artfynd/A 12843-2024 artfynd.xlsx", "A 12843-2024")</f>
        <v/>
      </c>
      <c r="T52">
        <f>HYPERLINK("https://klasma.github.io/Logging_2184/kartor/A 12843-2024 karta.png", "A 12843-2024")</f>
        <v/>
      </c>
      <c r="V52">
        <f>HYPERLINK("https://klasma.github.io/Logging_2184/klagomål/A 12843-2024 FSC-klagomål.docx", "A 12843-2024")</f>
        <v/>
      </c>
      <c r="W52">
        <f>HYPERLINK("https://klasma.github.io/Logging_2184/klagomålsmail/A 12843-2024 FSC-klagomål mail.docx", "A 12843-2024")</f>
        <v/>
      </c>
      <c r="X52">
        <f>HYPERLINK("https://klasma.github.io/Logging_2184/tillsyn/A 12843-2024 tillsynsbegäran.docx", "A 12843-2024")</f>
        <v/>
      </c>
      <c r="Y52">
        <f>HYPERLINK("https://klasma.github.io/Logging_2184/tillsynsmail/A 12843-2024 tillsynsbegäran mail.docx", "A 12843-2024")</f>
        <v/>
      </c>
    </row>
    <row r="53" ht="15" customHeight="1">
      <c r="A53" t="inlineStr">
        <is>
          <t>A 25648-2024</t>
        </is>
      </c>
      <c r="B53" s="1" t="n">
        <v>45463</v>
      </c>
      <c r="C53" s="1" t="n">
        <v>45831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4.7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HYPERLINK("https://klasma.github.io/Logging_2184/artfynd/A 25648-2024 artfynd.xlsx", "A 25648-2024")</f>
        <v/>
      </c>
      <c r="T53">
        <f>HYPERLINK("https://klasma.github.io/Logging_2184/kartor/A 25648-2024 karta.png", "A 25648-2024")</f>
        <v/>
      </c>
      <c r="V53">
        <f>HYPERLINK("https://klasma.github.io/Logging_2184/klagomål/A 25648-2024 FSC-klagomål.docx", "A 25648-2024")</f>
        <v/>
      </c>
      <c r="W53">
        <f>HYPERLINK("https://klasma.github.io/Logging_2184/klagomålsmail/A 25648-2024 FSC-klagomål mail.docx", "A 25648-2024")</f>
        <v/>
      </c>
      <c r="X53">
        <f>HYPERLINK("https://klasma.github.io/Logging_2184/tillsyn/A 25648-2024 tillsynsbegäran.docx", "A 25648-2024")</f>
        <v/>
      </c>
      <c r="Y53">
        <f>HYPERLINK("https://klasma.github.io/Logging_2184/tillsynsmail/A 25648-2024 tillsynsbegäran mail.docx", "A 25648-2024")</f>
        <v/>
      </c>
      <c r="Z53">
        <f>HYPERLINK("https://klasma.github.io/Logging_2184/fåglar/A 25648-2024 prioriterade fågelarter.docx", "A 25648-2024")</f>
        <v/>
      </c>
    </row>
    <row r="54" ht="15" customHeight="1">
      <c r="A54" t="inlineStr">
        <is>
          <t>A 28268-2024</t>
        </is>
      </c>
      <c r="B54" s="1" t="n">
        <v>45477</v>
      </c>
      <c r="C54" s="1" t="n">
        <v>45831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Korallblylav
Skinnlav</t>
        </is>
      </c>
      <c r="S54">
        <f>HYPERLINK("https://klasma.github.io/Logging_2184/artfynd/A 28268-2024 artfynd.xlsx", "A 28268-2024")</f>
        <v/>
      </c>
      <c r="T54">
        <f>HYPERLINK("https://klasma.github.io/Logging_2184/kartor/A 28268-2024 karta.png", "A 28268-2024")</f>
        <v/>
      </c>
      <c r="V54">
        <f>HYPERLINK("https://klasma.github.io/Logging_2184/klagomål/A 28268-2024 FSC-klagomål.docx", "A 28268-2024")</f>
        <v/>
      </c>
      <c r="W54">
        <f>HYPERLINK("https://klasma.github.io/Logging_2184/klagomålsmail/A 28268-2024 FSC-klagomål mail.docx", "A 28268-2024")</f>
        <v/>
      </c>
      <c r="X54">
        <f>HYPERLINK("https://klasma.github.io/Logging_2184/tillsyn/A 28268-2024 tillsynsbegäran.docx", "A 28268-2024")</f>
        <v/>
      </c>
      <c r="Y54">
        <f>HYPERLINK("https://klasma.github.io/Logging_2184/tillsynsmail/A 28268-2024 tillsynsbegäran mail.docx", "A 28268-2024")</f>
        <v/>
      </c>
    </row>
    <row r="55" ht="15" customHeight="1">
      <c r="A55" t="inlineStr">
        <is>
          <t>A 58326-2024</t>
        </is>
      </c>
      <c r="B55" s="1" t="n">
        <v>45632</v>
      </c>
      <c r="C55" s="1" t="n">
        <v>45831</v>
      </c>
      <c r="D55" t="inlineStr">
        <is>
          <t>GÄVLEBORGS LÄN</t>
        </is>
      </c>
      <c r="E55" t="inlineStr">
        <is>
          <t>HUDIKSVALL</t>
        </is>
      </c>
      <c r="G55" t="n">
        <v>1.7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Knärot
Rynkskinn
Ullticka</t>
        </is>
      </c>
      <c r="S55">
        <f>HYPERLINK("https://klasma.github.io/Logging_2184/artfynd/A 58326-2024 artfynd.xlsx", "A 58326-2024")</f>
        <v/>
      </c>
      <c r="T55">
        <f>HYPERLINK("https://klasma.github.io/Logging_2184/kartor/A 58326-2024 karta.png", "A 58326-2024")</f>
        <v/>
      </c>
      <c r="U55">
        <f>HYPERLINK("https://klasma.github.io/Logging_2184/knärot/A 58326-2024 karta knärot.png", "A 58326-2024")</f>
        <v/>
      </c>
      <c r="V55">
        <f>HYPERLINK("https://klasma.github.io/Logging_2184/klagomål/A 58326-2024 FSC-klagomål.docx", "A 58326-2024")</f>
        <v/>
      </c>
      <c r="W55">
        <f>HYPERLINK("https://klasma.github.io/Logging_2184/klagomålsmail/A 58326-2024 FSC-klagomål mail.docx", "A 58326-2024")</f>
        <v/>
      </c>
      <c r="X55">
        <f>HYPERLINK("https://klasma.github.io/Logging_2184/tillsyn/A 58326-2024 tillsynsbegäran.docx", "A 58326-2024")</f>
        <v/>
      </c>
      <c r="Y55">
        <f>HYPERLINK("https://klasma.github.io/Logging_2184/tillsynsmail/A 58326-2024 tillsynsbegäran mail.docx", "A 58326-2024")</f>
        <v/>
      </c>
    </row>
    <row r="56" ht="15" customHeight="1">
      <c r="A56" t="inlineStr">
        <is>
          <t>A 2846-2025</t>
        </is>
      </c>
      <c r="B56" s="1" t="n">
        <v>45677</v>
      </c>
      <c r="C56" s="1" t="n">
        <v>45831</v>
      </c>
      <c r="D56" t="inlineStr">
        <is>
          <t>GÄVLEBORGS LÄN</t>
        </is>
      </c>
      <c r="E56" t="inlineStr">
        <is>
          <t>HUDIKSVALL</t>
        </is>
      </c>
      <c r="G56" t="n">
        <v>2.7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Blanksvart spiklav
Ullticka
Vitplätt</t>
        </is>
      </c>
      <c r="S56">
        <f>HYPERLINK("https://klasma.github.io/Logging_2184/artfynd/A 2846-2025 artfynd.xlsx", "A 2846-2025")</f>
        <v/>
      </c>
      <c r="T56">
        <f>HYPERLINK("https://klasma.github.io/Logging_2184/kartor/A 2846-2025 karta.png", "A 2846-2025")</f>
        <v/>
      </c>
      <c r="V56">
        <f>HYPERLINK("https://klasma.github.io/Logging_2184/klagomål/A 2846-2025 FSC-klagomål.docx", "A 2846-2025")</f>
        <v/>
      </c>
      <c r="W56">
        <f>HYPERLINK("https://klasma.github.io/Logging_2184/klagomålsmail/A 2846-2025 FSC-klagomål mail.docx", "A 2846-2025")</f>
        <v/>
      </c>
      <c r="X56">
        <f>HYPERLINK("https://klasma.github.io/Logging_2184/tillsyn/A 2846-2025 tillsynsbegäran.docx", "A 2846-2025")</f>
        <v/>
      </c>
      <c r="Y56">
        <f>HYPERLINK("https://klasma.github.io/Logging_2184/tillsynsmail/A 2846-2025 tillsynsbegäran mail.docx", "A 2846-2025")</f>
        <v/>
      </c>
    </row>
    <row r="57" ht="15" customHeight="1">
      <c r="A57" t="inlineStr">
        <is>
          <t>A 13640-2025</t>
        </is>
      </c>
      <c r="B57" s="1" t="n">
        <v>45736</v>
      </c>
      <c r="C57" s="1" t="n">
        <v>45831</v>
      </c>
      <c r="D57" t="inlineStr">
        <is>
          <t>GÄVLEBORGS LÄN</t>
        </is>
      </c>
      <c r="E57" t="inlineStr">
        <is>
          <t>HUDIKSVALL</t>
        </is>
      </c>
      <c r="G57" t="n">
        <v>6.9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Spillkråka
Fläcknycklar
Nattviol</t>
        </is>
      </c>
      <c r="S57">
        <f>HYPERLINK("https://klasma.github.io/Logging_212184/artfynd/A 13640-2025 artfynd.xlsx", "A 13640-2025")</f>
        <v/>
      </c>
      <c r="T57">
        <f>HYPERLINK("https://klasma.github.io/Logging_212184/kartor/A 13640-2025 karta.png", "A 13640-2025")</f>
        <v/>
      </c>
      <c r="V57">
        <f>HYPERLINK("https://klasma.github.io/Logging_212184/klagomål/A 13640-2025 FSC-klagomål.docx", "A 13640-2025")</f>
        <v/>
      </c>
      <c r="W57">
        <f>HYPERLINK("https://klasma.github.io/Logging_212184/klagomålsmail/A 13640-2025 FSC-klagomål mail.docx", "A 13640-2025")</f>
        <v/>
      </c>
      <c r="X57">
        <f>HYPERLINK("https://klasma.github.io/Logging_212184/tillsyn/A 13640-2025 tillsynsbegäran.docx", "A 13640-2025")</f>
        <v/>
      </c>
      <c r="Y57">
        <f>HYPERLINK("https://klasma.github.io/Logging_212184/tillsynsmail/A 13640-2025 tillsynsbegäran mail.docx", "A 13640-2025")</f>
        <v/>
      </c>
      <c r="Z57">
        <f>HYPERLINK("https://klasma.github.io/Logging_212184/fåglar/A 13640-2025 prioriterade fågelarter.docx", "A 13640-2025")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45831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45831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45831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45831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45831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45831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45831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45831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45831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45831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45831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45831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45831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45831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45831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45831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45831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45831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45831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45831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45831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45831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45831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45831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45831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45831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45831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45831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45831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45831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45831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45831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45831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45831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45831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45831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45831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45831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45831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45831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45831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45831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45831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45831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45831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45831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45831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45831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45831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45831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45831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45831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45831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45831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45831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45831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45831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45831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23729-2025</t>
        </is>
      </c>
      <c r="B116" s="1" t="n">
        <v>45793</v>
      </c>
      <c r="C116" s="1" t="n">
        <v>45831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HYPERLINK("https://klasma.github.io/Logging_212184/artfynd/A 23729-2025 artfynd.xlsx", "A 23729-2025")</f>
        <v/>
      </c>
      <c r="T116">
        <f>HYPERLINK("https://klasma.github.io/Logging_212184/kartor/A 23729-2025 karta.png", "A 23729-2025")</f>
        <v/>
      </c>
      <c r="V116">
        <f>HYPERLINK("https://klasma.github.io/Logging_212184/klagomål/A 23729-2025 FSC-klagomål.docx", "A 23729-2025")</f>
        <v/>
      </c>
      <c r="W116">
        <f>HYPERLINK("https://klasma.github.io/Logging_212184/klagomålsmail/A 23729-2025 FSC-klagomål mail.docx", "A 23729-2025")</f>
        <v/>
      </c>
      <c r="X116">
        <f>HYPERLINK("https://klasma.github.io/Logging_212184/tillsyn/A 23729-2025 tillsynsbegäran.docx", "A 23729-2025")</f>
        <v/>
      </c>
      <c r="Y116">
        <f>HYPERLINK("https://klasma.github.io/Logging_212184/tillsynsmail/A 23729-2025 tillsynsbegäran mail.docx", "A 23729-2025")</f>
        <v/>
      </c>
    </row>
    <row r="117" ht="15" customHeight="1">
      <c r="A117" t="inlineStr">
        <is>
          <t>A 23732-2025</t>
        </is>
      </c>
      <c r="B117" s="1" t="n">
        <v>45793</v>
      </c>
      <c r="C117" s="1" t="n">
        <v>45831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11.9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HYPERLINK("https://klasma.github.io/Logging_212184/artfynd/A 23732-2025 artfynd.xlsx", "A 23732-2025")</f>
        <v/>
      </c>
      <c r="T117">
        <f>HYPERLINK("https://klasma.github.io/Logging_212184/kartor/A 23732-2025 karta.png", "A 23732-2025")</f>
        <v/>
      </c>
      <c r="V117">
        <f>HYPERLINK("https://klasma.github.io/Logging_212184/klagomål/A 23732-2025 FSC-klagomål.docx", "A 23732-2025")</f>
        <v/>
      </c>
      <c r="W117">
        <f>HYPERLINK("https://klasma.github.io/Logging_212184/klagomålsmail/A 23732-2025 FSC-klagomål mail.docx", "A 23732-2025")</f>
        <v/>
      </c>
      <c r="X117">
        <f>HYPERLINK("https://klasma.github.io/Logging_212184/tillsyn/A 23732-2025 tillsynsbegäran.docx", "A 23732-2025")</f>
        <v/>
      </c>
      <c r="Y117">
        <f>HYPERLINK("https://klasma.github.io/Logging_212184/tillsynsmail/A 23732-2025 tillsynsbegäran mail.docx", "A 23732-2025")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45831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45831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45831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45831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45831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45831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45831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45831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45831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45831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45831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45831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45831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45831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45831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45831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45831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45831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45831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45831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45831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45831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45831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45831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45831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45831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45831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45831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45831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45831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45831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45831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45831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45831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45831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45831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45831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45831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45831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45831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45831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45831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45831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45831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45831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45831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45831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45831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45831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45831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45831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45831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45831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45831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45831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45831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45831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45831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45831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45831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45831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45831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45831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45831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45831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45831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45831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45831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45831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45831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45831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45831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45831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45831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45831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45831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45831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45831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45831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45831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45831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45831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45831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45831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45831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45831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45831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45831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45831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45831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45831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45831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45831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45831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45831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45831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45831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45831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45831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45831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45831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45831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45831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45831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45831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45831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45831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45831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45831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45831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45831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45831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45831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45831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45831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45831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45831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45831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45831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45831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45831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45831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45831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45831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45831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45831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45831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45831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45831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45831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45831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45831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45831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45831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45831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45831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45831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45831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45831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45831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45831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45831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45831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45831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45831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45831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45831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45831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45831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45831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45831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45831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45831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45831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45831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45831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45831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45831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45831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45831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45831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45831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45831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45831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45831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45831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45831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45831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45831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45831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45831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45831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45831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45831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45831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45831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45831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45831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45831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45831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45831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45831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45831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45831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45831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45831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45831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45831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45831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45831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45831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45831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45831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45831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45831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45831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45831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45831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45831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45831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45831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45831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45831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45831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45831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45831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45831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45831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45831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45831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45831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45831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45831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45831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45831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45831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45831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45831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45831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45831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45831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45831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45831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45831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45831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45831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45831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45831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45831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45831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45831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45831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45831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45831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45831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45831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45831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45831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45831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45831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45831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45831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45831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45831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45831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45831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45831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45831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45831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45831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45831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45831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45831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45831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45831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45831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45831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45831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45831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45831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45831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45831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45831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45831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45831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45831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45831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45831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45831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45831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45831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45831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45831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45831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45831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45831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45831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45831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45831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45831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45831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45831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45831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45831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45831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45831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45831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45831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45831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45831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45831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45831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45831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45831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45831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45831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45831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45831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45831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45831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45831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45831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45831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45831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45831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45831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45831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45831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45831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45831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45831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45831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45831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45831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45831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45831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45831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45831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45831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45831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45831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45831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45831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45831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45831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45831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45831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45831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45831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45831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45831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45831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45831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45831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45831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45831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45831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45831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45831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45831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45831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45831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45831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45831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45831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45831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45831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45831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45831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45831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45831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45831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45831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45831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45831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45831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45831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45831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45831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45831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45831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45831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45831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45831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45831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45831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45831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45831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45831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45831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45831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45831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45831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45831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45831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45831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45831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45831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45831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45831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45831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45831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45831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45831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45831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45831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45831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45831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45831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45831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45831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45831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45831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45831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45831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45831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45831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45831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45831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45831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45831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45831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45831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45831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45831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45831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45831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45831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45831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45831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45831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45831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45831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45831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45831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45831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45831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45831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45831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45831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45831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45831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45831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45831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45831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45831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45831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45831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45831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45831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45831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45831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45831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45831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45831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45831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45831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45831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45831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45831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45831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45831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45831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45831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45831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45831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45831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45831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45831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45831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45831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45831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45831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45831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45831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45831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45831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45831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45831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45831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45831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45831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45831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45831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45831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45831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45831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45831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45831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45831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45831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45831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45831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45831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45831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45831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45831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45831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45831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45831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45831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45831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45831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45831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45831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45831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45831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45831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45831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45831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45831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45831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45831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45831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45831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45831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45831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45831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45831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45831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45831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45831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45831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45831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45831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45831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45831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45831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45831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45831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45831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45831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45831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45831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45831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45831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45831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45831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45831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45831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45831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45831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45831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45831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45831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45831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45831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45831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45831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45831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45831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45831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45831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45831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45831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45831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45831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45831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45831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45831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45831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45831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45831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45831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45831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45831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45831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45831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45831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45831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45831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45831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45831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45831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45831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45831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45831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45831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45831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45831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45831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45831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45831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45831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45831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45831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45831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45831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45831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45831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45831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45831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45831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45831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45831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45831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45831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45831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45831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45831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45831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45831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45831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45831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45831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45831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45831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45831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45831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45831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45831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45831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45831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45831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45831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45831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45831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45831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45831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45831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45831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45831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45831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45831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45831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45831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45831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45831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45831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45831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45831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45831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45831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45831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45831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45831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45831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45831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45831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45831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45831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45831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45831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45831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45831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45831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45831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45831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45831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45831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45831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45831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45831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45831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45831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45831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45831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45831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45831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45831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45831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45831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45831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45831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45831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45831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45831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45831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45831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45831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45831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45831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45831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45831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45831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45831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45831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45831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45831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45831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45831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45831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45831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45831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45831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45831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45831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45831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45831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45831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45831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45831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45831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45831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45831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45831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45831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45831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45831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45831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45831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45831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45831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45831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45831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45831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45831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45831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45831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45831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45831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45831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45831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45831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45831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45831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45831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45831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45831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45831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45831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45831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45831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45831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45831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45831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45831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45831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45831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45831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45831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45831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45831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45831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45831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45831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45831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45831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45831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45831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45831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45831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45831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45831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45831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45831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45831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45831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45831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45831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45831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45831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45831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45831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45831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45831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45831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45831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45831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45831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45831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45831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45831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45831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45831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45831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45831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45831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45831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45831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45831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45831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45831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45831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45831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45831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45831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45831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45831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45831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45831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45831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45831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45831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45831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45831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45831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45831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45831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45831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45831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45831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45831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45831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45831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45831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45831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45831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45831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45831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45831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45831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45831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45831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45831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45831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45831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45831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45831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45831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45831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45831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45831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45831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45831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45831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45831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45831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45831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45831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45831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45831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45831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45831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45831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45831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45831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45831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45831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45831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45831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45831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45831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45831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45831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45831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45831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45831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45831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45831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45831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45831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45831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45831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45831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45831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45831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45831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45831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45831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45831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45831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45831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45831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45831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45831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45831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45831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45831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45831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45831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45831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45831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45831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45831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45831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45831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45831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45831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45831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45831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45831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45831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45831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45831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45831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45831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45831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45831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45831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45831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45831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45831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45831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45831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45831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45831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45831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45831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45831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45831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45831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45831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45831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45831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45831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45831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45831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45831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45831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45831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45831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45831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45831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45831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45831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45831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45831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45831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45831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45831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45831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45831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45831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45831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45831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45831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45831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45831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45831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45831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45831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45831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45831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45831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45831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45831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45831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45831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45831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45831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45831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45831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45831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45831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45831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45831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45831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45831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45831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45831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45831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45831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45831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45831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45831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45831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45831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45831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45831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45831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45831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45831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45831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45831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45831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45831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45831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45831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45831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45831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45831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45831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45831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45831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45831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45831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45831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45831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45831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45831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45831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45831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45831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45831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45831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45831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45831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45831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45831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45831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45831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45831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45831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45831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45831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45831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45831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45831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45831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45831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45831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45831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45831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45831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45831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45831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45831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45831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45831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45831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45831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45831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45831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45831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45831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45831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45831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45831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45831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45831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45831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45831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45831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45831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45831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45831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45831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45831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45831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45831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45831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45831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45831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45831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45831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45831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45831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45831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45831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45831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45831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45831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45831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45831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45831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45831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45831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45831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45831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45831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45831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45831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45831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45831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45831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45831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45831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45831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45831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45831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45831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45831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45831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45831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45831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45831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45831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45831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45831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45831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45831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45831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45831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45831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45831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45831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45831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45831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45831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45831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45831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45831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45831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45831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45831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45831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45831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45831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45831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45831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45831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45831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45831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45831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45831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45831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45831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45831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45831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45831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45831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45831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45831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45831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45831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45831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45831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45831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45831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45831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45831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45831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45831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45831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45831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45831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45831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45831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45831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45831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45831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45831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45831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45831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45831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45831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45831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45831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45831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45831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45831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45831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45831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45831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45831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45831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45831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45831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45831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45831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45831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45831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45831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45831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45831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45831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45831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45831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45831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45831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45831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45831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45831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45831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45831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45831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45831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45831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45831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45831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45831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45831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45831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45831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45831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45831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45831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45831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45831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45831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45831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45831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45831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45831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45831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45831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45831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45831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45831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45831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45831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45831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45831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45831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45831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45831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45831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45831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45831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45831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45831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45831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45831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45831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45831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45831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45831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45831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45831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45831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45831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45831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45831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45831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45831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45831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45831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45831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45831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45831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45831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45831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45831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45831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45831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45831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45831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45831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45831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45831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45831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45831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45831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45831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45831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45831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45831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45831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45831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45831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45831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45831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45831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45831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45831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45831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45831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45831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45831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45831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45831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45831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45831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45831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45831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45831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45831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45831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45831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45831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45831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45831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45831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45831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45831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45831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45831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45831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45831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45831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45831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45831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45831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45831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45831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45831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45831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45831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45831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45831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45831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45831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45831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45831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45831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45831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45831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45831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45831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45831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45831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45831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45831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45831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45831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45831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45831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45831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45831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45831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45831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45831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45831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45831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45831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45831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45831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45831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45831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45831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45831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45831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45831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45831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45831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45831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45831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45831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45831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45831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45831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45831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45831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45831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45831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45831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45831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45831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45831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45831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45831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45831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45831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45831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45831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45831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45831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45831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45831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45831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45831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45831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45831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45831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45831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45831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45831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45831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45831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45831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45831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45831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45831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45831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45831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45831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45831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45831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45831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45831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45831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45831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45831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45831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45831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45831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45831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45831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45831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45831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45831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45831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45831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45831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45831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45831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45831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45831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45831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45831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45831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45831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45831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45831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45831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45831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45831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45831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45831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45831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45831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45831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45831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45831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45831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45831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45831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45831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45831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45831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45831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45831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45831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45831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45831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45831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45831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45831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45831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45831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45831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45831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45831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45831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45831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45831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45831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45831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45831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45831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45831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45831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45831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45831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45831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45831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45831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45831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45831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45831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45831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45831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45831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45831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45831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45831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45831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45831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45831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45831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45831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45831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45831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45831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45831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45831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45831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45831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45831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45831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45831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45831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45831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45831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45831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45831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45831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45831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45831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45831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45831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45831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45831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45831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45831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45831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45831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45831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45831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45831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45831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45831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45831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45831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45831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45831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45831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45831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45831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45831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45831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45831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45831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45831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45831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45831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45831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45831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45831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45831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45831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45831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45831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45831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45831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45831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45831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45831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45831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45831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45831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45831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45831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45831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45831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45831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45831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45831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45831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45831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45831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45831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45831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45831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45831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45831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45831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45831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45831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45831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45831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45831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45831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45831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45831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45831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45831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45831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45831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45831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45831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45831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45831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45831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45831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45831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45831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45831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45831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45831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45831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45831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45831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45831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45831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45831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45831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45831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45831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45831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45831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45831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45831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45831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45831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45831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45831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45831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45831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45831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45831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45831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45831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45831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45831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45831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45831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45831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45831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45831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45831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45831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45831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45831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45831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45831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45831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45831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45831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45831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45831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45831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45831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45831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45831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45831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45831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45831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45831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45831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45831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45831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45831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45831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45831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45831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45831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45831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45831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45831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45831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45831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45831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45831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45831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45831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45831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45831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45831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45831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45831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45831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45831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45831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45831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45831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45831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45831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45831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45831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45831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45831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45831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45831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45831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45831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45831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45831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45831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45831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45831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45831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45831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45831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45831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45831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45831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45831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45831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45831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45831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45831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45831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45831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45831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45831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45831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45831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45831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45831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45831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45831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45831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45831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45831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45831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45831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45831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45831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45831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45831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45831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45831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45831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45831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45831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45831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45831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45831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45831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45831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45831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45831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45831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45831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45831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45831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45831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45831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45831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45831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45831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45831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45831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45831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45831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45831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45831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45831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45831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45831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45831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45831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45831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45831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45831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45831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45831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45831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45831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45831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45831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45831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45831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45831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45831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45831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45831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45831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45831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45831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45831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45831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45831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45831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45831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45831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45831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45831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45831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45831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45831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45831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45831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45831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45831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45831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45831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45831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45831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45831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45831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45831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45831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45831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45831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45831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45831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45831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45831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45831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45831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45831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45831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45831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45831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45831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45831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45831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45831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45831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45831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45831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45831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45831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45831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45831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45831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45831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45831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45831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45831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45831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45831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45831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45831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45831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45831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45831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45831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45831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45831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45831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45831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45831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45831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45831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45831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45831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45831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45831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45831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45831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45831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45831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45831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45831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45831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45831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45831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45831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45831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45831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45831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45831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45831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45831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45831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45831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45831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45831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45831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45831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45831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45831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45831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45831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45831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45831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45831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45831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45831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45831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45831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45831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45831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45831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45831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45831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45831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45831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45831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45831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45831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45831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45831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45831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45831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45831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45831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45831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45831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45831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45831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45831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45831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45831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45831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45831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45831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45831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45831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45831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45831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45831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45831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45831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45831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45831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45831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45831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45831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45831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45831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45831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45831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45831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45831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45831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45831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45831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45831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45831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45831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45831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45831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45831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45831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45831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45831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45831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45831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45831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45831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45831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45831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45831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45831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45831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45831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45831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45831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45831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45831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45831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45831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45831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45831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45831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45831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45831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45831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45831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45831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45831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45831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45831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45831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45831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45831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45831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45831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45831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45831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45831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45831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45831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45831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45831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45831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45831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45831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45831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45831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45831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45831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45831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45831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45831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45831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45831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45831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45831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45831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45831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45831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45831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45831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45831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45831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45831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45831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45831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45831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45831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45831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45831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45831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45831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45831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45831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45831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45831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45831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45831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45831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45831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45831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45831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45831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45831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45831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45831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45831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45831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45831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45831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45831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45831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45831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45831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45831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45831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45831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45831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45831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45831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45831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45831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45831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45831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45831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45831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45831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45831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45831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45831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45831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45831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45831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45831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45831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45831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45831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45831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45831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45831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45831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45831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45831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45831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45831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45831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45831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45831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45831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45831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45831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45831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45831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45831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45831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45831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45831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45831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45831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45831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45831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45831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45831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45831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45831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45831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45831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45831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45831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45831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45831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45831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45831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45831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45831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45831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45831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45831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45831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45831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45831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45831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45831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45831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45831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45831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45831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45831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45831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45831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45831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45831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45831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45831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45831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45831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45831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45831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45831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45831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45831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45831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45831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45831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45831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45831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45831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45831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45831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45831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45831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45831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45831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45831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45831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45831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45831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45831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45831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45831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45831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45831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45831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45831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45831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45831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45831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45831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45831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45831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45831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45831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45831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45831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45831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45831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45831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45831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45831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45831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45831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45831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45831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45831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45831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45831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45831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45831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45831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45831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45831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45831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45831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45831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45831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45831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45831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45831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45831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45831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45831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45831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45831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45831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45831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45831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45831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45831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45831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45831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45831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45831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45831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45831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45831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45831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45831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45831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45831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45831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45831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45831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45831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45831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45831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45831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45831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45831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45831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45831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45831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45831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45831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45831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45831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45831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45831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45831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45831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45831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45831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45831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45831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45831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45831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45831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45831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45831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45831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45831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45831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45831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45831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45831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45831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45831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45831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45831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45831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45831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45831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45831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45831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45831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45831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45831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45831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45831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45831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45831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45831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45831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45831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45831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45831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45831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45831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45831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45831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45831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45831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45831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45831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45831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45831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45831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45831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45831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45831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45831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45831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45831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45831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45831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45831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45831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45831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45831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45831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45831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45831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45831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45831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45831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45831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45831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45831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45831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45831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45831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45831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45831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45831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45831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45831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45831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45831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45831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45831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45831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45831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45831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45831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45831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45831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45831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45831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21505-2025</t>
        </is>
      </c>
      <c r="B2313" s="1" t="n">
        <v>45782</v>
      </c>
      <c r="C2313" s="1" t="n">
        <v>45831</v>
      </c>
      <c r="D2313" t="inlineStr">
        <is>
          <t>GÄVLEBORGS LÄN</t>
        </is>
      </c>
      <c r="E2313" t="inlineStr">
        <is>
          <t>HUDIKSVALL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45831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21601-2025</t>
        </is>
      </c>
      <c r="B2315" s="1" t="n">
        <v>45783</v>
      </c>
      <c r="C2315" s="1" t="n">
        <v>45831</v>
      </c>
      <c r="D2315" t="inlineStr">
        <is>
          <t>GÄVLEBORGS LÄN</t>
        </is>
      </c>
      <c r="E2315" t="inlineStr">
        <is>
          <t>HUDIKSVALL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21933-2025</t>
        </is>
      </c>
      <c r="B2316" s="1" t="n">
        <v>45784</v>
      </c>
      <c r="C2316" s="1" t="n">
        <v>45831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22015-2025</t>
        </is>
      </c>
      <c r="B2317" s="1" t="n">
        <v>45784</v>
      </c>
      <c r="C2317" s="1" t="n">
        <v>45831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45831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45831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45831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45831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45831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22608-2025</t>
        </is>
      </c>
      <c r="B2323" s="1" t="n">
        <v>45789</v>
      </c>
      <c r="C2323" s="1" t="n">
        <v>45831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22832-2025</t>
        </is>
      </c>
      <c r="B2324" s="1" t="n">
        <v>45789</v>
      </c>
      <c r="C2324" s="1" t="n">
        <v>45831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82.3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22611-2025</t>
        </is>
      </c>
      <c r="B2325" s="1" t="n">
        <v>45789</v>
      </c>
      <c r="C2325" s="1" t="n">
        <v>45831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22579-2025</t>
        </is>
      </c>
      <c r="B2326" s="1" t="n">
        <v>45789</v>
      </c>
      <c r="C2326" s="1" t="n">
        <v>45831</v>
      </c>
      <c r="D2326" t="inlineStr">
        <is>
          <t>GÄVLEBORGS LÄN</t>
        </is>
      </c>
      <c r="E2326" t="inlineStr">
        <is>
          <t>HUDIKSVALL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22600-2025</t>
        </is>
      </c>
      <c r="B2327" s="1" t="n">
        <v>45789</v>
      </c>
      <c r="C2327" s="1" t="n">
        <v>45831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22722-2025</t>
        </is>
      </c>
      <c r="B2328" s="1" t="n">
        <v>45789</v>
      </c>
      <c r="C2328" s="1" t="n">
        <v>45831</v>
      </c>
      <c r="D2328" t="inlineStr">
        <is>
          <t>GÄVLEBORGS LÄN</t>
        </is>
      </c>
      <c r="E2328" t="inlineStr">
        <is>
          <t>HUDIKSVALL</t>
        </is>
      </c>
      <c r="G2328" t="n">
        <v>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22859-2025</t>
        </is>
      </c>
      <c r="B2329" s="1" t="n">
        <v>45790</v>
      </c>
      <c r="C2329" s="1" t="n">
        <v>45831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  <c r="U2329">
        <f>HYPERLINK("https://klasma.github.io/Logging_212184/knärot/A 22859-2025 karta knärot.png", "A 22859-2025")</f>
        <v/>
      </c>
      <c r="V2329">
        <f>HYPERLINK("https://klasma.github.io/Logging_212184/klagomål/A 22859-2025 FSC-klagomål.docx", "A 22859-2025")</f>
        <v/>
      </c>
      <c r="W2329">
        <f>HYPERLINK("https://klasma.github.io/Logging_212184/klagomålsmail/A 22859-2025 FSC-klagomål mail.docx", "A 22859-2025")</f>
        <v/>
      </c>
      <c r="X2329">
        <f>HYPERLINK("https://klasma.github.io/Logging_212184/tillsyn/A 22859-2025 tillsynsbegäran.docx", "A 22859-2025")</f>
        <v/>
      </c>
      <c r="Y2329">
        <f>HYPERLINK("https://klasma.github.io/Logging_212184/tillsynsmail/A 22859-2025 tillsynsbegäran mail.docx", "A 22859-2025")</f>
        <v/>
      </c>
    </row>
    <row r="2330" ht="15" customHeight="1">
      <c r="A2330" t="inlineStr">
        <is>
          <t>A 22903-2025</t>
        </is>
      </c>
      <c r="B2330" s="1" t="n">
        <v>45790</v>
      </c>
      <c r="C2330" s="1" t="n">
        <v>45831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22916-2025</t>
        </is>
      </c>
      <c r="B2331" s="1" t="n">
        <v>45790</v>
      </c>
      <c r="C2331" s="1" t="n">
        <v>45831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23014-2025</t>
        </is>
      </c>
      <c r="B2332" s="1" t="n">
        <v>45790</v>
      </c>
      <c r="C2332" s="1" t="n">
        <v>45831</v>
      </c>
      <c r="D2332" t="inlineStr">
        <is>
          <t>GÄVLEBORGS LÄN</t>
        </is>
      </c>
      <c r="E2332" t="inlineStr">
        <is>
          <t>HUDIKSVALL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22935-2025</t>
        </is>
      </c>
      <c r="B2333" s="1" t="n">
        <v>45790</v>
      </c>
      <c r="C2333" s="1" t="n">
        <v>45831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23663-2025</t>
        </is>
      </c>
      <c r="B2334" s="1" t="n">
        <v>45792</v>
      </c>
      <c r="C2334" s="1" t="n">
        <v>45831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45831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45831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24006-2025</t>
        </is>
      </c>
      <c r="B2337" s="1" t="n">
        <v>45796</v>
      </c>
      <c r="C2337" s="1" t="n">
        <v>45831</v>
      </c>
      <c r="D2337" t="inlineStr">
        <is>
          <t>GÄVLEBORGS LÄN</t>
        </is>
      </c>
      <c r="E2337" t="inlineStr">
        <is>
          <t>HUDIKSVALL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24239-2025</t>
        </is>
      </c>
      <c r="B2338" s="1" t="n">
        <v>45797</v>
      </c>
      <c r="C2338" s="1" t="n">
        <v>45831</v>
      </c>
      <c r="D2338" t="inlineStr">
        <is>
          <t>GÄVLEBORGS LÄN</t>
        </is>
      </c>
      <c r="E2338" t="inlineStr">
        <is>
          <t>HUDIKSVALL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24238-2025</t>
        </is>
      </c>
      <c r="B2339" s="1" t="n">
        <v>45797</v>
      </c>
      <c r="C2339" s="1" t="n">
        <v>45831</v>
      </c>
      <c r="D2339" t="inlineStr">
        <is>
          <t>GÄVLEBORGS LÄN</t>
        </is>
      </c>
      <c r="E2339" t="inlineStr">
        <is>
          <t>HUDIKSVALL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24240-2025</t>
        </is>
      </c>
      <c r="B2340" s="1" t="n">
        <v>45797</v>
      </c>
      <c r="C2340" s="1" t="n">
        <v>45831</v>
      </c>
      <c r="D2340" t="inlineStr">
        <is>
          <t>GÄVLEBORGS LÄN</t>
        </is>
      </c>
      <c r="E2340" t="inlineStr">
        <is>
          <t>HUDIKSVALL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24320-2025</t>
        </is>
      </c>
      <c r="B2341" s="1" t="n">
        <v>45797</v>
      </c>
      <c r="C2341" s="1" t="n">
        <v>45831</v>
      </c>
      <c r="D2341" t="inlineStr">
        <is>
          <t>GÄVLEBORGS LÄN</t>
        </is>
      </c>
      <c r="E2341" t="inlineStr">
        <is>
          <t>HUDIKSVALL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24370-2025</t>
        </is>
      </c>
      <c r="B2342" s="1" t="n">
        <v>45797</v>
      </c>
      <c r="C2342" s="1" t="n">
        <v>45831</v>
      </c>
      <c r="D2342" t="inlineStr">
        <is>
          <t>GÄVLEBORGS LÄN</t>
        </is>
      </c>
      <c r="E2342" t="inlineStr">
        <is>
          <t>HUDIKSVALL</t>
        </is>
      </c>
      <c r="F2342" t="inlineStr">
        <is>
          <t>Holmen skog AB</t>
        </is>
      </c>
      <c r="G2342" t="n">
        <v>6.9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24382-2025</t>
        </is>
      </c>
      <c r="B2343" s="1" t="n">
        <v>45797</v>
      </c>
      <c r="C2343" s="1" t="n">
        <v>45831</v>
      </c>
      <c r="D2343" t="inlineStr">
        <is>
          <t>GÄVLEBORGS LÄN</t>
        </is>
      </c>
      <c r="E2343" t="inlineStr">
        <is>
          <t>HUDIKSVALL</t>
        </is>
      </c>
      <c r="G2343" t="n">
        <v>11.6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24330-2025</t>
        </is>
      </c>
      <c r="B2344" s="1" t="n">
        <v>45797</v>
      </c>
      <c r="C2344" s="1" t="n">
        <v>45831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Kommuner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24241-2025</t>
        </is>
      </c>
      <c r="B2345" s="1" t="n">
        <v>45797</v>
      </c>
      <c r="C2345" s="1" t="n">
        <v>45831</v>
      </c>
      <c r="D2345" t="inlineStr">
        <is>
          <t>GÄVLEBORGS LÄN</t>
        </is>
      </c>
      <c r="E2345" t="inlineStr">
        <is>
          <t>HUDIKSVALL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45831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24942-2025</t>
        </is>
      </c>
      <c r="B2347" s="1" t="n">
        <v>45799</v>
      </c>
      <c r="C2347" s="1" t="n">
        <v>45831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Holmen skog AB</t>
        </is>
      </c>
      <c r="G2347" t="n">
        <v>33.5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24748-2025</t>
        </is>
      </c>
      <c r="B2348" s="1" t="n">
        <v>45799</v>
      </c>
      <c r="C2348" s="1" t="n">
        <v>45831</v>
      </c>
      <c r="D2348" t="inlineStr">
        <is>
          <t>GÄVLEBORGS LÄN</t>
        </is>
      </c>
      <c r="E2348" t="inlineStr">
        <is>
          <t>HUDIKSVALL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24917-2025</t>
        </is>
      </c>
      <c r="B2349" s="1" t="n">
        <v>45799</v>
      </c>
      <c r="C2349" s="1" t="n">
        <v>45831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Sveaskog</t>
        </is>
      </c>
      <c r="G2349" t="n">
        <v>36.9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24999-2025</t>
        </is>
      </c>
      <c r="B2350" s="1" t="n">
        <v>45799</v>
      </c>
      <c r="C2350" s="1" t="n">
        <v>45831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Holmen skog AB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25187-2025</t>
        </is>
      </c>
      <c r="B2351" s="1" t="n">
        <v>45800</v>
      </c>
      <c r="C2351" s="1" t="n">
        <v>45831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53.6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25844-2025</t>
        </is>
      </c>
      <c r="B2352" s="1" t="n">
        <v>45800</v>
      </c>
      <c r="C2352" s="1" t="n">
        <v>45831</v>
      </c>
      <c r="D2352" t="inlineStr">
        <is>
          <t>GÄVLEBORGS LÄN</t>
        </is>
      </c>
      <c r="E2352" t="inlineStr">
        <is>
          <t>HUDIKSVALL</t>
        </is>
      </c>
      <c r="G2352" t="n">
        <v>5.4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25148-2025</t>
        </is>
      </c>
      <c r="B2353" s="1" t="n">
        <v>45800</v>
      </c>
      <c r="C2353" s="1" t="n">
        <v>45831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20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25730-2025</t>
        </is>
      </c>
      <c r="B2354" s="1" t="n">
        <v>45803</v>
      </c>
      <c r="C2354" s="1" t="n">
        <v>45831</v>
      </c>
      <c r="D2354" t="inlineStr">
        <is>
          <t>GÄVLEBORGS LÄN</t>
        </is>
      </c>
      <c r="E2354" t="inlineStr">
        <is>
          <t>HUDIKSVALL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25673-2025</t>
        </is>
      </c>
      <c r="B2355" s="1" t="n">
        <v>45803</v>
      </c>
      <c r="C2355" s="1" t="n">
        <v>45831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25551-2025</t>
        </is>
      </c>
      <c r="B2356" s="1" t="n">
        <v>45803</v>
      </c>
      <c r="C2356" s="1" t="n">
        <v>45831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25492-2025</t>
        </is>
      </c>
      <c r="B2357" s="1" t="n">
        <v>45803</v>
      </c>
      <c r="C2357" s="1" t="n">
        <v>45831</v>
      </c>
      <c r="D2357" t="inlineStr">
        <is>
          <t>GÄVLEBORGS LÄN</t>
        </is>
      </c>
      <c r="E2357" t="inlineStr">
        <is>
          <t>HUDIKSVALL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25497-2025</t>
        </is>
      </c>
      <c r="B2358" s="1" t="n">
        <v>45803</v>
      </c>
      <c r="C2358" s="1" t="n">
        <v>45831</v>
      </c>
      <c r="D2358" t="inlineStr">
        <is>
          <t>GÄVLEBORGS LÄN</t>
        </is>
      </c>
      <c r="E2358" t="inlineStr">
        <is>
          <t>HUDIKSVALL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25538-2025</t>
        </is>
      </c>
      <c r="B2359" s="1" t="n">
        <v>45803</v>
      </c>
      <c r="C2359" s="1" t="n">
        <v>45831</v>
      </c>
      <c r="D2359" t="inlineStr">
        <is>
          <t>GÄVLEBORGS LÄN</t>
        </is>
      </c>
      <c r="E2359" t="inlineStr">
        <is>
          <t>HUDIKSVALL</t>
        </is>
      </c>
      <c r="F2359" t="inlineStr">
        <is>
          <t>Holmen skog AB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25503-2025</t>
        </is>
      </c>
      <c r="B2360" s="1" t="n">
        <v>45803</v>
      </c>
      <c r="C2360" s="1" t="n">
        <v>45831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25750-2025</t>
        </is>
      </c>
      <c r="B2361" s="1" t="n">
        <v>45804</v>
      </c>
      <c r="C2361" s="1" t="n">
        <v>45831</v>
      </c>
      <c r="D2361" t="inlineStr">
        <is>
          <t>GÄVLEBORGS LÄN</t>
        </is>
      </c>
      <c r="E2361" t="inlineStr">
        <is>
          <t>HUDIKSVALL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25784-2025</t>
        </is>
      </c>
      <c r="B2362" s="1" t="n">
        <v>45804</v>
      </c>
      <c r="C2362" s="1" t="n">
        <v>45831</v>
      </c>
      <c r="D2362" t="inlineStr">
        <is>
          <t>GÄVLEBORGS LÄN</t>
        </is>
      </c>
      <c r="E2362" t="inlineStr">
        <is>
          <t>HUDIKSVALL</t>
        </is>
      </c>
      <c r="F2362" t="inlineStr">
        <is>
          <t>Holmen skog AB</t>
        </is>
      </c>
      <c r="G2362" t="n">
        <v>18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45831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45831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45831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26403-2025</t>
        </is>
      </c>
      <c r="B2366" s="1" t="n">
        <v>45807</v>
      </c>
      <c r="C2366" s="1" t="n">
        <v>45831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26813-2025</t>
        </is>
      </c>
      <c r="B2367" s="1" t="n">
        <v>45810</v>
      </c>
      <c r="C2367" s="1" t="n">
        <v>45831</v>
      </c>
      <c r="D2367" t="inlineStr">
        <is>
          <t>GÄVLEBORGS LÄN</t>
        </is>
      </c>
      <c r="E2367" t="inlineStr">
        <is>
          <t>HUDIKSVALL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26788-2025</t>
        </is>
      </c>
      <c r="B2368" s="1" t="n">
        <v>45810</v>
      </c>
      <c r="C2368" s="1" t="n">
        <v>45831</v>
      </c>
      <c r="D2368" t="inlineStr">
        <is>
          <t>GÄVLEBORGS LÄN</t>
        </is>
      </c>
      <c r="E2368" t="inlineStr">
        <is>
          <t>HUDIKSVALL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45831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26894-2025</t>
        </is>
      </c>
      <c r="B2370" s="1" t="n">
        <v>45811</v>
      </c>
      <c r="C2370" s="1" t="n">
        <v>45831</v>
      </c>
      <c r="D2370" t="inlineStr">
        <is>
          <t>GÄVLEBORGS LÄN</t>
        </is>
      </c>
      <c r="E2370" t="inlineStr">
        <is>
          <t>HUDIKSVALL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27078-2025</t>
        </is>
      </c>
      <c r="B2371" s="1" t="n">
        <v>45811</v>
      </c>
      <c r="C2371" s="1" t="n">
        <v>45831</v>
      </c>
      <c r="D2371" t="inlineStr">
        <is>
          <t>GÄVLEBORGS LÄN</t>
        </is>
      </c>
      <c r="E2371" t="inlineStr">
        <is>
          <t>HUDIKSVALL</t>
        </is>
      </c>
      <c r="G2371" t="n">
        <v>5.9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27159-2025</t>
        </is>
      </c>
      <c r="B2372" s="1" t="n">
        <v>45812</v>
      </c>
      <c r="C2372" s="1" t="n">
        <v>45831</v>
      </c>
      <c r="D2372" t="inlineStr">
        <is>
          <t>GÄVLEBORGS LÄN</t>
        </is>
      </c>
      <c r="E2372" t="inlineStr">
        <is>
          <t>HUDIKSVALL</t>
        </is>
      </c>
      <c r="F2372" t="inlineStr">
        <is>
          <t>Holmen skog AB</t>
        </is>
      </c>
      <c r="G2372" t="n">
        <v>29.4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27289-2025</t>
        </is>
      </c>
      <c r="B2373" s="1" t="n">
        <v>45812</v>
      </c>
      <c r="C2373" s="1" t="n">
        <v>45831</v>
      </c>
      <c r="D2373" t="inlineStr">
        <is>
          <t>GÄVLEBORGS LÄN</t>
        </is>
      </c>
      <c r="E2373" t="inlineStr">
        <is>
          <t>HUDIKSVALL</t>
        </is>
      </c>
      <c r="F2373" t="inlineStr">
        <is>
          <t>Holmen skog AB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27299-2025</t>
        </is>
      </c>
      <c r="B2374" s="1" t="n">
        <v>45812</v>
      </c>
      <c r="C2374" s="1" t="n">
        <v>45831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27206-2025</t>
        </is>
      </c>
      <c r="B2375" s="1" t="n">
        <v>45812</v>
      </c>
      <c r="C2375" s="1" t="n">
        <v>45831</v>
      </c>
      <c r="D2375" t="inlineStr">
        <is>
          <t>GÄVLEBORGS LÄN</t>
        </is>
      </c>
      <c r="E2375" t="inlineStr">
        <is>
          <t>HUDIKSVALL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27253-2025</t>
        </is>
      </c>
      <c r="B2376" s="1" t="n">
        <v>45812</v>
      </c>
      <c r="C2376" s="1" t="n">
        <v>45831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45831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27618-2025</t>
        </is>
      </c>
      <c r="B2378" s="1" t="n">
        <v>45813</v>
      </c>
      <c r="C2378" s="1" t="n">
        <v>45831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5.5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27514-2025</t>
        </is>
      </c>
      <c r="B2379" s="1" t="n">
        <v>45813</v>
      </c>
      <c r="C2379" s="1" t="n">
        <v>45831</v>
      </c>
      <c r="D2379" t="inlineStr">
        <is>
          <t>GÄVLEBORGS LÄN</t>
        </is>
      </c>
      <c r="E2379" t="inlineStr">
        <is>
          <t>HUDIKSVALL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27791-2025</t>
        </is>
      </c>
      <c r="B2380" s="1" t="n">
        <v>45816</v>
      </c>
      <c r="C2380" s="1" t="n">
        <v>45831</v>
      </c>
      <c r="D2380" t="inlineStr">
        <is>
          <t>GÄVLEBORGS LÄN</t>
        </is>
      </c>
      <c r="E2380" t="inlineStr">
        <is>
          <t>HUDIKSVALL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27909-2025</t>
        </is>
      </c>
      <c r="B2381" s="1" t="n">
        <v>45817</v>
      </c>
      <c r="C2381" s="1" t="n">
        <v>45831</v>
      </c>
      <c r="D2381" t="inlineStr">
        <is>
          <t>GÄVLEBORGS LÄN</t>
        </is>
      </c>
      <c r="E2381" t="inlineStr">
        <is>
          <t>HUDIKSVALL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27886-2025</t>
        </is>
      </c>
      <c r="B2382" s="1" t="n">
        <v>45817</v>
      </c>
      <c r="C2382" s="1" t="n">
        <v>45831</v>
      </c>
      <c r="D2382" t="inlineStr">
        <is>
          <t>GÄVLEBORGS LÄN</t>
        </is>
      </c>
      <c r="E2382" t="inlineStr">
        <is>
          <t>HUDIKSVALL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27993-2025</t>
        </is>
      </c>
      <c r="B2383" s="1" t="n">
        <v>45817</v>
      </c>
      <c r="C2383" s="1" t="n">
        <v>45831</v>
      </c>
      <c r="D2383" t="inlineStr">
        <is>
          <t>GÄVLEBORGS LÄN</t>
        </is>
      </c>
      <c r="E2383" t="inlineStr">
        <is>
          <t>HUDIKSVALL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27881-2025</t>
        </is>
      </c>
      <c r="B2384" s="1" t="n">
        <v>45817</v>
      </c>
      <c r="C2384" s="1" t="n">
        <v>45831</v>
      </c>
      <c r="D2384" t="inlineStr">
        <is>
          <t>GÄVLEBORGS LÄN</t>
        </is>
      </c>
      <c r="E2384" t="inlineStr">
        <is>
          <t>HUDIKSVALL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28224-2025</t>
        </is>
      </c>
      <c r="B2385" s="1" t="n">
        <v>45818</v>
      </c>
      <c r="C2385" s="1" t="n">
        <v>45831</v>
      </c>
      <c r="D2385" t="inlineStr">
        <is>
          <t>GÄVLEBORGS LÄN</t>
        </is>
      </c>
      <c r="E2385" t="inlineStr">
        <is>
          <t>HUDIKSVALL</t>
        </is>
      </c>
      <c r="G2385" t="n">
        <v>2.9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28184-2025</t>
        </is>
      </c>
      <c r="B2386" s="1" t="n">
        <v>45818</v>
      </c>
      <c r="C2386" s="1" t="n">
        <v>45831</v>
      </c>
      <c r="D2386" t="inlineStr">
        <is>
          <t>GÄVLEBORGS LÄN</t>
        </is>
      </c>
      <c r="E2386" t="inlineStr">
        <is>
          <t>HUDIKSVALL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28163-2025</t>
        </is>
      </c>
      <c r="B2387" s="1" t="n">
        <v>45818</v>
      </c>
      <c r="C2387" s="1" t="n">
        <v>45831</v>
      </c>
      <c r="D2387" t="inlineStr">
        <is>
          <t>GÄVLEBORGS LÄN</t>
        </is>
      </c>
      <c r="E2387" t="inlineStr">
        <is>
          <t>HUDIKSVALL</t>
        </is>
      </c>
      <c r="G2387" t="n">
        <v>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28411-2025</t>
        </is>
      </c>
      <c r="B2388" s="1" t="n">
        <v>45819</v>
      </c>
      <c r="C2388" s="1" t="n">
        <v>45831</v>
      </c>
      <c r="D2388" t="inlineStr">
        <is>
          <t>GÄVLEBORGS LÄN</t>
        </is>
      </c>
      <c r="E2388" t="inlineStr">
        <is>
          <t>HUDIKSVALL</t>
        </is>
      </c>
      <c r="G2388" t="n">
        <v>0.1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28633-2025</t>
        </is>
      </c>
      <c r="B2389" s="1" t="n">
        <v>45819</v>
      </c>
      <c r="C2389" s="1" t="n">
        <v>45831</v>
      </c>
      <c r="D2389" t="inlineStr">
        <is>
          <t>GÄVLEBORGS LÄN</t>
        </is>
      </c>
      <c r="E2389" t="inlineStr">
        <is>
          <t>HUDIKSVALL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28599-2025</t>
        </is>
      </c>
      <c r="B2390" s="1" t="n">
        <v>45819</v>
      </c>
      <c r="C2390" s="1" t="n">
        <v>45831</v>
      </c>
      <c r="D2390" t="inlineStr">
        <is>
          <t>GÄVLEBORGS LÄN</t>
        </is>
      </c>
      <c r="E2390" t="inlineStr">
        <is>
          <t>HUDIKSVALL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28410-2025</t>
        </is>
      </c>
      <c r="B2391" s="1" t="n">
        <v>45819</v>
      </c>
      <c r="C2391" s="1" t="n">
        <v>45831</v>
      </c>
      <c r="D2391" t="inlineStr">
        <is>
          <t>GÄVLEBORGS LÄN</t>
        </is>
      </c>
      <c r="E2391" t="inlineStr">
        <is>
          <t>HUDIKSVALL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28472-2025</t>
        </is>
      </c>
      <c r="B2392" s="1" t="n">
        <v>45819</v>
      </c>
      <c r="C2392" s="1" t="n">
        <v>45831</v>
      </c>
      <c r="D2392" t="inlineStr">
        <is>
          <t>GÄVLEBORGS LÄN</t>
        </is>
      </c>
      <c r="E2392" t="inlineStr">
        <is>
          <t>HUDIKSVALL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28475-2025</t>
        </is>
      </c>
      <c r="B2393" s="1" t="n">
        <v>45819</v>
      </c>
      <c r="C2393" s="1" t="n">
        <v>45831</v>
      </c>
      <c r="D2393" t="inlineStr">
        <is>
          <t>GÄVLEBORGS LÄN</t>
        </is>
      </c>
      <c r="E2393" t="inlineStr">
        <is>
          <t>HUDIKSVALL</t>
        </is>
      </c>
      <c r="F2393" t="inlineStr">
        <is>
          <t>Holmen skog AB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28504-2025</t>
        </is>
      </c>
      <c r="B2394" s="1" t="n">
        <v>45819</v>
      </c>
      <c r="C2394" s="1" t="n">
        <v>45831</v>
      </c>
      <c r="D2394" t="inlineStr">
        <is>
          <t>GÄVLEBORGS LÄN</t>
        </is>
      </c>
      <c r="E2394" t="inlineStr">
        <is>
          <t>HUDIKSVALL</t>
        </is>
      </c>
      <c r="F2394" t="inlineStr">
        <is>
          <t>Holmen skog AB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28549-2025</t>
        </is>
      </c>
      <c r="B2395" s="1" t="n">
        <v>45819</v>
      </c>
      <c r="C2395" s="1" t="n">
        <v>45831</v>
      </c>
      <c r="D2395" t="inlineStr">
        <is>
          <t>GÄVLEBORGS LÄN</t>
        </is>
      </c>
      <c r="E2395" t="inlineStr">
        <is>
          <t>HUDIKSVALL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28457-2025</t>
        </is>
      </c>
      <c r="B2396" s="1" t="n">
        <v>45819</v>
      </c>
      <c r="C2396" s="1" t="n">
        <v>45831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28456-2025</t>
        </is>
      </c>
      <c r="B2397" s="1" t="n">
        <v>45819</v>
      </c>
      <c r="C2397" s="1" t="n">
        <v>45831</v>
      </c>
      <c r="D2397" t="inlineStr">
        <is>
          <t>GÄVLEBORGS LÄN</t>
        </is>
      </c>
      <c r="E2397" t="inlineStr">
        <is>
          <t>HUDIKSVALL</t>
        </is>
      </c>
      <c r="G2397" t="n">
        <v>2.8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28485-2025</t>
        </is>
      </c>
      <c r="B2398" s="1" t="n">
        <v>45819</v>
      </c>
      <c r="C2398" s="1" t="n">
        <v>45831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5.8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28381-2025</t>
        </is>
      </c>
      <c r="B2399" s="1" t="n">
        <v>45819</v>
      </c>
      <c r="C2399" s="1" t="n">
        <v>45831</v>
      </c>
      <c r="D2399" t="inlineStr">
        <is>
          <t>GÄVLEBORGS LÄN</t>
        </is>
      </c>
      <c r="E2399" t="inlineStr">
        <is>
          <t>HUDIKSVALL</t>
        </is>
      </c>
      <c r="F2399" t="inlineStr">
        <is>
          <t>Holmen skog AB</t>
        </is>
      </c>
      <c r="G2399" t="n">
        <v>8.699999999999999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28809-2025</t>
        </is>
      </c>
      <c r="B2400" s="1" t="n">
        <v>45820</v>
      </c>
      <c r="C2400" s="1" t="n">
        <v>45831</v>
      </c>
      <c r="D2400" t="inlineStr">
        <is>
          <t>GÄVLEBORGS LÄN</t>
        </is>
      </c>
      <c r="E2400" t="inlineStr">
        <is>
          <t>HUDIKSVALL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29334-2025</t>
        </is>
      </c>
      <c r="B2401" s="1" t="n">
        <v>45824</v>
      </c>
      <c r="C2401" s="1" t="n">
        <v>45831</v>
      </c>
      <c r="D2401" t="inlineStr">
        <is>
          <t>GÄVLEBORGS LÄN</t>
        </is>
      </c>
      <c r="E2401" t="inlineStr">
        <is>
          <t>HUDIKSVALL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29353-2025</t>
        </is>
      </c>
      <c r="B2402" s="1" t="n">
        <v>45824</v>
      </c>
      <c r="C2402" s="1" t="n">
        <v>45831</v>
      </c>
      <c r="D2402" t="inlineStr">
        <is>
          <t>GÄVLEBORGS LÄN</t>
        </is>
      </c>
      <c r="E2402" t="inlineStr">
        <is>
          <t>HUDIKSVALL</t>
        </is>
      </c>
      <c r="F2402" t="inlineStr">
        <is>
          <t>Holmen skog AB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29227-2025</t>
        </is>
      </c>
      <c r="B2403" s="1" t="n">
        <v>45824</v>
      </c>
      <c r="C2403" s="1" t="n">
        <v>45831</v>
      </c>
      <c r="D2403" t="inlineStr">
        <is>
          <t>GÄVLEBORGS LÄN</t>
        </is>
      </c>
      <c r="E2403" t="inlineStr">
        <is>
          <t>HUDIKSVALL</t>
        </is>
      </c>
      <c r="G2403" t="n">
        <v>5.7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29338-2025</t>
        </is>
      </c>
      <c r="B2404" s="1" t="n">
        <v>45824</v>
      </c>
      <c r="C2404" s="1" t="n">
        <v>45831</v>
      </c>
      <c r="D2404" t="inlineStr">
        <is>
          <t>GÄVLEBORGS LÄN</t>
        </is>
      </c>
      <c r="E2404" t="inlineStr">
        <is>
          <t>HUDIKSVALL</t>
        </is>
      </c>
      <c r="F2404" t="inlineStr">
        <is>
          <t>Holmen skog AB</t>
        </is>
      </c>
      <c r="G2404" t="n">
        <v>5.2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29276-2025</t>
        </is>
      </c>
      <c r="B2405" s="1" t="n">
        <v>45824</v>
      </c>
      <c r="C2405" s="1" t="n">
        <v>45831</v>
      </c>
      <c r="D2405" t="inlineStr">
        <is>
          <t>GÄVLEBORGS LÄN</t>
        </is>
      </c>
      <c r="E2405" t="inlineStr">
        <is>
          <t>HUDIKSVALL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29315-2025</t>
        </is>
      </c>
      <c r="B2406" s="1" t="n">
        <v>45824</v>
      </c>
      <c r="C2406" s="1" t="n">
        <v>45831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29329-2025</t>
        </is>
      </c>
      <c r="B2407" s="1" t="n">
        <v>45824</v>
      </c>
      <c r="C2407" s="1" t="n">
        <v>45831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15.3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29253-2025</t>
        </is>
      </c>
      <c r="B2408" s="1" t="n">
        <v>45824</v>
      </c>
      <c r="C2408" s="1" t="n">
        <v>45831</v>
      </c>
      <c r="D2408" t="inlineStr">
        <is>
          <t>GÄVLEBORGS LÄN</t>
        </is>
      </c>
      <c r="E2408" t="inlineStr">
        <is>
          <t>HUDIKSVALL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29357-2025</t>
        </is>
      </c>
      <c r="B2409" s="1" t="n">
        <v>45824</v>
      </c>
      <c r="C2409" s="1" t="n">
        <v>45831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29900-2025</t>
        </is>
      </c>
      <c r="B2410" s="1" t="n">
        <v>45826</v>
      </c>
      <c r="C2410" s="1" t="n">
        <v>45831</v>
      </c>
      <c r="D2410" t="inlineStr">
        <is>
          <t>GÄVLEBORGS LÄN</t>
        </is>
      </c>
      <c r="E2410" t="inlineStr">
        <is>
          <t>HUDIKSVALL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30307-2025</t>
        </is>
      </c>
      <c r="B2411" s="1" t="n">
        <v>45827</v>
      </c>
      <c r="C2411" s="1" t="n">
        <v>45831</v>
      </c>
      <c r="D2411" t="inlineStr">
        <is>
          <t>GÄVLEBORGS LÄN</t>
        </is>
      </c>
      <c r="E2411" t="inlineStr">
        <is>
          <t>HUDIKSVALL</t>
        </is>
      </c>
      <c r="G2411" t="n">
        <v>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30309-2025</t>
        </is>
      </c>
      <c r="B2412" s="1" t="n">
        <v>45827</v>
      </c>
      <c r="C2412" s="1" t="n">
        <v>45831</v>
      </c>
      <c r="D2412" t="inlineStr">
        <is>
          <t>GÄVLEBORGS LÄN</t>
        </is>
      </c>
      <c r="E2412" t="inlineStr">
        <is>
          <t>HUDIKSVALL</t>
        </is>
      </c>
      <c r="G2412" t="n">
        <v>5.7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30234-2025</t>
        </is>
      </c>
      <c r="B2413" s="1" t="n">
        <v>45827</v>
      </c>
      <c r="C2413" s="1" t="n">
        <v>45831</v>
      </c>
      <c r="D2413" t="inlineStr">
        <is>
          <t>GÄVLEBORGS LÄN</t>
        </is>
      </c>
      <c r="E2413" t="inlineStr">
        <is>
          <t>HUDIKSVALL</t>
        </is>
      </c>
      <c r="G2413" t="n">
        <v>8.300000000000001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30442-2025</t>
        </is>
      </c>
      <c r="B2414" s="1" t="n">
        <v>45827</v>
      </c>
      <c r="C2414" s="1" t="n">
        <v>45831</v>
      </c>
      <c r="D2414" t="inlineStr">
        <is>
          <t>GÄVLEBORGS LÄN</t>
        </is>
      </c>
      <c r="E2414" t="inlineStr">
        <is>
          <t>HUDIKSVALL</t>
        </is>
      </c>
      <c r="F2414" t="inlineStr">
        <is>
          <t>Holmen skog AB</t>
        </is>
      </c>
      <c r="G2414" t="n">
        <v>48.3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30155-2025</t>
        </is>
      </c>
      <c r="B2415" s="1" t="n">
        <v>45827</v>
      </c>
      <c r="C2415" s="1" t="n">
        <v>45831</v>
      </c>
      <c r="D2415" t="inlineStr">
        <is>
          <t>GÄVLEBORGS LÄN</t>
        </is>
      </c>
      <c r="E2415" t="inlineStr">
        <is>
          <t>HUDIKSVALL</t>
        </is>
      </c>
      <c r="F2415" t="inlineStr">
        <is>
          <t>Sveaskog</t>
        </is>
      </c>
      <c r="G2415" t="n">
        <v>11.7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30158-2025</t>
        </is>
      </c>
      <c r="B2416" s="1" t="n">
        <v>45827</v>
      </c>
      <c r="C2416" s="1" t="n">
        <v>45831</v>
      </c>
      <c r="D2416" t="inlineStr">
        <is>
          <t>GÄVLEBORGS LÄN</t>
        </is>
      </c>
      <c r="E2416" t="inlineStr">
        <is>
          <t>HUDIKSVALL</t>
        </is>
      </c>
      <c r="F2416" t="inlineStr">
        <is>
          <t>Sveaskog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30479-2025</t>
        </is>
      </c>
      <c r="B2417" s="1" t="n">
        <v>45828</v>
      </c>
      <c r="C2417" s="1" t="n">
        <v>45831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Holmen skog AB</t>
        </is>
      </c>
      <c r="G2417" t="n">
        <v>13.5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30481-2025</t>
        </is>
      </c>
      <c r="B2418" s="1" t="n">
        <v>45828</v>
      </c>
      <c r="C2418" s="1" t="n">
        <v>45831</v>
      </c>
      <c r="D2418" t="inlineStr">
        <is>
          <t>GÄVLEBORGS LÄN</t>
        </is>
      </c>
      <c r="E2418" t="inlineStr">
        <is>
          <t>HUDIKSVALL</t>
        </is>
      </c>
      <c r="F2418" t="inlineStr">
        <is>
          <t>Holmen skog AB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30480-2025</t>
        </is>
      </c>
      <c r="B2419" s="1" t="n">
        <v>45828</v>
      </c>
      <c r="C2419" s="1" t="n">
        <v>45831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>
      <c r="A2420" t="inlineStr">
        <is>
          <t>A 30482-2025</t>
        </is>
      </c>
      <c r="B2420" s="1" t="n">
        <v>45828</v>
      </c>
      <c r="C2420" s="1" t="n">
        <v>45831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2025-06-23T19:19:23Z</dcterms:created>
  <dcterms:modified xmlns:dcterms="http://purl.org/dc/terms/" xmlns:xsi="http://www.w3.org/2001/XMLSchema-instance" xsi:type="dcterms:W3CDTF">2025-06-23T19:19:25Z</dcterms:modified>
</cp:coreProperties>
</file>