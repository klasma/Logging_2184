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45749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45749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45749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45749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45749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45749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45749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11</v>
      </c>
      <c r="I8" t="n">
        <v>1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12</v>
      </c>
      <c r="R8" s="2" t="inlineStr">
        <is>
          <t>Grönfink
Hussvala
Stare
Björktrast
Grönsångare
Gulsparv
Mindre hackspett
Rödvingetrast
Spillkråka
Svartvit flugsnappare
Svart trolldruva
Gråkråka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45749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45749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45749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45749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45749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45749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45749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45749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45749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45749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45749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45749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45749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45749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45749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45749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45749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45749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45749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45749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45749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45749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45749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45749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45749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45749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45749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45749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45749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45749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45749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45749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45749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45749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45749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45749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45749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45749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45749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45749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45749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45749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45749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45749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45749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HYPERLINK("https://klasma.github.io/Logging_212184/artfynd/A 13640-2025 artfynd.xlsx", "A 13640-2025")</f>
        <v/>
      </c>
      <c r="T53">
        <f>HYPERLINK("https://klasma.github.io/Logging_212184/kartor/A 13640-2025 karta.png", "A 13640-2025")</f>
        <v/>
      </c>
      <c r="V53">
        <f>HYPERLINK("https://klasma.github.io/Logging_212184/klagomål/A 13640-2025 FSC-klagomål.docx", "A 13640-2025")</f>
        <v/>
      </c>
      <c r="W53">
        <f>HYPERLINK("https://klasma.github.io/Logging_212184/klagomålsmail/A 13640-2025 FSC-klagomål mail.docx", "A 13640-2025")</f>
        <v/>
      </c>
      <c r="X53">
        <f>HYPERLINK("https://klasma.github.io/Logging_212184/tillsyn/A 13640-2025 tillsynsbegäran.docx", "A 13640-2025")</f>
        <v/>
      </c>
      <c r="Y53">
        <f>HYPERLINK("https://klasma.github.io/Logging_212184/tillsynsmail/A 13640-2025 tillsynsbegäran mail.docx", "A 13640-2025")</f>
        <v/>
      </c>
      <c r="Z53">
        <f>HYPERLINK("https://klasma.github.io/Logging_212184/fåglar/A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45749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45749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45749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45749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45749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45749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45749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45749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45749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45749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45749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45749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45749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45749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45749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45749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45749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45749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45749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45749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45749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45749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45749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45749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45749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45749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45749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45749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45749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45749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45749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45749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45749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45749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45749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45749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45749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45749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45749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45749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45749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45749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45749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45749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45749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45749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45749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45749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45749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45749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45749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45749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45749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45749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45749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45749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45749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45749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45749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45749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45749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45749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45749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45749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45749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45749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45749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45749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45749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45749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45749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45749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45749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45749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45749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45749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45749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45749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45749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45749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45749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45749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45749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45749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45749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45749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45749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45749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45749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45749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45749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45749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45749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45749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45749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45749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45749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45749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45749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45749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45749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45749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45749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45749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45749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45749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45749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45749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45749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45749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45749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45749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45749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45749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45749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45749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45749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45749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45749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45749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45749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45749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45749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45749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45749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45749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45749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45749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45749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45749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45749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45749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45749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45749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45749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45749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45749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45749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45749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45749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45749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45749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45749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45749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45749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45749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45749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45749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45749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45749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45749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45749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45749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45749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45749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45749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45749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45749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45749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45749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45749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45749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45749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45749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45749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45749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45749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45749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45749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45749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45749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45749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45749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45749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45749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45749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45749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45749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45749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45749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45749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45749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45749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45749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45749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45749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45749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45749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45749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45749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45749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45749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45749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45749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45749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45749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45749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45749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45749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45749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45749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45749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45749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45749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45749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45749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45749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45749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45749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45749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45749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45749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45749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45749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45749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45749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45749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45749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45749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45749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45749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45749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45749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45749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45749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45749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45749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45749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45749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45749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45749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45749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45749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45749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45749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45749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45749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45749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45749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45749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45749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45749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45749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45749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45749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45749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45749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45749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45749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45749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45749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45749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45749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45749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45749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45749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45749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45749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45749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45749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45749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45749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45749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45749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45749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45749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45749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45749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45749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45749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45749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45749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45749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45749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45749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45749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45749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45749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45749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45749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45749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45749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45749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45749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45749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45749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45749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45749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45749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45749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45749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45749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45749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45749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45749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45749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45749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45749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45749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45749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45749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45749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45749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45749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45749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45749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45749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45749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45749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45749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45749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45749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45749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45749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45749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45749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45749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45749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45749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45749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45749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45749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45749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45749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45749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45749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45749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45749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45749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45749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45749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45749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45749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45749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45749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45749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45749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45749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45749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45749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45749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45749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45749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45749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45749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45749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45749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45749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45749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45749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45749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45749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45749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45749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45749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45749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45749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45749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45749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45749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45749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45749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45749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45749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45749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45749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45749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45749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45749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45749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45749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45749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45749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45749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45749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45749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45749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45749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45749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45749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45749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45749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45749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45749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45749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45749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45749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45749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45749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45749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45749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45749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45749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45749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45749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45749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45749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45749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45749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45749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45749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45749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45749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45749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45749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45749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45749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45749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45749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45749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45749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45749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45749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45749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45749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45749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45749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45749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45749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45749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45749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45749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45749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45749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45749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45749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45749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45749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45749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45749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45749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45749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45749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45749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45749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45749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45749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45749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45749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45749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45749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45749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45749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45749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45749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45749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45749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45749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45749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45749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45749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45749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45749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45749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45749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45749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45749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45749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45749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45749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45749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45749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45749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45749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45749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45749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45749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45749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45749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45749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45749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45749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45749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45749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45749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45749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45749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45749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45749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45749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45749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45749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45749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45749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45749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45749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45749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45749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45749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45749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45749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45749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45749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45749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45749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45749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45749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45749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45749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45749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45749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45749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45749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45749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45749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45749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45749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45749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45749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45749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45749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45749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45749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45749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45749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45749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45749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45749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45749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45749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45749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45749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45749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45749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45749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45749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45749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45749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45749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45749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45749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45749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45749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45749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45749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45749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45749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45749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45749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45749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45749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45749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45749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45749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45749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45749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45749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45749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45749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45749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45749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45749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45749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45749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45749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45749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45749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45749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45749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45749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45749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45749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45749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45749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45749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45749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45749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45749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45749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45749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45749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45749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45749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45749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45749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45749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45749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45749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45749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45749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45749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45749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45749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45749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45749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45749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45749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45749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45749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45749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45749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45749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45749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45749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45749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45749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45749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45749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45749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45749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45749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45749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45749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45749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45749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45749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45749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45749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45749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45749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45749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45749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45749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45749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45749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45749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45749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45749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45749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45749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45749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45749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45749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45749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45749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45749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45749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45749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45749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45749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45749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45749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45749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45749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45749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45749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45749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45749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45749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45749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45749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45749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45749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45749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45749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45749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45749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45749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45749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45749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45749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45749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45749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45749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45749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45749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45749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45749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45749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45749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45749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45749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45749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45749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45749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45749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45749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45749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45749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45749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45749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45749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45749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45749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45749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45749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45749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45749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45749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45749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45749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45749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45749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45749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45749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45749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45749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45749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45749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45749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45749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45749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45749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45749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45749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45749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45749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45749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45749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45749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45749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45749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45749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45749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45749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45749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45749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45749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45749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45749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45749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45749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45749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45749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45749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45749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45749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45749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45749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45749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45749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45749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45749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45749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45749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45749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45749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45749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45749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45749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45749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45749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45749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45749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45749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45749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45749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45749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45749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45749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45749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45749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45749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45749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45749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45749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45749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45749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45749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45749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45749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45749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45749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45749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45749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45749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45749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45749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45749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45749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45749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45749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45749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45749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45749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45749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45749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45749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45749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45749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45749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45749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45749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45749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45749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45749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45749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45749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45749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45749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45749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45749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45749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45749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45749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45749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45749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45749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45749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45749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45749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45749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45749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45749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45749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45749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45749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45749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45749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45749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45749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45749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45749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45749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45749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45749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45749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45749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45749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45749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45749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45749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45749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45749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45749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45749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45749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45749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45749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45749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45749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45749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45749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45749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45749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45749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45749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45749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45749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45749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45749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45749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45749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45749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45749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45749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45749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45749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45749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45749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45749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45749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45749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45749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45749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45749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45749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45749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45749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45749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45749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45749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45749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45749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45749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45749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45749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45749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45749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45749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45749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45749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45749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45749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45749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45749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45749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45749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45749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45749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45749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45749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45749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45749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45749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45749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45749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45749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45749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45749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45749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45749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45749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45749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45749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45749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45749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45749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45749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45749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45749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45749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45749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45749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45749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45749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45749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45749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45749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45749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45749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45749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45749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45749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45749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45749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45749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45749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45749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45749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45749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45749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45749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45749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45749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45749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45749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45749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45749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45749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45749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45749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45749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45749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45749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45749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45749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45749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45749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45749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45749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45749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45749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45749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45749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45749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45749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45749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45749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45749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45749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45749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45749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45749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45749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45749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45749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45749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45749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45749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45749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45749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45749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45749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45749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45749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45749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45749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45749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45749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45749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45749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45749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45749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45749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45749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45749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45749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45749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45749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45749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45749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45749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45749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45749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45749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45749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45749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45749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45749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45749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45749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45749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45749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45749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45749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45749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45749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45749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45749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45749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45749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45749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45749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45749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45749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45749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45749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45749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45749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45749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45749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45749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45749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45749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45749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45749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45749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45749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45749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45749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45749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45749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45749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45749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45749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45749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45749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45749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45749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45749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45749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45749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45749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45749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45749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45749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45749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45749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45749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45749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45749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45749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45749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45749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45749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45749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45749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45749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45749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45749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45749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45749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45749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45749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45749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45749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45749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45749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45749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45749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45749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45749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45749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45749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45749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45749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45749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45749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45749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45749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45749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45749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45749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45749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45749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45749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45749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45749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45749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45749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45749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45749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45749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45749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45749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45749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45749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45749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45749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45749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45749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45749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45749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45749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45749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45749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45749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45749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45749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45749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45749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45749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45749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45749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45749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45749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45749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45749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45749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45749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45749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45749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45749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45749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45749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45749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45749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45749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45749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45749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45749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45749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45749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45749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45749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45749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45749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45749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45749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45749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45749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45749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45749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45749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45749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45749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45749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45749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45749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45749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45749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45749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45749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45749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45749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45749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45749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45749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45749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45749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45749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45749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45749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45749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45749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45749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45749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45749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45749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45749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45749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45749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45749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45749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45749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45749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45749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45749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45749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45749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45749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45749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45749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45749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45749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45749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45749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45749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45749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45749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45749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45749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45749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45749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45749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45749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45749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45749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45749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45749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45749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45749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45749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45749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45749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45749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45749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45749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45749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45749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45749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45749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45749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45749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45749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45749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45749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45749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45749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45749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45749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45749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45749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45749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45749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45749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45749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45749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45749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45749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45749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45749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45749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45749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45749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45749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45749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45749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45749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45749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45749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45749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45749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45749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45749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45749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45749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45749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45749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45749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45749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45749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45749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45749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45749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45749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45749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45749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45749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45749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45749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45749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45749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45749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45749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45749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45749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45749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45749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45749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45749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45749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45749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45749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45749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45749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45749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45749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45749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45749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45749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45749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45749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45749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45749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45749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45749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45749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45749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45749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45749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45749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45749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45749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45749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45749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45749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45749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45749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45749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45749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45749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45749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45749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45749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45749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45749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45749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45749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45749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45749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45749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45749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45749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45749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45749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45749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45749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45749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45749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45749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45749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45749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45749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45749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45749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45749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45749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45749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45749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45749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45749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45749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45749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45749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45749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45749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45749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45749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45749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45749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45749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45749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45749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45749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45749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45749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45749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45749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45749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45749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45749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45749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45749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45749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45749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45749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45749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45749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45749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45749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45749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45749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45749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45749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45749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45749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45749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45749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45749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45749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45749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45749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45749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45749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45749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45749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45749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45749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45749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45749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45749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45749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45749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45749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45749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45749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45749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45749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45749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45749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45749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45749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45749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45749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45749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45749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45749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45749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45749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45749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45749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45749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45749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45749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45749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45749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45749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45749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45749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45749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45749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45749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45749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45749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45749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45749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45749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45749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45749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45749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45749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45749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45749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45749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45749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45749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45749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45749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45749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45749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45749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45749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45749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45749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45749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45749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45749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45749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45749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45749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45749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45749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45749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45749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45749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45749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45749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45749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45749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45749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45749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45749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45749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45749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45749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45749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45749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45749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45749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45749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45749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45749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45749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45749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45749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45749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45749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45749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45749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45749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45749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45749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45749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45749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45749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45749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45749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45749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45749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45749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45749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45749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45749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45749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45749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45749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45749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45749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45749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45749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45749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45749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45749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45749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45749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45749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45749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45749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45749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45749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45749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45749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45749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45749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45749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45749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45749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45749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45749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45749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45749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45749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45749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45749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45749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45749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45749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45749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45749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45749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45749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45749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45749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45749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45749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45749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45749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45749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45749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45749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45749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45749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45749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45749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45749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45749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45749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45749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45749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45749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45749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45749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45749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45749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45749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45749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45749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45749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45749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45749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45749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45749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45749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45749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45749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45749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45749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45749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45749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45749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45749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45749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45749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45749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45749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45749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45749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45749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45749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45749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45749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45749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45749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45749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45749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45749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45749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45749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45749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45749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45749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45749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45749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45749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45749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45749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45749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45749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45749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45749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45749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45749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45749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45749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45749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45749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45749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45749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45749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45749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45749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45749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45749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45749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45749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45749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45749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45749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45749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45749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45749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45749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45749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45749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45749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45749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45749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45749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45749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45749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45749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45749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45749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45749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45749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45749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45749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45749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45749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45749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45749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45749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45749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45749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45749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45749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45749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45749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45749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45749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45749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45749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45749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45749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45749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45749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45749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45749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45749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45749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45749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45749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45749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45749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45749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45749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45749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45749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45749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45749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45749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45749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45749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45749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45749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45749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45749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45749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45749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45749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45749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45749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45749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45749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45749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45749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45749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45749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45749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45749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45749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45749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45749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45749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45749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45749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45749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45749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45749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45749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45749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45749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45749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45749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45749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45749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45749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45749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45749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45749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45749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45749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45749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45749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45749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45749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45749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45749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45749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45749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45749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45749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45749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45749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45749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45749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45749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45749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45749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45749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45749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45749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45749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45749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45749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45749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45749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45749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45749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45749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45749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45749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45749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45749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45749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45749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45749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45749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45749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45749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45749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45749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45749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45749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45749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45749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45749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45749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45749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45749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45749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45749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45749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45749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45749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45749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45749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45749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45749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45749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45749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45749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45749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45749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45749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45749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45749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45749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45749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45749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45749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45749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45749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45749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45749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45749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45749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45749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45749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45749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45749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45749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45749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45749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45749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45749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45749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45749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45749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45749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45749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45749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45749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45749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45749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45749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45749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45749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45749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45749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45749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45749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45749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45749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45749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45749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45749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45749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45749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45749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45749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45749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45749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45749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45749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45749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45749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45749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45749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45749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45749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45749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45749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45749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45749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45749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45749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45749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45749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45749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45749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45749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45749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45749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45749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45749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45749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45749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45749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45749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45749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45749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45749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45749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45749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45749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45749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45749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45749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45749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45749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45749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45749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45749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45749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45749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45749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45749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45749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45749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45749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45749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45749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45749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45749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45749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45749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45749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45749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45749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45749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45749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45749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45749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45749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45749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45749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45749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45749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45749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45749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45749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45749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45749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45749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45749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45749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45749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45749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45749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45749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45749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45749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45749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45749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45749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45749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45749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45749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45749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45749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45749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45749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45749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45749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45749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45749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45749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45749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45749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45749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45749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45749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45749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45749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45749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45749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45749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45749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45749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45749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45749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45749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45749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45749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45749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45749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45749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45749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45749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45749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45749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45749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45749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45749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45749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45749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45749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45749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45749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45749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45749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45749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45749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45749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45749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45749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45749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45749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45749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45749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45749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45749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45749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45749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45749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45749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45749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45749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45749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45749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45749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45749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45749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45749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45749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45749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45749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45749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45749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45749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45749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45749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45749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45749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45749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45749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45749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45749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45749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45749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45749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45749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45749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45749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45749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45749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45749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45749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45749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45749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45749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45749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45749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45749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45749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45749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45749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45749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45749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45749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45749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45749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45749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45749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45749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45749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45749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45749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45749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45749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45749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45749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45749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45749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45749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45749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45749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45749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45749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45749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45749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45749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45749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45749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45749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45749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45749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45749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45749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45749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45749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45749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45749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45749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45749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45749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45749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45749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45749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45749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45749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45749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45749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45749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45749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45749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45749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45749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45749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45749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45749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45749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45749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45749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45749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45749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45749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45749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45749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45749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45749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45749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45749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45749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45749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45749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45749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45749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45749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45749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45749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45749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45749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45749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45749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45749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45749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45749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45749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45749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45749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45749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45749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45749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45749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45749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45749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45749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45749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45749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45749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45749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45749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45749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45749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45749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45749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45749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45749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45749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45749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45749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45749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45749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45749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45749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45749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45749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45749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45749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45749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45749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45749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45749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45749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45749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45749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45749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45749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45749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45749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45749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45749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45749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45749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45749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45749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45749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45749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45749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45749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45749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45749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45749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45749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45749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45749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45749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45749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45749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45749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45749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45749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45749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45749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45749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45749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45749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45749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45749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45749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45749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45749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45749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45749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45749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45749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45749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45749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45749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45749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45749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45749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45749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45749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45749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45749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45749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45749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45749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45749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45749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45749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45749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45749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45749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45749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45749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45749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45749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45749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45749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45749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45749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45749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45749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45749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45749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45749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45749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45749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45749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45749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45749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45749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45749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45749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45749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10994-2025</t>
        </is>
      </c>
      <c r="B2235" s="1" t="n">
        <v>45723</v>
      </c>
      <c r="C2235" s="1" t="n">
        <v>45749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5.7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45749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45749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45749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45749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45749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45749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45749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45749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45749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45749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45749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45749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45749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45749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45749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>
      <c r="A2251" t="inlineStr">
        <is>
          <t>A 15775-2025</t>
        </is>
      </c>
      <c r="B2251" s="1" t="n">
        <v>45748</v>
      </c>
      <c r="C2251" s="1" t="n">
        <v>45749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2025-04-02T17:03:20Z</dcterms:created>
  <dcterms:modified xmlns:dcterms="http://purl.org/dc/terms/" xmlns:xsi="http://www.w3.org/2001/XMLSchema-instance" xsi:type="dcterms:W3CDTF">2025-04-02T17:03:21Z</dcterms:modified>
</cp:coreProperties>
</file>