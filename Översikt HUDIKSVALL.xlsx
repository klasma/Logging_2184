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46222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46222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46222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46222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46222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46222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46222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s="2" t="inlineStr">
        <is>
          <t>Ladusvala
Skrattmås
Kråka
Sångsvan
Trana</t>
        </is>
      </c>
      <c r="V25">
        <f>HYPERLINK("https://klasma.github.io/Logging_2184/artfynd/A 41151-2025 artfynd.xlsx", "A 41151-2025")</f>
        <v/>
      </c>
      <c r="W25">
        <f>HYPERLINK("https://klasma.github.io/Logging_2184/kartor/A 41151-2025 karta.png", "A 41151-2025")</f>
        <v/>
      </c>
      <c r="Y25">
        <f>HYPERLINK("https://klasma.github.io/Logging_2184/klagomål/A 41151-2025 FSC-klagomål.docx", "A 41151-2025")</f>
        <v/>
      </c>
      <c r="Z25">
        <f>HYPERLINK("https://klasma.github.io/Logging_2184/klagomålsmail/A 41151-2025 FSC-klagomål mail.docx", "A 41151-2025")</f>
        <v/>
      </c>
      <c r="AA25">
        <f>HYPERLINK("https://klasma.github.io/Logging_2184/tillsyn/A 41151-2025 tillsynsbegäran.docx", "A 41151-2025")</f>
        <v/>
      </c>
      <c r="AB25">
        <f>HYPERLINK("https://klasma.github.io/Logging_2184/tillsynsmail/A 41151-2025 tillsynsbegäran mail.docx", "A 41151-2025")</f>
        <v/>
      </c>
      <c r="AC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46222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s="2" t="inlineStr">
        <is>
          <t>Kattfotslav
Rosenticka
Tallticka
Ullticka
Vedticka</t>
        </is>
      </c>
      <c r="V26">
        <f>HYPERLINK("https://klasma.github.io/Logging_2184/artfynd/A 43647-2025 artfynd.xlsx", "A 43647-2025")</f>
        <v/>
      </c>
      <c r="W26">
        <f>HYPERLINK("https://klasma.github.io/Logging_2184/kartor/A 43647-2025 karta.png", "A 43647-2025")</f>
        <v/>
      </c>
      <c r="Y26">
        <f>HYPERLINK("https://klasma.github.io/Logging_2184/klagomål/A 43647-2025 FSC-klagomål.docx", "A 43647-2025")</f>
        <v/>
      </c>
      <c r="Z26">
        <f>HYPERLINK("https://klasma.github.io/Logging_2184/klagomålsmail/A 43647-2025 FSC-klagomål mail.docx", "A 43647-2025")</f>
        <v/>
      </c>
      <c r="AA26">
        <f>HYPERLINK("https://klasma.github.io/Logging_2184/tillsyn/A 43647-2025 tillsynsbegäran.docx", "A 43647-2025")</f>
        <v/>
      </c>
      <c r="AB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46222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Rynkskinn
Tallticka
Talltita
Bronshjon
Jättesvampmal</t>
        </is>
      </c>
      <c r="V27">
        <f>HYPERLINK("https://klasma.github.io/Logging_2184/artfynd/A 37207-2025 artfynd.xlsx", "A 37207-2025")</f>
        <v/>
      </c>
      <c r="W27">
        <f>HYPERLINK("https://klasma.github.io/Logging_2184/kartor/A 37207-2025 karta.png", "A 37207-2025")</f>
        <v/>
      </c>
      <c r="Y27">
        <f>HYPERLINK("https://klasma.github.io/Logging_2184/klagomål/A 37207-2025 FSC-klagomål.docx", "A 37207-2025")</f>
        <v/>
      </c>
      <c r="Z27">
        <f>HYPERLINK("https://klasma.github.io/Logging_2184/klagomålsmail/A 37207-2025 FSC-klagomål mail.docx", "A 37207-2025")</f>
        <v/>
      </c>
      <c r="AA27">
        <f>HYPERLINK("https://klasma.github.io/Logging_2184/tillsyn/A 37207-2025 tillsynsbegäran.docx", "A 37207-2025")</f>
        <v/>
      </c>
      <c r="AB27">
        <f>HYPERLINK("https://klasma.github.io/Logging_2184/tillsynsmail/A 37207-2025 tillsynsbegäran mail.docx", "A 37207-2025")</f>
        <v/>
      </c>
      <c r="AC27">
        <f>HYPERLINK("https://klasma.github.io/Logging_2184/fåglar/A 37207-2025 prioriterade fågelarter.docx", "A 37207-2025")</f>
        <v/>
      </c>
    </row>
    <row r="28" ht="15" customHeight="1">
      <c r="A28" t="inlineStr">
        <is>
          <t>A 49799-2023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45212</v>
      </c>
      <c r="E28" s="1" t="n">
        <v>46222</v>
      </c>
      <c r="F28" t="inlineStr">
        <is>
          <t>GÄVLEBORGS LÄN</t>
        </is>
      </c>
      <c r="G28" t="inlineStr">
        <is>
          <t>HUDIKSVALL</t>
        </is>
      </c>
      <c r="I28" t="n">
        <v>4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7</v>
      </c>
      <c r="U28" s="2" t="inlineStr">
        <is>
          <t>Rosenticka
Ullticka
Violettgrå tagellav
Vitgrynig nållav
Vedticka</t>
        </is>
      </c>
      <c r="V28">
        <f>HYPERLINK("https://klasma.github.io/Logging_2184/artfynd/A 49799-2023 artfynd.xlsx", "A 49799-2023")</f>
        <v/>
      </c>
      <c r="W28">
        <f>HYPERLINK("https://klasma.github.io/Logging_2184/kartor/A 49799-2023 karta.png", "A 49799-2023")</f>
        <v/>
      </c>
      <c r="Y28">
        <f>HYPERLINK("https://klasma.github.io/Logging_2184/klagomål/A 49799-2023 FSC-klagomål.docx", "A 49799-2023")</f>
        <v/>
      </c>
      <c r="Z28">
        <f>HYPERLINK("https://klasma.github.io/Logging_2184/klagomålsmail/A 49799-2023 FSC-klagomål mail.docx", "A 49799-2023")</f>
        <v/>
      </c>
      <c r="AA28">
        <f>HYPERLINK("https://klasma.github.io/Logging_2184/tillsyn/A 49799-2023 tillsynsbegäran.docx", "A 49799-2023")</f>
        <v/>
      </c>
      <c r="AB28">
        <f>HYPERLINK("https://klasma.github.io/Logging_2184/tillsynsmail/A 49799-2023 tillsynsbegäran mail.docx", "A 49799-2023")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Y29">
        <f>HYPERLINK("https://klasma.github.io/Logging_2184/klagomål/A 29582-2026 FSC-klagomål.docx", "A 29582-2026")</f>
        <v/>
      </c>
      <c r="Z29">
        <f>HYPERLINK("https://klasma.github.io/Logging_2184/klagomålsmail/A 29582-2026 FSC-klagomål mail.docx", "A 29582-2026")</f>
        <v/>
      </c>
      <c r="AA29">
        <f>HYPERLINK("https://klasma.github.io/Logging_2184/tillsyn/A 29582-2026 tillsynsbegäran.docx", "A 29582-2026")</f>
        <v/>
      </c>
      <c r="AB29">
        <f>HYPERLINK("https://klasma.github.io/Logging_2184/tillsynsmail/A 29582-2026 tillsynsbegäran mail.docx", "A 29582-2026")</f>
        <v/>
      </c>
      <c r="AC29">
        <f>HYPERLINK("https://klasma.github.io/Logging_2184/fåglar/A 29582-2026 prioriterade fågelarter.docx", "A 29582-2026")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46222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s="2" t="inlineStr">
        <is>
          <t>Garnlav
Dropptaggsvamp
Mörk kolflarnlav
Rosenticka</t>
        </is>
      </c>
      <c r="V30">
        <f>HYPERLINK("https://klasma.github.io/Logging_2184/artfynd/A 5500-2024 artfynd.xlsx", "A 5500-2024")</f>
        <v/>
      </c>
      <c r="W30">
        <f>HYPERLINK("https://klasma.github.io/Logging_2184/kartor/A 5500-2024 karta.png", "A 5500-2024")</f>
        <v/>
      </c>
      <c r="Y30">
        <f>HYPERLINK("https://klasma.github.io/Logging_2184/klagomål/A 5500-2024 FSC-klagomål.docx", "A 5500-2024")</f>
        <v/>
      </c>
      <c r="Z30">
        <f>HYPERLINK("https://klasma.github.io/Logging_2184/klagomålsmail/A 5500-2024 FSC-klagomål mail.docx", "A 5500-2024")</f>
        <v/>
      </c>
      <c r="AA30">
        <f>HYPERLINK("https://klasma.github.io/Logging_2184/tillsyn/A 5500-2024 tillsynsbegäran.docx", "A 5500-2024")</f>
        <v/>
      </c>
      <c r="AB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46222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s="2" t="inlineStr">
        <is>
          <t>Dvärgbägarlav
Motaggsvamp
Reliktbock
Spillkråka</t>
        </is>
      </c>
      <c r="V31">
        <f>HYPERLINK("https://klasma.github.io/Logging_2184/artfynd/A 4344-2026 artfynd.xlsx", "A 4344-2026")</f>
        <v/>
      </c>
      <c r="W31">
        <f>HYPERLINK("https://klasma.github.io/Logging_2184/kartor/A 4344-2026 karta.png", "A 4344-2026")</f>
        <v/>
      </c>
      <c r="Y31">
        <f>HYPERLINK("https://klasma.github.io/Logging_2184/klagomål/A 4344-2026 FSC-klagomål.docx", "A 4344-2026")</f>
        <v/>
      </c>
      <c r="Z31">
        <f>HYPERLINK("https://klasma.github.io/Logging_2184/klagomålsmail/A 4344-2026 FSC-klagomål mail.docx", "A 4344-2026")</f>
        <v/>
      </c>
      <c r="AA31">
        <f>HYPERLINK("https://klasma.github.io/Logging_2184/tillsyn/A 4344-2026 tillsynsbegäran.docx", "A 4344-2026")</f>
        <v/>
      </c>
      <c r="AB31">
        <f>HYPERLINK("https://klasma.github.io/Logging_2184/tillsynsmail/A 4344-2026 tillsynsbegäran mail.docx", "A 4344-2026")</f>
        <v/>
      </c>
      <c r="AC31">
        <f>HYPERLINK("https://klasma.github.io/Logging_2184/fåglar/A 4344-2026 prioriterade fågelarter.docx", "A 4344-2026")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46222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Strutbräken
Lundarv
Ormbär
Torta</t>
        </is>
      </c>
      <c r="V32">
        <f>HYPERLINK("https://klasma.github.io/Logging_2184/artfynd/A 42606-2025 artfynd.xlsx", "A 42606-2025")</f>
        <v/>
      </c>
      <c r="W32">
        <f>HYPERLINK("https://klasma.github.io/Logging_2184/kartor/A 42606-2025 karta.png", "A 42606-2025")</f>
        <v/>
      </c>
      <c r="Y32">
        <f>HYPERLINK("https://klasma.github.io/Logging_2184/klagomål/A 42606-2025 FSC-klagomål.docx", "A 42606-2025")</f>
        <v/>
      </c>
      <c r="Z32">
        <f>HYPERLINK("https://klasma.github.io/Logging_2184/klagomålsmail/A 42606-2025 FSC-klagomål mail.docx", "A 42606-2025")</f>
        <v/>
      </c>
      <c r="AA32">
        <f>HYPERLINK("https://klasma.github.io/Logging_2184/tillsyn/A 42606-2025 tillsynsbegäran.docx", "A 42606-2025")</f>
        <v/>
      </c>
      <c r="AB32">
        <f>HYPERLINK("https://klasma.github.io/Logging_2184/tillsynsmail/A 42606-2025 tillsynsbegäran mail.docx", "A 42606-2025")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46222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s="2" t="inlineStr">
        <is>
          <t>Knärot
Ullticka
Fläcknycklar
Nattviol</t>
        </is>
      </c>
      <c r="V33">
        <f>HYPERLINK("https://klasma.github.io/Logging_2184/artfynd/A 32157-2025 artfynd.xlsx", "A 32157-2025")</f>
        <v/>
      </c>
      <c r="W33">
        <f>HYPERLINK("https://klasma.github.io/Logging_2184/kartor/A 32157-2025 karta.png", "A 32157-2025")</f>
        <v/>
      </c>
      <c r="X33">
        <f>HYPERLINK("https://klasma.github.io/Logging_2184/knärot/A 32157-2025 karta knärot.png", "A 32157-2025")</f>
        <v/>
      </c>
      <c r="Y33">
        <f>HYPERLINK("https://klasma.github.io/Logging_2184/klagomål/A 32157-2025 FSC-klagomål.docx", "A 32157-2025")</f>
        <v/>
      </c>
      <c r="Z33">
        <f>HYPERLINK("https://klasma.github.io/Logging_2184/klagomålsmail/A 32157-2025 FSC-klagomål mail.docx", "A 32157-2025")</f>
        <v/>
      </c>
      <c r="AA33">
        <f>HYPERLINK("https://klasma.github.io/Logging_2184/tillsyn/A 32157-2025 tillsynsbegäran.docx", "A 32157-2025")</f>
        <v/>
      </c>
      <c r="AB33">
        <f>HYPERLINK("https://klasma.github.io/Logging_2184/tillsynsmail/A 32157-2025 tillsynsbegäran mail.docx", "A 32157-2025")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46222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s="2" t="inlineStr">
        <is>
          <t>Knärot
Kattfotslav
Motaggsvamp
Rynkskinn</t>
        </is>
      </c>
      <c r="V34">
        <f>HYPERLINK("https://klasma.github.io/Logging_2184/artfynd/A 40120-2025 artfynd.xlsx", "A 40120-2025")</f>
        <v/>
      </c>
      <c r="W34">
        <f>HYPERLINK("https://klasma.github.io/Logging_2184/kartor/A 40120-2025 karta.png", "A 40120-2025")</f>
        <v/>
      </c>
      <c r="X34">
        <f>HYPERLINK("https://klasma.github.io/Logging_2184/knärot/A 40120-2025 karta knärot.png", "A 40120-2025")</f>
        <v/>
      </c>
      <c r="Y34">
        <f>HYPERLINK("https://klasma.github.io/Logging_2184/klagomål/A 40120-2025 FSC-klagomål.docx", "A 40120-2025")</f>
        <v/>
      </c>
      <c r="Z34">
        <f>HYPERLINK("https://klasma.github.io/Logging_2184/klagomålsmail/A 40120-2025 FSC-klagomål mail.docx", "A 40120-2025")</f>
        <v/>
      </c>
      <c r="AA34">
        <f>HYPERLINK("https://klasma.github.io/Logging_2184/tillsyn/A 40120-2025 tillsynsbegäran.docx", "A 40120-2025")</f>
        <v/>
      </c>
      <c r="AB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46222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Garnlav
Rosenticka
Ullticka
Vedskivlav</t>
        </is>
      </c>
      <c r="V35">
        <f>HYPERLINK("https://klasma.github.io/Logging_2184/artfynd/A 7943-2026 artfynd.xlsx", "A 7943-2026")</f>
        <v/>
      </c>
      <c r="W35">
        <f>HYPERLINK("https://klasma.github.io/Logging_2184/kartor/A 7943-2026 karta.png", "A 7943-2026")</f>
        <v/>
      </c>
      <c r="Y35">
        <f>HYPERLINK("https://klasma.github.io/Logging_2184/klagomål/A 7943-2026 FSC-klagomål.docx", "A 7943-2026")</f>
        <v/>
      </c>
      <c r="Z35">
        <f>HYPERLINK("https://klasma.github.io/Logging_2184/klagomålsmail/A 7943-2026 FSC-klagomål mail.docx", "A 7943-2026")</f>
        <v/>
      </c>
      <c r="AA35">
        <f>HYPERLINK("https://klasma.github.io/Logging_2184/tillsyn/A 7943-2026 tillsynsbegäran.docx", "A 7943-2026")</f>
        <v/>
      </c>
      <c r="AB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46222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s="2" t="inlineStr">
        <is>
          <t>Ringlav
Mattlummer
Fläcknycklar
Revlummer</t>
        </is>
      </c>
      <c r="V36">
        <f>HYPERLINK("https://klasma.github.io/Logging_2184/artfynd/A 18222-2026 artfynd.xlsx", "A 18222-2026")</f>
        <v/>
      </c>
      <c r="W36">
        <f>HYPERLINK("https://klasma.github.io/Logging_2184/kartor/A 18222-2026 karta.png", "A 18222-2026")</f>
        <v/>
      </c>
      <c r="Y36">
        <f>HYPERLINK("https://klasma.github.io/Logging_2184/klagomål/A 18222-2026 FSC-klagomål.docx", "A 18222-2026")</f>
        <v/>
      </c>
      <c r="Z36">
        <f>HYPERLINK("https://klasma.github.io/Logging_2184/klagomålsmail/A 18222-2026 FSC-klagomål mail.docx", "A 18222-2026")</f>
        <v/>
      </c>
      <c r="AA36">
        <f>HYPERLINK("https://klasma.github.io/Logging_2184/tillsyn/A 18222-2026 tillsynsbegäran.docx", "A 18222-2026")</f>
        <v/>
      </c>
      <c r="AB36">
        <f>HYPERLINK("https://klasma.github.io/Logging_2184/tillsynsmail/A 18222-2026 tillsynsbegäran mail.docx", "A 18222-2026")</f>
        <v/>
      </c>
    </row>
    <row r="37" ht="15" customHeight="1">
      <c r="A37" t="inlineStr">
        <is>
          <t>A 36196-2023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46222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11.8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19</v>
      </c>
      <c r="U37" s="2" t="inlineStr">
        <is>
          <t>Knärot
Rosenticka
Ullticka
Stor aspticka</t>
        </is>
      </c>
      <c r="V37">
        <f>HYPERLINK("https://klasma.github.io/Logging_2184/artfynd/A 36196-2023 artfynd.xlsx", "A 36196-2023")</f>
        <v/>
      </c>
      <c r="W37">
        <f>HYPERLINK("https://klasma.github.io/Logging_2184/kartor/A 36196-2023 karta.png", "A 36196-2023")</f>
        <v/>
      </c>
      <c r="X37">
        <f>HYPERLINK("https://klasma.github.io/Logging_2184/knärot/A 36196-2023 karta knärot.png", "A 36196-2023")</f>
        <v/>
      </c>
      <c r="Y37">
        <f>HYPERLINK("https://klasma.github.io/Logging_2184/klagomål/A 36196-2023 FSC-klagomål.docx", "A 36196-2023")</f>
        <v/>
      </c>
      <c r="Z37">
        <f>HYPERLINK("https://klasma.github.io/Logging_2184/klagomålsmail/A 36196-2023 FSC-klagomål mail.docx", "A 36196-2023")</f>
        <v/>
      </c>
      <c r="AA37">
        <f>HYPERLINK("https://klasma.github.io/Logging_2184/tillsyn/A 36196-2023 tillsynsbegäran.docx", "A 36196-2023")</f>
        <v/>
      </c>
      <c r="AB37">
        <f>HYPERLINK("https://klasma.github.io/Logging_2184/tillsynsmail/A 36196-2023 tillsynsbegäran mail.docx", "A 36196-2023")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46222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s="2" t="inlineStr">
        <is>
          <t>Lunglav
Ullticka
Korallblylav
Vedticka</t>
        </is>
      </c>
      <c r="V38">
        <f>HYPERLINK("https://klasma.github.io/Logging_2184/artfynd/A 12920-2026 artfynd.xlsx", "A 12920-2026")</f>
        <v/>
      </c>
      <c r="W38">
        <f>HYPERLINK("https://klasma.github.io/Logging_2184/kartor/A 12920-2026 karta.png", "A 12920-2026")</f>
        <v/>
      </c>
      <c r="Y38">
        <f>HYPERLINK("https://klasma.github.io/Logging_2184/klagomål/A 12920-2026 FSC-klagomål.docx", "A 12920-2026")</f>
        <v/>
      </c>
      <c r="Z38">
        <f>HYPERLINK("https://klasma.github.io/Logging_2184/klagomålsmail/A 12920-2026 FSC-klagomål mail.docx", "A 12920-2026")</f>
        <v/>
      </c>
      <c r="AA38">
        <f>HYPERLINK("https://klasma.github.io/Logging_2184/tillsyn/A 12920-2026 tillsynsbegäran.docx", "A 12920-2026")</f>
        <v/>
      </c>
      <c r="AB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46222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Ullticka
Skogsknipprot
Stor aspticka
Fläcknycklar</t>
        </is>
      </c>
      <c r="V39">
        <f>HYPERLINK("https://klasma.github.io/Logging_2184/artfynd/A 8376-2026 artfynd.xlsx", "A 8376-2026")</f>
        <v/>
      </c>
      <c r="W39">
        <f>HYPERLINK("https://klasma.github.io/Logging_2184/kartor/A 8376-2026 karta.png", "A 8376-2026")</f>
        <v/>
      </c>
      <c r="Y39">
        <f>HYPERLINK("https://klasma.github.io/Logging_2184/klagomål/A 8376-2026 FSC-klagomål.docx", "A 8376-2026")</f>
        <v/>
      </c>
      <c r="Z39">
        <f>HYPERLINK("https://klasma.github.io/Logging_2184/klagomålsmail/A 8376-2026 FSC-klagomål mail.docx", "A 8376-2026")</f>
        <v/>
      </c>
      <c r="AA39">
        <f>HYPERLINK("https://klasma.github.io/Logging_2184/tillsyn/A 8376-2026 tillsynsbegäran.docx", "A 8376-2026")</f>
        <v/>
      </c>
      <c r="AB39">
        <f>HYPERLINK("https://klasma.github.io/Logging_2184/tillsynsmail/A 8376-2026 tillsynsbegäran mail.docx", "A 8376-2026")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46222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s="2" t="inlineStr">
        <is>
          <t>Ullticka
Veckticka
Vedtrappmossa
Korallblylav</t>
        </is>
      </c>
      <c r="V40">
        <f>HYPERLINK("https://klasma.github.io/Logging_2184/artfynd/A 55280-2022 artfynd.xlsx", "A 55280-2022")</f>
        <v/>
      </c>
      <c r="W40">
        <f>HYPERLINK("https://klasma.github.io/Logging_2184/kartor/A 55280-2022 karta.png", "A 55280-2022")</f>
        <v/>
      </c>
      <c r="Y40">
        <f>HYPERLINK("https://klasma.github.io/Logging_2184/klagomål/A 55280-2022 FSC-klagomål.docx", "A 55280-2022")</f>
        <v/>
      </c>
      <c r="Z40">
        <f>HYPERLINK("https://klasma.github.io/Logging_2184/klagomålsmail/A 55280-2022 FSC-klagomål mail.docx", "A 55280-2022")</f>
        <v/>
      </c>
      <c r="AA40">
        <f>HYPERLINK("https://klasma.github.io/Logging_2184/tillsyn/A 55280-2022 tillsynsbegäran.docx", "A 55280-2022")</f>
        <v/>
      </c>
      <c r="AB40">
        <f>HYPERLINK("https://klasma.github.io/Logging_2184/tillsynsmail/A 55280-2022 tillsynsbegäran mail.docx", "A 55280-2022")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46222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s="2" t="inlineStr">
        <is>
          <t>Garnlav
Talltita
Tibast
Revlummer</t>
        </is>
      </c>
      <c r="V41">
        <f>HYPERLINK("https://klasma.github.io/Logging_2184/artfynd/A 6239-2026 artfynd.xlsx", "A 6239-2026")</f>
        <v/>
      </c>
      <c r="W41">
        <f>HYPERLINK("https://klasma.github.io/Logging_2184/kartor/A 6239-2026 karta.png", "A 6239-2026")</f>
        <v/>
      </c>
      <c r="Y41">
        <f>HYPERLINK("https://klasma.github.io/Logging_2184/klagomål/A 6239-2026 FSC-klagomål.docx", "A 6239-2026")</f>
        <v/>
      </c>
      <c r="Z41">
        <f>HYPERLINK("https://klasma.github.io/Logging_2184/klagomålsmail/A 6239-2026 FSC-klagomål mail.docx", "A 6239-2026")</f>
        <v/>
      </c>
      <c r="AA41">
        <f>HYPERLINK("https://klasma.github.io/Logging_2184/tillsyn/A 6239-2026 tillsynsbegäran.docx", "A 6239-2026")</f>
        <v/>
      </c>
      <c r="AB41">
        <f>HYPERLINK("https://klasma.github.io/Logging_2184/tillsynsmail/A 6239-2026 tillsynsbegäran mail.docx", "A 6239-2026")</f>
        <v/>
      </c>
      <c r="AC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46222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46222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46222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s="2" t="inlineStr">
        <is>
          <t>Garnlav
Knärot
Ullticka</t>
        </is>
      </c>
      <c r="V45">
        <f>HYPERLINK("https://klasma.github.io/Logging_2184/artfynd/A 33608-2024 artfynd.xlsx", "A 33608-2024")</f>
        <v/>
      </c>
      <c r="W45">
        <f>HYPERLINK("https://klasma.github.io/Logging_2184/kartor/A 33608-2024 karta.png", "A 33608-2024")</f>
        <v/>
      </c>
      <c r="X45">
        <f>HYPERLINK("https://klasma.github.io/Logging_2184/knärot/A 33608-2024 karta knärot.png", "A 33608-2024")</f>
        <v/>
      </c>
      <c r="Y45">
        <f>HYPERLINK("https://klasma.github.io/Logging_2184/klagomål/A 33608-2024 FSC-klagomål.docx", "A 33608-2024")</f>
        <v/>
      </c>
      <c r="Z45">
        <f>HYPERLINK("https://klasma.github.io/Logging_2184/klagomålsmail/A 33608-2024 FSC-klagomål mail.docx", "A 33608-2024")</f>
        <v/>
      </c>
      <c r="AA45">
        <f>HYPERLINK("https://klasma.github.io/Logging_2184/tillsyn/A 33608-2024 tillsynsbegäran.docx", "A 33608-2024")</f>
        <v/>
      </c>
      <c r="AB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46222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Knärot
Blå taggsvamp
Kamjordstjärna</t>
        </is>
      </c>
      <c r="V46">
        <f>HYPERLINK("https://klasma.github.io/Logging_2184/artfynd/A 8049-2026 artfynd.xlsx", "A 8049-2026")</f>
        <v/>
      </c>
      <c r="W46">
        <f>HYPERLINK("https://klasma.github.io/Logging_2184/kartor/A 8049-2026 karta.png", "A 8049-2026")</f>
        <v/>
      </c>
      <c r="X46">
        <f>HYPERLINK("https://klasma.github.io/Logging_2184/knärot/A 8049-2026 karta knärot.png", "A 8049-2026")</f>
        <v/>
      </c>
      <c r="Y46">
        <f>HYPERLINK("https://klasma.github.io/Logging_2184/klagomål/A 8049-2026 FSC-klagomål.docx", "A 8049-2026")</f>
        <v/>
      </c>
      <c r="Z46">
        <f>HYPERLINK("https://klasma.github.io/Logging_2184/klagomålsmail/A 8049-2026 FSC-klagomål mail.docx", "A 8049-2026")</f>
        <v/>
      </c>
      <c r="AA46">
        <f>HYPERLINK("https://klasma.github.io/Logging_2184/tillsyn/A 8049-2026 tillsynsbegäran.docx", "A 8049-2026")</f>
        <v/>
      </c>
      <c r="AB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46222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Y47">
        <f>HYPERLINK("https://klasma.github.io/Logging_2184/klagomål/A 33783-2023 FSC-klagomål.docx", "A 33783-2023")</f>
        <v/>
      </c>
      <c r="Z47">
        <f>HYPERLINK("https://klasma.github.io/Logging_2184/klagomålsmail/A 33783-2023 FSC-klagomål mail.docx", "A 33783-2023")</f>
        <v/>
      </c>
      <c r="AA47">
        <f>HYPERLINK("https://klasma.github.io/Logging_2184/tillsyn/A 33783-2023 tillsynsbegäran.docx", "A 33783-2023")</f>
        <v/>
      </c>
      <c r="AB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46222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Mattlummer
Brudsporre
Fläcknycklar</t>
        </is>
      </c>
      <c r="V48">
        <f>HYPERLINK("https://klasma.github.io/Logging_2184/artfynd/A 12028-2026 artfynd.xlsx", "A 12028-2026")</f>
        <v/>
      </c>
      <c r="W48">
        <f>HYPERLINK("https://klasma.github.io/Logging_2184/kartor/A 12028-2026 karta.png", "A 12028-2026")</f>
        <v/>
      </c>
      <c r="Y48">
        <f>HYPERLINK("https://klasma.github.io/Logging_2184/klagomål/A 12028-2026 FSC-klagomål.docx", "A 12028-2026")</f>
        <v/>
      </c>
      <c r="Z48">
        <f>HYPERLINK("https://klasma.github.io/Logging_2184/klagomålsmail/A 12028-2026 FSC-klagomål mail.docx", "A 12028-2026")</f>
        <v/>
      </c>
      <c r="AA48">
        <f>HYPERLINK("https://klasma.github.io/Logging_2184/tillsyn/A 12028-2026 tillsynsbegäran.docx", "A 12028-2026")</f>
        <v/>
      </c>
      <c r="AB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46222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s="2" t="inlineStr">
        <is>
          <t>Spindelblomster
Fläcknycklar
Revlummer</t>
        </is>
      </c>
      <c r="V49">
        <f>HYPERLINK("https://klasma.github.io/Logging_2184/artfynd/A 12843-2024 artfynd.xlsx", "A 12843-2024")</f>
        <v/>
      </c>
      <c r="W49">
        <f>HYPERLINK("https://klasma.github.io/Logging_2184/kartor/A 12843-2024 karta.png", "A 12843-2024")</f>
        <v/>
      </c>
      <c r="Y49">
        <f>HYPERLINK("https://klasma.github.io/Logging_2184/klagomål/A 12843-2024 FSC-klagomål.docx", "A 12843-2024")</f>
        <v/>
      </c>
      <c r="Z49">
        <f>HYPERLINK("https://klasma.github.io/Logging_2184/klagomålsmail/A 12843-2024 FSC-klagomål mail.docx", "A 12843-2024")</f>
        <v/>
      </c>
      <c r="AA49">
        <f>HYPERLINK("https://klasma.github.io/Logging_2184/tillsyn/A 12843-2024 tillsynsbegäran.docx", "A 12843-2024")</f>
        <v/>
      </c>
      <c r="AB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46222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Kattfotslav
Korallblylav
Skinnlav</t>
        </is>
      </c>
      <c r="V50">
        <f>HYPERLINK("https://klasma.github.io/Logging_2184/artfynd/A 49922-2021 artfynd.xlsx", "A 49922-2021")</f>
        <v/>
      </c>
      <c r="W50">
        <f>HYPERLINK("https://klasma.github.io/Logging_2184/kartor/A 49922-2021 karta.png", "A 49922-2021")</f>
        <v/>
      </c>
      <c r="Y50">
        <f>HYPERLINK("https://klasma.github.io/Logging_2184/klagomål/A 49922-2021 FSC-klagomål.docx", "A 49922-2021")</f>
        <v/>
      </c>
      <c r="Z50">
        <f>HYPERLINK("https://klasma.github.io/Logging_2184/klagomålsmail/A 49922-2021 FSC-klagomål mail.docx", "A 49922-2021")</f>
        <v/>
      </c>
      <c r="AA50">
        <f>HYPERLINK("https://klasma.github.io/Logging_2184/tillsyn/A 49922-2021 tillsynsbegäran.docx", "A 49922-2021")</f>
        <v/>
      </c>
      <c r="AB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46222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Y51">
        <f>HYPERLINK("https://klasma.github.io/Logging_2184/klagomål/A 42624-2024 FSC-klagomål.docx", "A 42624-2024")</f>
        <v/>
      </c>
      <c r="Z51">
        <f>HYPERLINK("https://klasma.github.io/Logging_2184/klagomålsmail/A 42624-2024 FSC-klagomål mail.docx", "A 42624-2024")</f>
        <v/>
      </c>
      <c r="AA51">
        <f>HYPERLINK("https://klasma.github.io/Logging_2184/tillsyn/A 42624-2024 tillsynsbegäran.docx", "A 42624-2024")</f>
        <v/>
      </c>
      <c r="AB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46222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Skogshakmossa
Ormbär</t>
        </is>
      </c>
      <c r="V53">
        <f>HYPERLINK("https://klasma.github.io/Logging_2184/artfynd/A 43163-2025 artfynd.xlsx", "A 43163-2025")</f>
        <v/>
      </c>
      <c r="W53">
        <f>HYPERLINK("https://klasma.github.io/Logging_2184/kartor/A 43163-2025 karta.png", "A 43163-2025")</f>
        <v/>
      </c>
      <c r="Y53">
        <f>HYPERLINK("https://klasma.github.io/Logging_2184/klagomål/A 43163-2025 FSC-klagomål.docx", "A 43163-2025")</f>
        <v/>
      </c>
      <c r="Z53">
        <f>HYPERLINK("https://klasma.github.io/Logging_2184/klagomålsmail/A 43163-2025 FSC-klagomål mail.docx", "A 43163-2025")</f>
        <v/>
      </c>
      <c r="AA53">
        <f>HYPERLINK("https://klasma.github.io/Logging_2184/tillsyn/A 43163-2025 tillsynsbegäran.docx", "A 43163-2025")</f>
        <v/>
      </c>
      <c r="AB53">
        <f>HYPERLINK("https://klasma.github.io/Logging_2184/tillsynsmail/A 43163-2025 tillsynsbegäran mail.docx", "A 43163-2025")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46222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Knärot
Platt spretmossa</t>
        </is>
      </c>
      <c r="V54">
        <f>HYPERLINK("https://klasma.github.io/Logging_2184/artfynd/A 6241-2026 artfynd.xlsx", "A 6241-2026")</f>
        <v/>
      </c>
      <c r="W54">
        <f>HYPERLINK("https://klasma.github.io/Logging_2184/kartor/A 6241-2026 karta.png", "A 6241-2026")</f>
        <v/>
      </c>
      <c r="X54">
        <f>HYPERLINK("https://klasma.github.io/Logging_2184/knärot/A 6241-2026 karta knärot.png", "A 6241-2026")</f>
        <v/>
      </c>
      <c r="Y54">
        <f>HYPERLINK("https://klasma.github.io/Logging_2184/klagomål/A 6241-2026 FSC-klagomål.docx", "A 6241-2026")</f>
        <v/>
      </c>
      <c r="Z54">
        <f>HYPERLINK("https://klasma.github.io/Logging_2184/klagomålsmail/A 6241-2026 FSC-klagomål mail.docx", "A 6241-2026")</f>
        <v/>
      </c>
      <c r="AA54">
        <f>HYPERLINK("https://klasma.github.io/Logging_2184/tillsyn/A 6241-2026 tillsynsbegäran.docx", "A 6241-2026")</f>
        <v/>
      </c>
      <c r="AB54">
        <f>HYPERLINK("https://klasma.github.io/Logging_2184/tillsynsmail/A 6241-2026 tillsynsbegäran mail.docx", "A 6241-2026")</f>
        <v/>
      </c>
    </row>
    <row r="55" ht="15" customHeight="1">
      <c r="A55" t="inlineStr">
        <is>
          <t>A 39528-2021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44415</v>
      </c>
      <c r="E55" s="1" t="n">
        <v>46222</v>
      </c>
      <c r="F55" t="inlineStr">
        <is>
          <t>GÄVLEBORGS LÄN</t>
        </is>
      </c>
      <c r="G55" t="inlineStr">
        <is>
          <t>HUDIKSVALL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Stuplav</t>
        </is>
      </c>
      <c r="V55">
        <f>HYPERLINK("https://klasma.github.io/Logging_2184/artfynd/A 39528-2021 artfynd.xlsx", "A 39528-2021")</f>
        <v/>
      </c>
      <c r="W55">
        <f>HYPERLINK("https://klasma.github.io/Logging_2184/kartor/A 39528-2021 karta.png", "A 39528-2021")</f>
        <v/>
      </c>
      <c r="X55">
        <f>HYPERLINK("https://klasma.github.io/Logging_2184/knärot/A 39528-2021 karta knärot.png", "A 39528-2021")</f>
        <v/>
      </c>
      <c r="Y55">
        <f>HYPERLINK("https://klasma.github.io/Logging_2184/klagomål/A 39528-2021 FSC-klagomål.docx", "A 39528-2021")</f>
        <v/>
      </c>
      <c r="Z55">
        <f>HYPERLINK("https://klasma.github.io/Logging_2184/klagomålsmail/A 39528-2021 FSC-klagomål mail.docx", "A 39528-2021")</f>
        <v/>
      </c>
      <c r="AA55">
        <f>HYPERLINK("https://klasma.github.io/Logging_2184/tillsyn/A 39528-2021 tillsynsbegäran.docx", "A 39528-2021")</f>
        <v/>
      </c>
      <c r="AB55">
        <f>HYPERLINK("https://klasma.github.io/Logging_2184/tillsynsmail/A 39528-2021 tillsynsbegäran mail.docx", "A 39528-2021")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46222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s="2" t="inlineStr">
        <is>
          <t>Flodpärlmussla
Vanlig padda</t>
        </is>
      </c>
      <c r="V56">
        <f>HYPERLINK("https://klasma.github.io/Logging_2184/artfynd/A 60594-2024 artfynd.xlsx", "A 60594-2024")</f>
        <v/>
      </c>
      <c r="W56">
        <f>HYPERLINK("https://klasma.github.io/Logging_2184/kartor/A 60594-2024 karta.png", "A 60594-2024")</f>
        <v/>
      </c>
      <c r="Y56">
        <f>HYPERLINK("https://klasma.github.io/Logging_2184/klagomål/A 60594-2024 FSC-klagomål.docx", "A 60594-2024")</f>
        <v/>
      </c>
      <c r="Z56">
        <f>HYPERLINK("https://klasma.github.io/Logging_2184/klagomålsmail/A 60594-2024 FSC-klagomål mail.docx", "A 60594-2024")</f>
        <v/>
      </c>
      <c r="AA56">
        <f>HYPERLINK("https://klasma.github.io/Logging_2184/tillsyn/A 60594-2024 tillsynsbegäran.docx", "A 60594-2024")</f>
        <v/>
      </c>
      <c r="AB56">
        <f>HYPERLINK("https://klasma.github.io/Logging_2184/tillsynsmail/A 60594-2024 tillsynsbegäran mail.docx", "A 60594-2024")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46222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Rosenticka
Vedticka</t>
        </is>
      </c>
      <c r="V57">
        <f>HYPERLINK("https://klasma.github.io/Logging_2184/artfynd/A 52568-2025 artfynd.xlsx", "A 52568-2025")</f>
        <v/>
      </c>
      <c r="W57">
        <f>HYPERLINK("https://klasma.github.io/Logging_2184/kartor/A 52568-2025 karta.png", "A 52568-2025")</f>
        <v/>
      </c>
      <c r="Y57">
        <f>HYPERLINK("https://klasma.github.io/Logging_2184/klagomål/A 52568-2025 FSC-klagomål.docx", "A 52568-2025")</f>
        <v/>
      </c>
      <c r="Z57">
        <f>HYPERLINK("https://klasma.github.io/Logging_2184/klagomålsmail/A 52568-2025 FSC-klagomål mail.docx", "A 52568-2025")</f>
        <v/>
      </c>
      <c r="AA57">
        <f>HYPERLINK("https://klasma.github.io/Logging_2184/tillsyn/A 52568-2025 tillsynsbegäran.docx", "A 52568-2025")</f>
        <v/>
      </c>
      <c r="AB57">
        <f>HYPERLINK("https://klasma.github.io/Logging_2184/tillsynsmail/A 52568-2025 tillsynsbegäran mail.docx", "A 52568-2025")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46222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Strutbräken
Tibast</t>
        </is>
      </c>
      <c r="V58">
        <f>HYPERLINK("https://klasma.github.io/Logging_2184/artfynd/A 9598-2026 artfynd.xlsx", "A 9598-2026")</f>
        <v/>
      </c>
      <c r="W58">
        <f>HYPERLINK("https://klasma.github.io/Logging_2184/kartor/A 9598-2026 karta.png", "A 9598-2026")</f>
        <v/>
      </c>
      <c r="Y58">
        <f>HYPERLINK("https://klasma.github.io/Logging_2184/klagomål/A 9598-2026 FSC-klagomål.docx", "A 9598-2026")</f>
        <v/>
      </c>
      <c r="Z58">
        <f>HYPERLINK("https://klasma.github.io/Logging_2184/klagomålsmail/A 9598-2026 FSC-klagomål mail.docx", "A 9598-2026")</f>
        <v/>
      </c>
      <c r="AA58">
        <f>HYPERLINK("https://klasma.github.io/Logging_2184/tillsyn/A 9598-2026 tillsynsbegäran.docx", "A 9598-2026")</f>
        <v/>
      </c>
      <c r="AB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46222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Spillkråka
Revlummer</t>
        </is>
      </c>
      <c r="V59">
        <f>HYPERLINK("https://klasma.github.io/Logging_2184/artfynd/A 10368-2026 artfynd.xlsx", "A 10368-2026")</f>
        <v/>
      </c>
      <c r="W59">
        <f>HYPERLINK("https://klasma.github.io/Logging_2184/kartor/A 10368-2026 karta.png", "A 10368-2026")</f>
        <v/>
      </c>
      <c r="Y59">
        <f>HYPERLINK("https://klasma.github.io/Logging_2184/klagomål/A 10368-2026 FSC-klagomål.docx", "A 10368-2026")</f>
        <v/>
      </c>
      <c r="Z59">
        <f>HYPERLINK("https://klasma.github.io/Logging_2184/klagomålsmail/A 10368-2026 FSC-klagomål mail.docx", "A 10368-2026")</f>
        <v/>
      </c>
      <c r="AA59">
        <f>HYPERLINK("https://klasma.github.io/Logging_2184/tillsyn/A 10368-2026 tillsynsbegäran.docx", "A 10368-2026")</f>
        <v/>
      </c>
      <c r="AB59">
        <f>HYPERLINK("https://klasma.github.io/Logging_2184/tillsynsmail/A 10368-2026 tillsynsbegäran mail.docx", "A 10368-2026")</f>
        <v/>
      </c>
      <c r="AC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46222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Blanksvart spiklav
Vedticka</t>
        </is>
      </c>
      <c r="V60">
        <f>HYPERLINK("https://klasma.github.io/Logging_2184/artfynd/A 14353-2026 artfynd.xlsx", "A 14353-2026")</f>
        <v/>
      </c>
      <c r="W60">
        <f>HYPERLINK("https://klasma.github.io/Logging_2184/kartor/A 14353-2026 karta.png", "A 14353-2026")</f>
        <v/>
      </c>
      <c r="Y60">
        <f>HYPERLINK("https://klasma.github.io/Logging_2184/klagomål/A 14353-2026 FSC-klagomål.docx", "A 14353-2026")</f>
        <v/>
      </c>
      <c r="Z60">
        <f>HYPERLINK("https://klasma.github.io/Logging_2184/klagomålsmail/A 14353-2026 FSC-klagomål mail.docx", "A 14353-2026")</f>
        <v/>
      </c>
      <c r="AA60">
        <f>HYPERLINK("https://klasma.github.io/Logging_2184/tillsyn/A 14353-2026 tillsynsbegäran.docx", "A 14353-2026")</f>
        <v/>
      </c>
      <c r="AB60">
        <f>HYPERLINK("https://klasma.github.io/Logging_2184/tillsynsmail/A 14353-2026 tillsynsbegäran mail.docx", "A 14353-2026")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46222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Plattlummer
Mattlummer</t>
        </is>
      </c>
      <c r="V61">
        <f>HYPERLINK("https://klasma.github.io/Logging_2184/artfynd/A 45380-2024 artfynd.xlsx", "A 45380-2024")</f>
        <v/>
      </c>
      <c r="W61">
        <f>HYPERLINK("https://klasma.github.io/Logging_2184/kartor/A 45380-2024 karta.png", "A 45380-2024")</f>
        <v/>
      </c>
      <c r="Y61">
        <f>HYPERLINK("https://klasma.github.io/Logging_2184/klagomål/A 45380-2024 FSC-klagomål.docx", "A 45380-2024")</f>
        <v/>
      </c>
      <c r="Z61">
        <f>HYPERLINK("https://klasma.github.io/Logging_2184/klagomålsmail/A 45380-2024 FSC-klagomål mail.docx", "A 45380-2024")</f>
        <v/>
      </c>
      <c r="AA61">
        <f>HYPERLINK("https://klasma.github.io/Logging_2184/tillsyn/A 45380-2024 tillsynsbegäran.docx", "A 45380-2024")</f>
        <v/>
      </c>
      <c r="AB61">
        <f>HYPERLINK("https://klasma.github.io/Logging_2184/tillsynsmail/A 45380-2024 tillsynsbegäran mail.docx", "A 45380-2024")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46222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Blåsippa
Revlummer</t>
        </is>
      </c>
      <c r="V62">
        <f>HYPERLINK("https://klasma.github.io/Logging_2184/artfynd/A 17222-2026 artfynd.xlsx", "A 17222-2026")</f>
        <v/>
      </c>
      <c r="W62">
        <f>HYPERLINK("https://klasma.github.io/Logging_2184/kartor/A 17222-2026 karta.png", "A 17222-2026")</f>
        <v/>
      </c>
      <c r="Y62">
        <f>HYPERLINK("https://klasma.github.io/Logging_2184/klagomål/A 17222-2026 FSC-klagomål.docx", "A 17222-2026")</f>
        <v/>
      </c>
      <c r="Z62">
        <f>HYPERLINK("https://klasma.github.io/Logging_2184/klagomålsmail/A 17222-2026 FSC-klagomål mail.docx", "A 17222-2026")</f>
        <v/>
      </c>
      <c r="AA62">
        <f>HYPERLINK("https://klasma.github.io/Logging_2184/tillsyn/A 17222-2026 tillsynsbegäran.docx", "A 17222-2026")</f>
        <v/>
      </c>
      <c r="AB62">
        <f>HYPERLINK("https://klasma.github.io/Logging_2184/tillsynsmail/A 17222-2026 tillsynsbegäran mail.docx", "A 17222-2026")</f>
        <v/>
      </c>
    </row>
    <row r="63" ht="15" customHeight="1">
      <c r="A63" t="inlineStr">
        <is>
          <t>A 24852-2024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45461</v>
      </c>
      <c r="E63" s="1" t="n">
        <v>46222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19.2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Smalskaftslav
Kattfotslav</t>
        </is>
      </c>
      <c r="V63">
        <f>HYPERLINK("https://klasma.github.io/Logging_2184/artfynd/A 24852-2024 artfynd.xlsx", "A 24852-2024")</f>
        <v/>
      </c>
      <c r="W63">
        <f>HYPERLINK("https://klasma.github.io/Logging_2184/kartor/A 24852-2024 karta.png", "A 24852-2024")</f>
        <v/>
      </c>
      <c r="Y63">
        <f>HYPERLINK("https://klasma.github.io/Logging_2184/klagomål/A 24852-2024 FSC-klagomål.docx", "A 24852-2024")</f>
        <v/>
      </c>
      <c r="Z63">
        <f>HYPERLINK("https://klasma.github.io/Logging_2184/klagomålsmail/A 24852-2024 FSC-klagomål mail.docx", "A 24852-2024")</f>
        <v/>
      </c>
      <c r="AA63">
        <f>HYPERLINK("https://klasma.github.io/Logging_2184/tillsyn/A 24852-2024 tillsynsbegäran.docx", "A 24852-2024")</f>
        <v/>
      </c>
      <c r="AB63">
        <f>HYPERLINK("https://klasma.github.io/Logging_2184/tillsynsmail/A 24852-2024 tillsynsbegäran mail.docx", "A 24852-2024")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46222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Bågpraktmossa
Vanlig rörsvepemossa</t>
        </is>
      </c>
      <c r="V64">
        <f>HYPERLINK("https://klasma.github.io/Logging_2184/artfynd/A 13332-2026 artfynd.xlsx", "A 13332-2026")</f>
        <v/>
      </c>
      <c r="W64">
        <f>HYPERLINK("https://klasma.github.io/Logging_2184/kartor/A 13332-2026 karta.png", "A 13332-2026")</f>
        <v/>
      </c>
      <c r="Y64">
        <f>HYPERLINK("https://klasma.github.io/Logging_2184/klagomål/A 13332-2026 FSC-klagomål.docx", "A 13332-2026")</f>
        <v/>
      </c>
      <c r="Z64">
        <f>HYPERLINK("https://klasma.github.io/Logging_2184/klagomålsmail/A 13332-2026 FSC-klagomål mail.docx", "A 13332-2026")</f>
        <v/>
      </c>
      <c r="AA64">
        <f>HYPERLINK("https://klasma.github.io/Logging_2184/tillsyn/A 13332-2026 tillsynsbegäran.docx", "A 13332-2026")</f>
        <v/>
      </c>
      <c r="AB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46222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s="2" t="inlineStr">
        <is>
          <t>Knärot
Ullticka</t>
        </is>
      </c>
      <c r="V65">
        <f>HYPERLINK("https://klasma.github.io/Logging_2184/artfynd/A 20884-2026 artfynd.xlsx", "A 20884-2026")</f>
        <v/>
      </c>
      <c r="W65">
        <f>HYPERLINK("https://klasma.github.io/Logging_2184/kartor/A 20884-2026 karta.png", "A 20884-2026")</f>
        <v/>
      </c>
      <c r="X65">
        <f>HYPERLINK("https://klasma.github.io/Logging_2184/knärot/A 20884-2026 karta knärot.png", "A 20884-2026")</f>
        <v/>
      </c>
      <c r="Y65">
        <f>HYPERLINK("https://klasma.github.io/Logging_2184/klagomål/A 20884-2026 FSC-klagomål.docx", "A 20884-2026")</f>
        <v/>
      </c>
      <c r="Z65">
        <f>HYPERLINK("https://klasma.github.io/Logging_2184/klagomålsmail/A 20884-2026 FSC-klagomål mail.docx", "A 20884-2026")</f>
        <v/>
      </c>
      <c r="AA65">
        <f>HYPERLINK("https://klasma.github.io/Logging_2184/tillsyn/A 20884-2026 tillsynsbegäran.docx", "A 20884-2026")</f>
        <v/>
      </c>
      <c r="AB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46222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Gulsparv
Grönsiska</t>
        </is>
      </c>
      <c r="V66">
        <f>HYPERLINK("https://klasma.github.io/Logging_2184/artfynd/A 28066-2026 artfynd.xlsx", "A 28066-2026")</f>
        <v/>
      </c>
      <c r="W66">
        <f>HYPERLINK("https://klasma.github.io/Logging_2184/kartor/A 28066-2026 karta.png", "A 28066-2026")</f>
        <v/>
      </c>
      <c r="Y66">
        <f>HYPERLINK("https://klasma.github.io/Logging_2184/klagomål/A 28066-2026 FSC-klagomål.docx", "A 28066-2026")</f>
        <v/>
      </c>
      <c r="Z66">
        <f>HYPERLINK("https://klasma.github.io/Logging_2184/klagomålsmail/A 28066-2026 FSC-klagomål mail.docx", "A 28066-2026")</f>
        <v/>
      </c>
      <c r="AA66">
        <f>HYPERLINK("https://klasma.github.io/Logging_2184/tillsyn/A 28066-2026 tillsynsbegäran.docx", "A 28066-2026")</f>
        <v/>
      </c>
      <c r="AB66">
        <f>HYPERLINK("https://klasma.github.io/Logging_2184/tillsynsmail/A 28066-2026 tillsynsbegäran mail.docx", "A 28066-2026")</f>
        <v/>
      </c>
      <c r="AC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46222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Ullticka
Vedticka</t>
        </is>
      </c>
      <c r="V67">
        <f>HYPERLINK("https://klasma.github.io/Logging_2184/artfynd/A 30484-2026 artfynd.xlsx", "A 30484-2026")</f>
        <v/>
      </c>
      <c r="W67">
        <f>HYPERLINK("https://klasma.github.io/Logging_2184/kartor/A 30484-2026 karta.png", "A 30484-2026")</f>
        <v/>
      </c>
      <c r="X67">
        <f>HYPERLINK("https://klasma.github.io/Logging_2184/knärot/A 30484-2026 karta knärot.png", "A 30484-2026")</f>
        <v/>
      </c>
      <c r="Y67">
        <f>HYPERLINK("https://klasma.github.io/Logging_2184/klagomål/A 30484-2026 FSC-klagomål.docx", "A 30484-2026")</f>
        <v/>
      </c>
      <c r="Z67">
        <f>HYPERLINK("https://klasma.github.io/Logging_2184/klagomålsmail/A 30484-2026 FSC-klagomål mail.docx", "A 30484-2026")</f>
        <v/>
      </c>
      <c r="AA67">
        <f>HYPERLINK("https://klasma.github.io/Logging_2184/tillsyn/A 30484-2026 tillsynsbegäran.docx", "A 30484-2026")</f>
        <v/>
      </c>
      <c r="AB67">
        <f>HYPERLINK("https://klasma.github.io/Logging_2184/tillsynsmail/A 30484-2026 tillsynsbegäran mail.docx", "A 30484-2026")</f>
        <v/>
      </c>
    </row>
    <row r="68" ht="15" customHeight="1">
      <c r="A68" t="inlineStr">
        <is>
          <t>A 25478-2026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46222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9.1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Kambräken
Västlig hakmossa</t>
        </is>
      </c>
      <c r="V68">
        <f>HYPERLINK("https://klasma.github.io/Logging_2184/artfynd/A 25478-2026 artfynd.xlsx", "A 25478-2026")</f>
        <v/>
      </c>
      <c r="W68">
        <f>HYPERLINK("https://klasma.github.io/Logging_2184/kartor/A 25478-2026 karta.png", "A 25478-2026")</f>
        <v/>
      </c>
      <c r="Y68">
        <f>HYPERLINK("https://klasma.github.io/Logging_2184/klagomål/A 25478-2026 FSC-klagomål.docx", "A 25478-2026")</f>
        <v/>
      </c>
      <c r="Z68">
        <f>HYPERLINK("https://klasma.github.io/Logging_2184/klagomålsmail/A 25478-2026 FSC-klagomål mail.docx", "A 25478-2026")</f>
        <v/>
      </c>
      <c r="AA68">
        <f>HYPERLINK("https://klasma.github.io/Logging_2184/tillsyn/A 25478-2026 tillsynsbegäran.docx", "A 25478-2026")</f>
        <v/>
      </c>
      <c r="AB68">
        <f>HYPERLINK("https://klasma.github.io/Logging_2184/tillsynsmail/A 25478-2026 tillsynsbegäran mail.docx", "A 25478-2026")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46222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Järpe
Grönsiska</t>
        </is>
      </c>
      <c r="V69">
        <f>HYPERLINK("https://klasma.github.io/Logging_2184/artfynd/A 50822-2023 artfynd.xlsx", "A 50822-2023")</f>
        <v/>
      </c>
      <c r="W69">
        <f>HYPERLINK("https://klasma.github.io/Logging_2184/kartor/A 50822-2023 karta.png", "A 50822-2023")</f>
        <v/>
      </c>
      <c r="Y69">
        <f>HYPERLINK("https://klasma.github.io/Logging_2184/klagomål/A 50822-2023 FSC-klagomål.docx", "A 50822-2023")</f>
        <v/>
      </c>
      <c r="Z69">
        <f>HYPERLINK("https://klasma.github.io/Logging_2184/klagomålsmail/A 50822-2023 FSC-klagomål mail.docx", "A 50822-2023")</f>
        <v/>
      </c>
      <c r="AA69">
        <f>HYPERLINK("https://klasma.github.io/Logging_2184/tillsyn/A 50822-2023 tillsynsbegäran.docx", "A 50822-2023")</f>
        <v/>
      </c>
      <c r="AB69">
        <f>HYPERLINK("https://klasma.github.io/Logging_2184/tillsynsmail/A 50822-2023 tillsynsbegäran mail.docx", "A 50822-2023")</f>
        <v/>
      </c>
      <c r="AC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46222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46222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46222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46222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46222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46222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46222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HYPERLINK("https://klasma.github.io/Logging_2184/artfynd/A 5711-2024 artfynd.xlsx", "A 5711-2024")</f>
        <v/>
      </c>
      <c r="W76">
        <f>HYPERLINK("https://klasma.github.io/Logging_2184/kartor/A 5711-2024 karta.png", "A 5711-2024")</f>
        <v/>
      </c>
      <c r="Y76">
        <f>HYPERLINK("https://klasma.github.io/Logging_2184/klagomål/A 5711-2024 FSC-klagomål.docx", "A 5711-2024")</f>
        <v/>
      </c>
      <c r="Z76">
        <f>HYPERLINK("https://klasma.github.io/Logging_2184/klagomålsmail/A 5711-2024 FSC-klagomål mail.docx", "A 5711-2024")</f>
        <v/>
      </c>
      <c r="AA76">
        <f>HYPERLINK("https://klasma.github.io/Logging_2184/tillsyn/A 5711-2024 tillsynsbegäran.docx", "A 5711-2024")</f>
        <v/>
      </c>
      <c r="AB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46222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Garnlav</t>
        </is>
      </c>
      <c r="V77">
        <f>HYPERLINK("https://klasma.github.io/Logging_2184/artfynd/A 44058-2022 artfynd.xlsx", "A 44058-2022")</f>
        <v/>
      </c>
      <c r="W77">
        <f>HYPERLINK("https://klasma.github.io/Logging_2184/kartor/A 44058-2022 karta.png", "A 44058-2022")</f>
        <v/>
      </c>
      <c r="Y77">
        <f>HYPERLINK("https://klasma.github.io/Logging_2184/klagomål/A 44058-2022 FSC-klagomål.docx", "A 44058-2022")</f>
        <v/>
      </c>
      <c r="Z77">
        <f>HYPERLINK("https://klasma.github.io/Logging_2184/klagomålsmail/A 44058-2022 FSC-klagomål mail.docx", "A 44058-2022")</f>
        <v/>
      </c>
      <c r="AA77">
        <f>HYPERLINK("https://klasma.github.io/Logging_2184/tillsyn/A 44058-2022 tillsynsbegäran.docx", "A 44058-2022")</f>
        <v/>
      </c>
      <c r="AB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46222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Kungsörn</t>
        </is>
      </c>
      <c r="V78">
        <f>HYPERLINK("https://klasma.github.io/Logging_2184/artfynd/A 58239-2024 artfynd.xlsx", "A 58239-2024")</f>
        <v/>
      </c>
      <c r="W78">
        <f>HYPERLINK("https://klasma.github.io/Logging_2184/kartor/A 58239-2024 karta.png", "A 58239-2024")</f>
        <v/>
      </c>
      <c r="Y78">
        <f>HYPERLINK("https://klasma.github.io/Logging_2184/klagomål/A 58239-2024 FSC-klagomål.docx", "A 58239-2024")</f>
        <v/>
      </c>
      <c r="Z78">
        <f>HYPERLINK("https://klasma.github.io/Logging_2184/klagomålsmail/A 58239-2024 FSC-klagomål mail.docx", "A 58239-2024")</f>
        <v/>
      </c>
      <c r="AA78">
        <f>HYPERLINK("https://klasma.github.io/Logging_2184/tillsyn/A 58239-2024 tillsynsbegäran.docx", "A 58239-2024")</f>
        <v/>
      </c>
      <c r="AB78">
        <f>HYPERLINK("https://klasma.github.io/Logging_2184/tillsynsmail/A 58239-2024 tillsynsbegäran mail.docx", "A 58239-2024")</f>
        <v/>
      </c>
      <c r="AC78">
        <f>HYPERLINK("https://klasma.github.io/Logging_2184/fåglar/A 58239-2024 prioriterade fågelarter.docx", "A 58239-2024")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HYPERLINK("https://klasma.github.io/Logging_2184/artfynd/A 25828-2025 artfynd.xlsx", "A 25828-2025")</f>
        <v/>
      </c>
      <c r="W79">
        <f>HYPERLINK("https://klasma.github.io/Logging_2184/kartor/A 25828-2025 karta.png", "A 25828-2025")</f>
        <v/>
      </c>
      <c r="Y79">
        <f>HYPERLINK("https://klasma.github.io/Logging_2184/klagomål/A 25828-2025 FSC-klagomål.docx", "A 25828-2025")</f>
        <v/>
      </c>
      <c r="Z79">
        <f>HYPERLINK("https://klasma.github.io/Logging_2184/klagomålsmail/A 25828-2025 FSC-klagomål mail.docx", "A 25828-2025")</f>
        <v/>
      </c>
      <c r="AA79">
        <f>HYPERLINK("https://klasma.github.io/Logging_2184/tillsyn/A 25828-2025 tillsynsbegäran.docx", "A 25828-2025")</f>
        <v/>
      </c>
      <c r="AB79">
        <f>HYPERLINK("https://klasma.github.io/Logging_2184/tillsynsmail/A 25828-2025 tillsynsbegäran mail.docx", "A 25828-2025")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46222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Vanlig groda</t>
        </is>
      </c>
      <c r="V80">
        <f>HYPERLINK("https://klasma.github.io/Logging_2184/artfynd/A 38496-2025 artfynd.xlsx", "A 38496-2025")</f>
        <v/>
      </c>
      <c r="W80">
        <f>HYPERLINK("https://klasma.github.io/Logging_2184/kartor/A 38496-2025 karta.png", "A 38496-2025")</f>
        <v/>
      </c>
      <c r="Y80">
        <f>HYPERLINK("https://klasma.github.io/Logging_2184/klagomål/A 38496-2025 FSC-klagomål.docx", "A 38496-2025")</f>
        <v/>
      </c>
      <c r="Z80">
        <f>HYPERLINK("https://klasma.github.io/Logging_2184/klagomålsmail/A 38496-2025 FSC-klagomål mail.docx", "A 38496-2025")</f>
        <v/>
      </c>
      <c r="AA80">
        <f>HYPERLINK("https://klasma.github.io/Logging_2184/tillsyn/A 38496-2025 tillsynsbegäran.docx", "A 38496-2025")</f>
        <v/>
      </c>
      <c r="AB80">
        <f>HYPERLINK("https://klasma.github.io/Logging_2184/tillsynsmail/A 38496-2025 tillsynsbegäran mail.docx", "A 38496-2025")</f>
        <v/>
      </c>
    </row>
    <row r="81" ht="15" customHeight="1">
      <c r="A81" t="inlineStr">
        <is>
          <t>A 22595-2025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46222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Revlummer</t>
        </is>
      </c>
      <c r="V81">
        <f>HYPERLINK("https://klasma.github.io/Logging_2184/artfynd/A 22595-2025 artfynd.xlsx", "A 22595-2025")</f>
        <v/>
      </c>
      <c r="W81">
        <f>HYPERLINK("https://klasma.github.io/Logging_2184/kartor/A 22595-2025 karta.png", "A 22595-2025")</f>
        <v/>
      </c>
      <c r="Y81">
        <f>HYPERLINK("https://klasma.github.io/Logging_2184/klagomål/A 22595-2025 FSC-klagomål.docx", "A 22595-2025")</f>
        <v/>
      </c>
      <c r="Z81">
        <f>HYPERLINK("https://klasma.github.io/Logging_2184/klagomålsmail/A 22595-2025 FSC-klagomål mail.docx", "A 22595-2025")</f>
        <v/>
      </c>
      <c r="AA81">
        <f>HYPERLINK("https://klasma.github.io/Logging_2184/tillsyn/A 22595-2025 tillsynsbegäran.docx", "A 22595-2025")</f>
        <v/>
      </c>
      <c r="AB81">
        <f>HYPERLINK("https://klasma.github.io/Logging_2184/tillsynsmail/A 22595-2025 tillsynsbegäran mail.docx", "A 22595-2025")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46222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Vedtrappmossa</t>
        </is>
      </c>
      <c r="V82">
        <f>HYPERLINK("https://klasma.github.io/Logging_2184/artfynd/A 27176-2025 artfynd.xlsx", "A 27176-2025")</f>
        <v/>
      </c>
      <c r="W82">
        <f>HYPERLINK("https://klasma.github.io/Logging_2184/kartor/A 27176-2025 karta.png", "A 27176-2025")</f>
        <v/>
      </c>
      <c r="Y82">
        <f>HYPERLINK("https://klasma.github.io/Logging_2184/klagomål/A 27176-2025 FSC-klagomål.docx", "A 27176-2025")</f>
        <v/>
      </c>
      <c r="Z82">
        <f>HYPERLINK("https://klasma.github.io/Logging_2184/klagomålsmail/A 27176-2025 FSC-klagomål mail.docx", "A 27176-2025")</f>
        <v/>
      </c>
      <c r="AA82">
        <f>HYPERLINK("https://klasma.github.io/Logging_2184/tillsyn/A 27176-2025 tillsynsbegäran.docx", "A 27176-2025")</f>
        <v/>
      </c>
      <c r="AB82">
        <f>HYPERLINK("https://klasma.github.io/Logging_2184/tillsynsmail/A 27176-2025 tillsynsbegäran mail.docx", "A 27176-2025")</f>
        <v/>
      </c>
    </row>
    <row r="83" ht="15" customHeight="1">
      <c r="A83" t="inlineStr">
        <is>
          <t>A 28381-2025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46222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Revlummer</t>
        </is>
      </c>
      <c r="V83">
        <f>HYPERLINK("https://klasma.github.io/Logging_2184/artfynd/A 28381-2025 artfynd.xlsx", "A 28381-2025")</f>
        <v/>
      </c>
      <c r="W83">
        <f>HYPERLINK("https://klasma.github.io/Logging_2184/kartor/A 28381-2025 karta.png", "A 28381-2025")</f>
        <v/>
      </c>
      <c r="Y83">
        <f>HYPERLINK("https://klasma.github.io/Logging_2184/klagomål/A 28381-2025 FSC-klagomål.docx", "A 28381-2025")</f>
        <v/>
      </c>
      <c r="Z83">
        <f>HYPERLINK("https://klasma.github.io/Logging_2184/klagomålsmail/A 28381-2025 FSC-klagomål mail.docx", "A 28381-2025")</f>
        <v/>
      </c>
      <c r="AA83">
        <f>HYPERLINK("https://klasma.github.io/Logging_2184/tillsyn/A 28381-2025 tillsynsbegäran.docx", "A 28381-2025")</f>
        <v/>
      </c>
      <c r="AB83">
        <f>HYPERLINK("https://klasma.github.io/Logging_2184/tillsynsmail/A 28381-2025 tillsynsbegäran mail.docx", "A 28381-2025")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46222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HYPERLINK("https://klasma.github.io/Logging_2184/artfynd/A 2739-2025 artfynd.xlsx", "A 2739-2025")</f>
        <v/>
      </c>
      <c r="W84">
        <f>HYPERLINK("https://klasma.github.io/Logging_2184/kartor/A 2739-2025 karta.png", "A 2739-2025")</f>
        <v/>
      </c>
      <c r="Y84">
        <f>HYPERLINK("https://klasma.github.io/Logging_2184/klagomål/A 2739-2025 FSC-klagomål.docx", "A 2739-2025")</f>
        <v/>
      </c>
      <c r="Z84">
        <f>HYPERLINK("https://klasma.github.io/Logging_2184/klagomålsmail/A 2739-2025 FSC-klagomål mail.docx", "A 2739-2025")</f>
        <v/>
      </c>
      <c r="AA84">
        <f>HYPERLINK("https://klasma.github.io/Logging_2184/tillsyn/A 2739-2025 tillsynsbegäran.docx", "A 2739-2025")</f>
        <v/>
      </c>
      <c r="AB84">
        <f>HYPERLINK("https://klasma.github.io/Logging_2184/tillsynsmail/A 2739-2025 tillsynsbegäran mail.docx", "A 2739-2025")</f>
        <v/>
      </c>
      <c r="AC84">
        <f>HYPERLINK("https://klasma.github.io/Logging_2184/fåglar/A 2739-2025 prioriterade fågelarter.docx", "A 2739-2025")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46222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Tibast</t>
        </is>
      </c>
      <c r="V85">
        <f>HYPERLINK("https://klasma.github.io/Logging_2184/artfynd/A 4473-2026 artfynd.xlsx", "A 4473-2026")</f>
        <v/>
      </c>
      <c r="W85">
        <f>HYPERLINK("https://klasma.github.io/Logging_2184/kartor/A 4473-2026 karta.png", "A 4473-2026")</f>
        <v/>
      </c>
      <c r="Y85">
        <f>HYPERLINK("https://klasma.github.io/Logging_2184/klagomål/A 4473-2026 FSC-klagomål.docx", "A 4473-2026")</f>
        <v/>
      </c>
      <c r="Z85">
        <f>HYPERLINK("https://klasma.github.io/Logging_2184/klagomålsmail/A 4473-2026 FSC-klagomål mail.docx", "A 4473-2026")</f>
        <v/>
      </c>
      <c r="AA85">
        <f>HYPERLINK("https://klasma.github.io/Logging_2184/tillsyn/A 4473-2026 tillsynsbegäran.docx", "A 4473-2026")</f>
        <v/>
      </c>
      <c r="AB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46222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Skinnlav</t>
        </is>
      </c>
      <c r="V86">
        <f>HYPERLINK("https://klasma.github.io/Logging_2184/artfynd/A 4844-2026 artfynd.xlsx", "A 4844-2026")</f>
        <v/>
      </c>
      <c r="W86">
        <f>HYPERLINK("https://klasma.github.io/Logging_2184/kartor/A 4844-2026 karta.png", "A 4844-2026")</f>
        <v/>
      </c>
      <c r="Y86">
        <f>HYPERLINK("https://klasma.github.io/Logging_2184/klagomål/A 4844-2026 FSC-klagomål.docx", "A 4844-2026")</f>
        <v/>
      </c>
      <c r="Z86">
        <f>HYPERLINK("https://klasma.github.io/Logging_2184/klagomålsmail/A 4844-2026 FSC-klagomål mail.docx", "A 4844-2026")</f>
        <v/>
      </c>
      <c r="AA86">
        <f>HYPERLINK("https://klasma.github.io/Logging_2184/tillsyn/A 4844-2026 tillsynsbegäran.docx", "A 4844-2026")</f>
        <v/>
      </c>
      <c r="AB86">
        <f>HYPERLINK("https://klasma.github.io/Logging_2184/tillsynsmail/A 4844-2026 tillsynsbegäran mail.docx", "A 4844-2026")</f>
        <v/>
      </c>
    </row>
    <row r="87" ht="15" customHeight="1">
      <c r="A87" t="inlineStr">
        <is>
          <t>A 7053-2026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46222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Stuplav</t>
        </is>
      </c>
      <c r="V87">
        <f>HYPERLINK("https://klasma.github.io/Logging_2184/artfynd/A 7053-2026 artfynd.xlsx", "A 7053-2026")</f>
        <v/>
      </c>
      <c r="W87">
        <f>HYPERLINK("https://klasma.github.io/Logging_2184/kartor/A 7053-2026 karta.png", "A 7053-2026")</f>
        <v/>
      </c>
      <c r="Y87">
        <f>HYPERLINK("https://klasma.github.io/Logging_2184/klagomål/A 7053-2026 FSC-klagomål.docx", "A 7053-2026")</f>
        <v/>
      </c>
      <c r="Z87">
        <f>HYPERLINK("https://klasma.github.io/Logging_2184/klagomålsmail/A 7053-2026 FSC-klagomål mail.docx", "A 7053-2026")</f>
        <v/>
      </c>
      <c r="AA87">
        <f>HYPERLINK("https://klasma.github.io/Logging_2184/tillsyn/A 7053-2026 tillsynsbegäran.docx", "A 7053-2026")</f>
        <v/>
      </c>
      <c r="AB87">
        <f>HYPERLINK("https://klasma.github.io/Logging_2184/tillsynsmail/A 7053-2026 tillsynsbegäran mail.docx", "A 7053-2026")</f>
        <v/>
      </c>
    </row>
    <row r="88" ht="15" customHeight="1">
      <c r="A88" t="inlineStr">
        <is>
          <t>A 46614-2024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45583</v>
      </c>
      <c r="E88" s="1" t="n">
        <v>46222</v>
      </c>
      <c r="F88" t="inlineStr">
        <is>
          <t>GÄVLEBORGS LÄN</t>
        </is>
      </c>
      <c r="G88" t="inlineStr">
        <is>
          <t>HUDIKSVALL</t>
        </is>
      </c>
      <c r="I88" t="n">
        <v>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Orange taggsvamp</t>
        </is>
      </c>
      <c r="V88">
        <f>HYPERLINK("https://klasma.github.io/Logging_2184/artfynd/A 46614-2024 artfynd.xlsx", "A 46614-2024")</f>
        <v/>
      </c>
      <c r="W88">
        <f>HYPERLINK("https://klasma.github.io/Logging_2184/kartor/A 46614-2024 karta.png", "A 46614-2024")</f>
        <v/>
      </c>
      <c r="Y88">
        <f>HYPERLINK("https://klasma.github.io/Logging_2184/klagomål/A 46614-2024 FSC-klagomål.docx", "A 46614-2024")</f>
        <v/>
      </c>
      <c r="Z88">
        <f>HYPERLINK("https://klasma.github.io/Logging_2184/klagomålsmail/A 46614-2024 FSC-klagomål mail.docx", "A 46614-2024")</f>
        <v/>
      </c>
      <c r="AA88">
        <f>HYPERLINK("https://klasma.github.io/Logging_2184/tillsyn/A 46614-2024 tillsynsbegäran.docx", "A 46614-2024")</f>
        <v/>
      </c>
      <c r="AB88">
        <f>HYPERLINK("https://klasma.github.io/Logging_2184/tillsynsmail/A 46614-2024 tillsynsbegäran mail.docx", "A 46614-2024")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46222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HYPERLINK("https://klasma.github.io/Logging_2184/artfynd/A 8157-2025 artfynd.xlsx", "A 8157-2025")</f>
        <v/>
      </c>
      <c r="W89">
        <f>HYPERLINK("https://klasma.github.io/Logging_2184/kartor/A 8157-2025 karta.png", "A 8157-2025")</f>
        <v/>
      </c>
      <c r="Y89">
        <f>HYPERLINK("https://klasma.github.io/Logging_2184/klagomål/A 8157-2025 FSC-klagomål.docx", "A 8157-2025")</f>
        <v/>
      </c>
      <c r="Z89">
        <f>HYPERLINK("https://klasma.github.io/Logging_2184/klagomålsmail/A 8157-2025 FSC-klagomål mail.docx", "A 8157-2025")</f>
        <v/>
      </c>
      <c r="AA89">
        <f>HYPERLINK("https://klasma.github.io/Logging_2184/tillsyn/A 8157-2025 tillsynsbegäran.docx", "A 8157-2025")</f>
        <v/>
      </c>
      <c r="AB89">
        <f>HYPERLINK("https://klasma.github.io/Logging_2184/tillsynsmail/A 8157-2025 tillsynsbegäran mail.docx", "A 8157-2025")</f>
        <v/>
      </c>
    </row>
    <row r="90" ht="15" customHeight="1">
      <c r="A90" t="inlineStr">
        <is>
          <t>A 29337-2024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46222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Järpe</t>
        </is>
      </c>
      <c r="V90">
        <f>HYPERLINK("https://klasma.github.io/Logging_2184/artfynd/A 29337-2024 artfynd.xlsx", "A 29337-2024")</f>
        <v/>
      </c>
      <c r="W90">
        <f>HYPERLINK("https://klasma.github.io/Logging_2184/kartor/A 29337-2024 karta.png", "A 29337-2024")</f>
        <v/>
      </c>
      <c r="Y90">
        <f>HYPERLINK("https://klasma.github.io/Logging_2184/klagomål/A 29337-2024 FSC-klagomål.docx", "A 29337-2024")</f>
        <v/>
      </c>
      <c r="Z90">
        <f>HYPERLINK("https://klasma.github.io/Logging_2184/klagomålsmail/A 29337-2024 FSC-klagomål mail.docx", "A 29337-2024")</f>
        <v/>
      </c>
      <c r="AA90">
        <f>HYPERLINK("https://klasma.github.io/Logging_2184/tillsyn/A 29337-2024 tillsynsbegäran.docx", "A 29337-2024")</f>
        <v/>
      </c>
      <c r="AB90">
        <f>HYPERLINK("https://klasma.github.io/Logging_2184/tillsynsmail/A 29337-2024 tillsynsbegäran mail.docx", "A 29337-2024")</f>
        <v/>
      </c>
      <c r="AC90">
        <f>HYPERLINK("https://klasma.github.io/Logging_2184/fåglar/A 29337-2024 prioriterade fågelarter.docx", "A 29337-2024")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46222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Motaggsvamp</t>
        </is>
      </c>
      <c r="V91">
        <f>HYPERLINK("https://klasma.github.io/Logging_2184/artfynd/A 36391-2025 artfynd.xlsx", "A 36391-2025")</f>
        <v/>
      </c>
      <c r="W91">
        <f>HYPERLINK("https://klasma.github.io/Logging_2184/kartor/A 36391-2025 karta.png", "A 36391-2025")</f>
        <v/>
      </c>
      <c r="Y91">
        <f>HYPERLINK("https://klasma.github.io/Logging_2184/klagomål/A 36391-2025 FSC-klagomål.docx", "A 36391-2025")</f>
        <v/>
      </c>
      <c r="Z91">
        <f>HYPERLINK("https://klasma.github.io/Logging_2184/klagomålsmail/A 36391-2025 FSC-klagomål mail.docx", "A 36391-2025")</f>
        <v/>
      </c>
      <c r="AA91">
        <f>HYPERLINK("https://klasma.github.io/Logging_2184/tillsyn/A 36391-2025 tillsynsbegäran.docx", "A 36391-2025")</f>
        <v/>
      </c>
      <c r="AB91">
        <f>HYPERLINK("https://klasma.github.io/Logging_2184/tillsynsmail/A 36391-2025 tillsynsbegäran mail.docx", "A 36391-2025")</f>
        <v/>
      </c>
    </row>
    <row r="92" ht="15" customHeight="1">
      <c r="A92" t="inlineStr">
        <is>
          <t>A 2482-2026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46222</v>
      </c>
      <c r="F92" t="inlineStr">
        <is>
          <t>GÄVLEBORGS LÄN</t>
        </is>
      </c>
      <c r="G92" t="inlineStr">
        <is>
          <t>HUDIKSVALL</t>
        </is>
      </c>
      <c r="I92" t="n">
        <v>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s="2" t="inlineStr">
        <is>
          <t>Violettgrå tagellav</t>
        </is>
      </c>
      <c r="V92">
        <f>HYPERLINK("https://klasma.github.io/Logging_2184/artfynd/A 2482-2026 artfynd.xlsx", "A 2482-2026")</f>
        <v/>
      </c>
      <c r="W92">
        <f>HYPERLINK("https://klasma.github.io/Logging_2184/kartor/A 2482-2026 karta.png", "A 2482-2026")</f>
        <v/>
      </c>
      <c r="Y92">
        <f>HYPERLINK("https://klasma.github.io/Logging_2184/klagomål/A 2482-2026 FSC-klagomål.docx", "A 2482-2026")</f>
        <v/>
      </c>
      <c r="Z92">
        <f>HYPERLINK("https://klasma.github.io/Logging_2184/klagomålsmail/A 2482-2026 FSC-klagomål mail.docx", "A 2482-2026")</f>
        <v/>
      </c>
      <c r="AA92">
        <f>HYPERLINK("https://klasma.github.io/Logging_2184/tillsyn/A 2482-2026 tillsynsbegäran.docx", "A 2482-2026")</f>
        <v/>
      </c>
      <c r="AB92">
        <f>HYPERLINK("https://klasma.github.io/Logging_2184/tillsynsmail/A 2482-2026 tillsynsbegäran mail.docx", "A 2482-2026")</f>
        <v/>
      </c>
    </row>
    <row r="93" ht="15" customHeight="1">
      <c r="A93" t="inlineStr">
        <is>
          <t>A 47116-2024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46222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Mörk husmossa</t>
        </is>
      </c>
      <c r="V93">
        <f>HYPERLINK("https://klasma.github.io/Logging_2184/artfynd/A 47116-2024 artfynd.xlsx", "A 47116-2024")</f>
        <v/>
      </c>
      <c r="W93">
        <f>HYPERLINK("https://klasma.github.io/Logging_2184/kartor/A 47116-2024 karta.png", "A 47116-2024")</f>
        <v/>
      </c>
      <c r="Y93">
        <f>HYPERLINK("https://klasma.github.io/Logging_2184/klagomål/A 47116-2024 FSC-klagomål.docx", "A 47116-2024")</f>
        <v/>
      </c>
      <c r="Z93">
        <f>HYPERLINK("https://klasma.github.io/Logging_2184/klagomålsmail/A 47116-2024 FSC-klagomål mail.docx", "A 47116-2024")</f>
        <v/>
      </c>
      <c r="AA93">
        <f>HYPERLINK("https://klasma.github.io/Logging_2184/tillsyn/A 47116-2024 tillsynsbegäran.docx", "A 47116-2024")</f>
        <v/>
      </c>
      <c r="AB93">
        <f>HYPERLINK("https://klasma.github.io/Logging_2184/tillsynsmail/A 47116-2024 tillsynsbegäran mail.docx", "A 47116-2024")</f>
        <v/>
      </c>
    </row>
    <row r="94" ht="15" customHeight="1">
      <c r="A94" t="inlineStr">
        <is>
          <t>A 51760-2025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46222</v>
      </c>
      <c r="F94" t="inlineStr">
        <is>
          <t>GÄVLEBORGS LÄN</t>
        </is>
      </c>
      <c r="G94" t="inlineStr">
        <is>
          <t>HUDIKSVALL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Vanlig groda</t>
        </is>
      </c>
      <c r="V94">
        <f>HYPERLINK("https://klasma.github.io/Logging_2184/artfynd/A 51760-2025 artfynd.xlsx", "A 51760-2025")</f>
        <v/>
      </c>
      <c r="W94">
        <f>HYPERLINK("https://klasma.github.io/Logging_2184/kartor/A 51760-2025 karta.png", "A 51760-2025")</f>
        <v/>
      </c>
      <c r="Y94">
        <f>HYPERLINK("https://klasma.github.io/Logging_2184/klagomål/A 51760-2025 FSC-klagomål.docx", "A 51760-2025")</f>
        <v/>
      </c>
      <c r="Z94">
        <f>HYPERLINK("https://klasma.github.io/Logging_2184/klagomålsmail/A 51760-2025 FSC-klagomål mail.docx", "A 51760-2025")</f>
        <v/>
      </c>
      <c r="AA94">
        <f>HYPERLINK("https://klasma.github.io/Logging_2184/tillsyn/A 51760-2025 tillsynsbegäran.docx", "A 51760-2025")</f>
        <v/>
      </c>
      <c r="AB94">
        <f>HYPERLINK("https://klasma.github.io/Logging_2184/tillsynsmail/A 51760-2025 tillsynsbegäran mail.docx", "A 51760-2025")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46222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Bronshjon</t>
        </is>
      </c>
      <c r="V95">
        <f>HYPERLINK("https://klasma.github.io/Logging_2184/artfynd/A 8051-2024 artfynd.xlsx", "A 8051-2024")</f>
        <v/>
      </c>
      <c r="W95">
        <f>HYPERLINK("https://klasma.github.io/Logging_2184/kartor/A 8051-2024 karta.png", "A 8051-2024")</f>
        <v/>
      </c>
      <c r="Y95">
        <f>HYPERLINK("https://klasma.github.io/Logging_2184/klagomål/A 8051-2024 FSC-klagomål.docx", "A 8051-2024")</f>
        <v/>
      </c>
      <c r="Z95">
        <f>HYPERLINK("https://klasma.github.io/Logging_2184/klagomålsmail/A 8051-2024 FSC-klagomål mail.docx", "A 8051-2024")</f>
        <v/>
      </c>
      <c r="AA95">
        <f>HYPERLINK("https://klasma.github.io/Logging_2184/tillsyn/A 8051-2024 tillsynsbegäran.docx", "A 8051-2024")</f>
        <v/>
      </c>
      <c r="AB95">
        <f>HYPERLINK("https://klasma.github.io/Logging_2184/tillsynsmail/A 8051-2024 tillsynsbegäran mail.docx", "A 8051-2024")</f>
        <v/>
      </c>
    </row>
    <row r="96" ht="15" customHeight="1">
      <c r="A96" t="inlineStr">
        <is>
          <t>A 31802-2025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46222</v>
      </c>
      <c r="F96" t="inlineStr">
        <is>
          <t>GÄVLEBORGS LÄN</t>
        </is>
      </c>
      <c r="G96" t="inlineStr">
        <is>
          <t>HUDIKSVALL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Stor aspticka</t>
        </is>
      </c>
      <c r="V96">
        <f>HYPERLINK("https://klasma.github.io/Logging_2184/artfynd/A 31802-2025 artfynd.xlsx", "A 31802-2025")</f>
        <v/>
      </c>
      <c r="W96">
        <f>HYPERLINK("https://klasma.github.io/Logging_2184/kartor/A 31802-2025 karta.png", "A 31802-2025")</f>
        <v/>
      </c>
      <c r="Y96">
        <f>HYPERLINK("https://klasma.github.io/Logging_2184/klagomål/A 31802-2025 FSC-klagomål.docx", "A 31802-2025")</f>
        <v/>
      </c>
      <c r="Z96">
        <f>HYPERLINK("https://klasma.github.io/Logging_2184/klagomålsmail/A 31802-2025 FSC-klagomål mail.docx", "A 31802-2025")</f>
        <v/>
      </c>
      <c r="AA96">
        <f>HYPERLINK("https://klasma.github.io/Logging_2184/tillsyn/A 31802-2025 tillsynsbegäran.docx", "A 31802-2025")</f>
        <v/>
      </c>
      <c r="AB96">
        <f>HYPERLINK("https://klasma.github.io/Logging_2184/tillsynsmail/A 31802-2025 tillsynsbegäran mail.docx", "A 31802-2025")</f>
        <v/>
      </c>
    </row>
    <row r="97" ht="15" customHeight="1">
      <c r="A97" t="inlineStr">
        <is>
          <t>A 5977-2025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46222</v>
      </c>
      <c r="F97" t="inlineStr">
        <is>
          <t>GÄVLEBORGS LÄN</t>
        </is>
      </c>
      <c r="G97" t="inlineStr">
        <is>
          <t>HUDIKSVALL</t>
        </is>
      </c>
      <c r="I97" t="n">
        <v>4.9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Jorduggla</t>
        </is>
      </c>
      <c r="V97">
        <f>HYPERLINK("https://klasma.github.io/Logging_2184/artfynd/A 5977-2025 artfynd.xlsx", "A 5977-2025")</f>
        <v/>
      </c>
      <c r="W97">
        <f>HYPERLINK("https://klasma.github.io/Logging_2184/kartor/A 5977-2025 karta.png", "A 5977-2025")</f>
        <v/>
      </c>
      <c r="Y97">
        <f>HYPERLINK("https://klasma.github.io/Logging_2184/klagomål/A 5977-2025 FSC-klagomål.docx", "A 5977-2025")</f>
        <v/>
      </c>
      <c r="Z97">
        <f>HYPERLINK("https://klasma.github.io/Logging_2184/klagomålsmail/A 5977-2025 FSC-klagomål mail.docx", "A 5977-2025")</f>
        <v/>
      </c>
      <c r="AA97">
        <f>HYPERLINK("https://klasma.github.io/Logging_2184/tillsyn/A 5977-2025 tillsynsbegäran.docx", "A 5977-2025")</f>
        <v/>
      </c>
      <c r="AB97">
        <f>HYPERLINK("https://klasma.github.io/Logging_2184/tillsynsmail/A 5977-2025 tillsynsbegäran mail.docx", "A 5977-2025")</f>
        <v/>
      </c>
      <c r="AC97">
        <f>HYPERLINK("https://klasma.github.io/Logging_2184/fåglar/A 5977-2025 prioriterade fågelarter.docx", "A 5977-2025")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46222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Jorduggla</t>
        </is>
      </c>
      <c r="V98">
        <f>HYPERLINK("https://klasma.github.io/Logging_2184/artfynd/A 5983-2025 artfynd.xlsx", "A 5983-2025")</f>
        <v/>
      </c>
      <c r="W98">
        <f>HYPERLINK("https://klasma.github.io/Logging_2184/kartor/A 5983-2025 karta.png", "A 5983-2025")</f>
        <v/>
      </c>
      <c r="Y98">
        <f>HYPERLINK("https://klasma.github.io/Logging_2184/klagomål/A 5983-2025 FSC-klagomål.docx", "A 5983-2025")</f>
        <v/>
      </c>
      <c r="Z98">
        <f>HYPERLINK("https://klasma.github.io/Logging_2184/klagomålsmail/A 5983-2025 FSC-klagomål mail.docx", "A 5983-2025")</f>
        <v/>
      </c>
      <c r="AA98">
        <f>HYPERLINK("https://klasma.github.io/Logging_2184/tillsyn/A 5983-2025 tillsynsbegäran.docx", "A 5983-2025")</f>
        <v/>
      </c>
      <c r="AB98">
        <f>HYPERLINK("https://klasma.github.io/Logging_2184/tillsynsmail/A 5983-2025 tillsynsbegäran mail.docx", "A 5983-2025")</f>
        <v/>
      </c>
      <c r="AC98">
        <f>HYPERLINK("https://klasma.github.io/Logging_2184/fåglar/A 5983-2025 prioriterade fågelarter.docx", "A 5983-2025")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46222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HYPERLINK("https://klasma.github.io/Logging_2184/artfynd/A 4107-2026 artfynd.xlsx", "A 4107-2026")</f>
        <v/>
      </c>
      <c r="W99">
        <f>HYPERLINK("https://klasma.github.io/Logging_2184/kartor/A 4107-2026 karta.png", "A 4107-2026")</f>
        <v/>
      </c>
      <c r="Y99">
        <f>HYPERLINK("https://klasma.github.io/Logging_2184/klagomål/A 4107-2026 FSC-klagomål.docx", "A 4107-2026")</f>
        <v/>
      </c>
      <c r="Z99">
        <f>HYPERLINK("https://klasma.github.io/Logging_2184/klagomålsmail/A 4107-2026 FSC-klagomål mail.docx", "A 4107-2026")</f>
        <v/>
      </c>
      <c r="AA99">
        <f>HYPERLINK("https://klasma.github.io/Logging_2184/tillsyn/A 4107-2026 tillsynsbegäran.docx", "A 4107-2026")</f>
        <v/>
      </c>
      <c r="AB99">
        <f>HYPERLINK("https://klasma.github.io/Logging_2184/tillsynsmail/A 4107-2026 tillsynsbegäran mail.docx", "A 4107-2026")</f>
        <v/>
      </c>
      <c r="AC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46222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HYPERLINK("https://klasma.github.io/Logging_2184/artfynd/A 20640-2026 artfynd.xlsx", "A 20640-2026")</f>
        <v/>
      </c>
      <c r="W100">
        <f>HYPERLINK("https://klasma.github.io/Logging_2184/kartor/A 20640-2026 karta.png", "A 20640-2026")</f>
        <v/>
      </c>
      <c r="X100">
        <f>HYPERLINK("https://klasma.github.io/Logging_2184/knärot/A 20640-2026 karta knärot.png", "A 20640-2026")</f>
        <v/>
      </c>
      <c r="Y100">
        <f>HYPERLINK("https://klasma.github.io/Logging_2184/klagomål/A 20640-2026 FSC-klagomål.docx", "A 20640-2026")</f>
        <v/>
      </c>
      <c r="Z100">
        <f>HYPERLINK("https://klasma.github.io/Logging_2184/klagomålsmail/A 20640-2026 FSC-klagomål mail.docx", "A 20640-2026")</f>
        <v/>
      </c>
      <c r="AA100">
        <f>HYPERLINK("https://klasma.github.io/Logging_2184/tillsyn/A 20640-2026 tillsynsbegäran.docx", "A 20640-2026")</f>
        <v/>
      </c>
      <c r="AB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46222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Knärot</t>
        </is>
      </c>
      <c r="V101">
        <f>HYPERLINK("https://klasma.github.io/Logging_2184/artfynd/A 15883-2023 artfynd.xlsx", "A 15883-2023")</f>
        <v/>
      </c>
      <c r="W101">
        <f>HYPERLINK("https://klasma.github.io/Logging_2184/kartor/A 15883-2023 karta.png", "A 15883-2023")</f>
        <v/>
      </c>
      <c r="X101">
        <f>HYPERLINK("https://klasma.github.io/Logging_2184/knärot/A 15883-2023 karta knärot.png", "A 15883-2023")</f>
        <v/>
      </c>
      <c r="Y101">
        <f>HYPERLINK("https://klasma.github.io/Logging_2184/klagomål/A 15883-2023 FSC-klagomål.docx", "A 15883-2023")</f>
        <v/>
      </c>
      <c r="Z101">
        <f>HYPERLINK("https://klasma.github.io/Logging_2184/klagomålsmail/A 15883-2023 FSC-klagomål mail.docx", "A 15883-2023")</f>
        <v/>
      </c>
      <c r="AA101">
        <f>HYPERLINK("https://klasma.github.io/Logging_2184/tillsyn/A 15883-2023 tillsynsbegäran.docx", "A 15883-2023")</f>
        <v/>
      </c>
      <c r="AB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46222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HYPERLINK("https://klasma.github.io/Logging_2184/artfynd/A 29134-2026 artfynd.xlsx", "A 29134-2026")</f>
        <v/>
      </c>
      <c r="W102">
        <f>HYPERLINK("https://klasma.github.io/Logging_2184/kartor/A 29134-2026 karta.png", "A 29134-2026")</f>
        <v/>
      </c>
      <c r="Y102">
        <f>HYPERLINK("https://klasma.github.io/Logging_2184/klagomål/A 29134-2026 FSC-klagomål.docx", "A 29134-2026")</f>
        <v/>
      </c>
      <c r="Z102">
        <f>HYPERLINK("https://klasma.github.io/Logging_2184/klagomålsmail/A 29134-2026 FSC-klagomål mail.docx", "A 29134-2026")</f>
        <v/>
      </c>
      <c r="AA102">
        <f>HYPERLINK("https://klasma.github.io/Logging_2184/tillsyn/A 29134-2026 tillsynsbegäran.docx", "A 29134-2026")</f>
        <v/>
      </c>
      <c r="AB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46222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Skogssvingel</t>
        </is>
      </c>
      <c r="V103">
        <f>HYPERLINK("https://klasma.github.io/Logging_2184/artfynd/A 25040-2026 artfynd.xlsx", "A 25040-2026")</f>
        <v/>
      </c>
      <c r="W103">
        <f>HYPERLINK("https://klasma.github.io/Logging_2184/kartor/A 25040-2026 karta.png", "A 25040-2026")</f>
        <v/>
      </c>
      <c r="Y103">
        <f>HYPERLINK("https://klasma.github.io/Logging_2184/klagomål/A 25040-2026 FSC-klagomål.docx", "A 25040-2026")</f>
        <v/>
      </c>
      <c r="Z103">
        <f>HYPERLINK("https://klasma.github.io/Logging_2184/klagomålsmail/A 25040-2026 FSC-klagomål mail.docx", "A 25040-2026")</f>
        <v/>
      </c>
      <c r="AA103">
        <f>HYPERLINK("https://klasma.github.io/Logging_2184/tillsyn/A 25040-2026 tillsynsbegäran.docx", "A 25040-2026")</f>
        <v/>
      </c>
      <c r="AB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46222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Skogsödla</t>
        </is>
      </c>
      <c r="V104">
        <f>HYPERLINK("https://klasma.github.io/Logging_2184/artfynd/A 25145-2024 artfynd.xlsx", "A 25145-2024")</f>
        <v/>
      </c>
      <c r="W104">
        <f>HYPERLINK("https://klasma.github.io/Logging_2184/kartor/A 25145-2024 karta.png", "A 25145-2024")</f>
        <v/>
      </c>
      <c r="Y104">
        <f>HYPERLINK("https://klasma.github.io/Logging_2184/klagomål/A 25145-2024 FSC-klagomål.docx", "A 25145-2024")</f>
        <v/>
      </c>
      <c r="Z104">
        <f>HYPERLINK("https://klasma.github.io/Logging_2184/klagomålsmail/A 25145-2024 FSC-klagomål mail.docx", "A 25145-2024")</f>
        <v/>
      </c>
      <c r="AA104">
        <f>HYPERLINK("https://klasma.github.io/Logging_2184/tillsyn/A 25145-2024 tillsynsbegäran.docx", "A 25145-2024")</f>
        <v/>
      </c>
      <c r="AB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46222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Lunglav</t>
        </is>
      </c>
      <c r="V105">
        <f>HYPERLINK("https://klasma.github.io/Logging_2184/artfynd/A 41494-2024 artfynd.xlsx", "A 41494-2024")</f>
        <v/>
      </c>
      <c r="W105">
        <f>HYPERLINK("https://klasma.github.io/Logging_2184/kartor/A 41494-2024 karta.png", "A 41494-2024")</f>
        <v/>
      </c>
      <c r="Y105">
        <f>HYPERLINK("https://klasma.github.io/Logging_2184/klagomål/A 41494-2024 FSC-klagomål.docx", "A 41494-2024")</f>
        <v/>
      </c>
      <c r="Z105">
        <f>HYPERLINK("https://klasma.github.io/Logging_2184/klagomålsmail/A 41494-2024 FSC-klagomål mail.docx", "A 41494-2024")</f>
        <v/>
      </c>
      <c r="AA105">
        <f>HYPERLINK("https://klasma.github.io/Logging_2184/tillsyn/A 41494-2024 tillsynsbegäran.docx", "A 41494-2024")</f>
        <v/>
      </c>
      <c r="AB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46222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Garnlav</t>
        </is>
      </c>
      <c r="V106">
        <f>HYPERLINK("https://klasma.github.io/Logging_2184/artfynd/A 19427-2025 artfynd.xlsx", "A 19427-2025")</f>
        <v/>
      </c>
      <c r="W106">
        <f>HYPERLINK("https://klasma.github.io/Logging_2184/kartor/A 19427-2025 karta.png", "A 19427-2025")</f>
        <v/>
      </c>
      <c r="Y106">
        <f>HYPERLINK("https://klasma.github.io/Logging_2184/klagomål/A 19427-2025 FSC-klagomål.docx", "A 19427-2025")</f>
        <v/>
      </c>
      <c r="Z106">
        <f>HYPERLINK("https://klasma.github.io/Logging_2184/klagomålsmail/A 19427-2025 FSC-klagomål mail.docx", "A 19427-2025")</f>
        <v/>
      </c>
      <c r="AA106">
        <f>HYPERLINK("https://klasma.github.io/Logging_2184/tillsyn/A 19427-2025 tillsynsbegäran.docx", "A 19427-2025")</f>
        <v/>
      </c>
      <c r="AB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46222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Stuplav</t>
        </is>
      </c>
      <c r="V107">
        <f>HYPERLINK("https://klasma.github.io/Logging_2184/artfynd/A 53015-2024 artfynd.xlsx", "A 53015-2024")</f>
        <v/>
      </c>
      <c r="W107">
        <f>HYPERLINK("https://klasma.github.io/Logging_2184/kartor/A 53015-2024 karta.png", "A 53015-2024")</f>
        <v/>
      </c>
      <c r="Y107">
        <f>HYPERLINK("https://klasma.github.io/Logging_2184/klagomål/A 53015-2024 FSC-klagomål.docx", "A 53015-2024")</f>
        <v/>
      </c>
      <c r="Z107">
        <f>HYPERLINK("https://klasma.github.io/Logging_2184/klagomålsmail/A 53015-2024 FSC-klagomål mail.docx", "A 53015-2024")</f>
        <v/>
      </c>
      <c r="AA107">
        <f>HYPERLINK("https://klasma.github.io/Logging_2184/tillsyn/A 53015-2024 tillsynsbegäran.docx", "A 53015-2024")</f>
        <v/>
      </c>
      <c r="AB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46222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Spädstarr</t>
        </is>
      </c>
      <c r="V108">
        <f>HYPERLINK("https://klasma.github.io/Logging_2184/artfynd/A 55445-2024 artfynd.xlsx", "A 55445-2024")</f>
        <v/>
      </c>
      <c r="W108">
        <f>HYPERLINK("https://klasma.github.io/Logging_2184/kartor/A 55445-2024 karta.png", "A 55445-2024")</f>
        <v/>
      </c>
      <c r="Y108">
        <f>HYPERLINK("https://klasma.github.io/Logging_2184/klagomål/A 55445-2024 FSC-klagomål.docx", "A 55445-2024")</f>
        <v/>
      </c>
      <c r="Z108">
        <f>HYPERLINK("https://klasma.github.io/Logging_2184/klagomålsmail/A 55445-2024 FSC-klagomål mail.docx", "A 55445-2024")</f>
        <v/>
      </c>
      <c r="AA108">
        <f>HYPERLINK("https://klasma.github.io/Logging_2184/tillsyn/A 55445-2024 tillsynsbegäran.docx", "A 55445-2024")</f>
        <v/>
      </c>
      <c r="AB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22131-2025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46222</v>
      </c>
      <c r="F109" t="inlineStr">
        <is>
          <t>GÄVLEBORGS LÄN</t>
        </is>
      </c>
      <c r="G109" t="inlineStr">
        <is>
          <t>HUDIKSVALL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Knärot</t>
        </is>
      </c>
      <c r="V109">
        <f>HYPERLINK("https://klasma.github.io/Logging_2184/artfynd/A 22131-2025 artfynd.xlsx", "A 22131-2025")</f>
        <v/>
      </c>
      <c r="W109">
        <f>HYPERLINK("https://klasma.github.io/Logging_2184/kartor/A 22131-2025 karta.png", "A 22131-2025")</f>
        <v/>
      </c>
      <c r="X109">
        <f>HYPERLINK("https://klasma.github.io/Logging_2184/knärot/A 22131-2025 karta knärot.png", "A 22131-2025")</f>
        <v/>
      </c>
      <c r="Y109">
        <f>HYPERLINK("https://klasma.github.io/Logging_2184/klagomål/A 22131-2025 FSC-klagomål.docx", "A 22131-2025")</f>
        <v/>
      </c>
      <c r="Z109">
        <f>HYPERLINK("https://klasma.github.io/Logging_2184/klagomålsmail/A 22131-2025 FSC-klagomål mail.docx", "A 22131-2025")</f>
        <v/>
      </c>
      <c r="AA109">
        <f>HYPERLINK("https://klasma.github.io/Logging_2184/tillsyn/A 22131-2025 tillsynsbegäran.docx", "A 22131-2025")</f>
        <v/>
      </c>
      <c r="AB109">
        <f>HYPERLINK("https://klasma.github.io/Logging_2184/tillsynsmail/A 22131-2025 tillsynsbegäran mail.docx", "A 22131-2025")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46222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HYPERLINK("https://klasma.github.io/Logging_2184/artfynd/A 22859-2025 artfynd.xlsx", "A 22859-2025")</f>
        <v/>
      </c>
      <c r="W110">
        <f>HYPERLINK("https://klasma.github.io/Logging_2184/kartor/A 22859-2025 karta.png", "A 22859-2025")</f>
        <v/>
      </c>
      <c r="X110">
        <f>HYPERLINK("https://klasma.github.io/Logging_2184/knärot/A 22859-2025 karta knärot.png", "A 22859-2025")</f>
        <v/>
      </c>
      <c r="Y110">
        <f>HYPERLINK("https://klasma.github.io/Logging_2184/klagomål/A 22859-2025 FSC-klagomål.docx", "A 22859-2025")</f>
        <v/>
      </c>
      <c r="Z110">
        <f>HYPERLINK("https://klasma.github.io/Logging_2184/klagomålsmail/A 22859-2025 FSC-klagomål mail.docx", "A 22859-2025")</f>
        <v/>
      </c>
      <c r="AA110">
        <f>HYPERLINK("https://klasma.github.io/Logging_2184/tillsyn/A 22859-2025 tillsynsbegäran.docx", "A 22859-2025")</f>
        <v/>
      </c>
      <c r="AB110">
        <f>HYPERLINK("https://klasma.github.io/Logging_2184/tillsynsmail/A 22859-2025 tillsynsbegäran mail.docx", "A 22859-2025")</f>
        <v/>
      </c>
    </row>
    <row r="111" ht="15" customHeight="1">
      <c r="A111" t="inlineStr">
        <is>
          <t>A 23732-2025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46222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Sveaskog</t>
        </is>
      </c>
      <c r="I111" t="n">
        <v>11.9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Tibast</t>
        </is>
      </c>
      <c r="V111">
        <f>HYPERLINK("https://klasma.github.io/Logging_2184/artfynd/A 23732-2025 artfynd.xlsx", "A 23732-2025")</f>
        <v/>
      </c>
      <c r="W111">
        <f>HYPERLINK("https://klasma.github.io/Logging_2184/kartor/A 23732-2025 karta.png", "A 23732-2025")</f>
        <v/>
      </c>
      <c r="Y111">
        <f>HYPERLINK("https://klasma.github.io/Logging_2184/klagomål/A 23732-2025 FSC-klagomål.docx", "A 23732-2025")</f>
        <v/>
      </c>
      <c r="Z111">
        <f>HYPERLINK("https://klasma.github.io/Logging_2184/klagomålsmail/A 23732-2025 FSC-klagomål mail.docx", "A 23732-2025")</f>
        <v/>
      </c>
      <c r="AA111">
        <f>HYPERLINK("https://klasma.github.io/Logging_2184/tillsyn/A 23732-2025 tillsynsbegäran.docx", "A 23732-2025")</f>
        <v/>
      </c>
      <c r="AB111">
        <f>HYPERLINK("https://klasma.github.io/Logging_2184/tillsynsmail/A 23732-2025 tillsynsbegäran mail.docx", "A 23732-2025")</f>
        <v/>
      </c>
    </row>
    <row r="112" ht="15" customHeight="1">
      <c r="A112" t="inlineStr">
        <is>
          <t>A 25784-2025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46222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HYPERLINK("https://klasma.github.io/Logging_2184/artfynd/A 25784-2025 artfynd.xlsx", "A 25784-2025")</f>
        <v/>
      </c>
      <c r="W112">
        <f>HYPERLINK("https://klasma.github.io/Logging_2184/kartor/A 25784-2025 karta.png", "A 25784-2025")</f>
        <v/>
      </c>
      <c r="Y112">
        <f>HYPERLINK("https://klasma.github.io/Logging_2184/klagomål/A 25784-2025 FSC-klagomål.docx", "A 25784-2025")</f>
        <v/>
      </c>
      <c r="Z112">
        <f>HYPERLINK("https://klasma.github.io/Logging_2184/klagomålsmail/A 25784-2025 FSC-klagomål mail.docx", "A 25784-2025")</f>
        <v/>
      </c>
      <c r="AA112">
        <f>HYPERLINK("https://klasma.github.io/Logging_2184/tillsyn/A 25784-2025 tillsynsbegäran.docx", "A 25784-2025")</f>
        <v/>
      </c>
      <c r="AB112">
        <f>HYPERLINK("https://klasma.github.io/Logging_2184/tillsynsmail/A 25784-2025 tillsynsbegäran mail.docx", "A 25784-2025")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46222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46222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46222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46222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46222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46222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46222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46222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46222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46222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46222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46222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46222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46222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46222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46222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46222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46222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46222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46222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46222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46222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46222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46222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46222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46222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46222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46222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46222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46222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46222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46222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46222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46222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46222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46222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46222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46222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8281-2022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46222</v>
      </c>
      <c r="F151" t="inlineStr">
        <is>
          <t>GÄVLEBORGS LÄN</t>
        </is>
      </c>
      <c r="G151" t="inlineStr">
        <is>
          <t>HUDIKSVALL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46222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19346-2022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46222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46222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46222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46222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46222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46222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46222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46222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46222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46222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46222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46222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46222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46222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46222</v>
      </c>
      <c r="F167" t="inlineStr">
        <is>
          <t>GÄVLEBORGS LÄN</t>
        </is>
      </c>
      <c r="G167" t="inlineStr">
        <is>
          <t>HUDIKSVALL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46222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46222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8328-2022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46222</v>
      </c>
      <c r="F170" t="inlineStr">
        <is>
          <t>GÄVLEBORGS LÄN</t>
        </is>
      </c>
      <c r="G170" t="inlineStr">
        <is>
          <t>HUDIKSVALL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46222</v>
      </c>
      <c r="F171" t="inlineStr">
        <is>
          <t>GÄVLEBORGS LÄN</t>
        </is>
      </c>
      <c r="G171" t="inlineStr">
        <is>
          <t>HUDIKSVALL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46064-2022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46222</v>
      </c>
      <c r="F172" t="inlineStr">
        <is>
          <t>GÄVLEBORGS LÄN</t>
        </is>
      </c>
      <c r="G172" t="inlineStr">
        <is>
          <t>HUDIKSVALL</t>
        </is>
      </c>
      <c r="H172" t="inlineStr">
        <is>
          <t>Naturvårdsverket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46222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46222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46222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45702</v>
      </c>
      <c r="E178" s="1" t="n">
        <v>46222</v>
      </c>
      <c r="F178" t="inlineStr">
        <is>
          <t>GÄVLEBORGS LÄN</t>
        </is>
      </c>
      <c r="G178" t="inlineStr">
        <is>
          <t>HUDIKSVALL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46222</v>
      </c>
      <c r="F179" t="inlineStr">
        <is>
          <t>GÄVLEBORGS LÄN</t>
        </is>
      </c>
      <c r="G179" t="inlineStr">
        <is>
          <t>HUDIKSVALL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45044</v>
      </c>
      <c r="E180" s="1" t="n">
        <v>46222</v>
      </c>
      <c r="F180" t="inlineStr">
        <is>
          <t>GÄVLEBORGS LÄN</t>
        </is>
      </c>
      <c r="G180" t="inlineStr">
        <is>
          <t>HUDIKSVALL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32353-2024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46222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46222</v>
      </c>
      <c r="F182" t="inlineStr">
        <is>
          <t>GÄVLEBORGS LÄN</t>
        </is>
      </c>
      <c r="G182" t="inlineStr">
        <is>
          <t>HUDIKSVALL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46222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45676</v>
      </c>
      <c r="E184" s="1" t="n">
        <v>46222</v>
      </c>
      <c r="F184" t="inlineStr">
        <is>
          <t>GÄVLEBORGS LÄN</t>
        </is>
      </c>
      <c r="G184" t="inlineStr">
        <is>
          <t>HUDIKSVALL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57891-2023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45247</v>
      </c>
      <c r="E185" s="1" t="n">
        <v>46222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46222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46222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36408-2024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45535</v>
      </c>
      <c r="E188" s="1" t="n">
        <v>46222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46222</v>
      </c>
      <c r="F189" t="inlineStr">
        <is>
          <t>GÄVLEBORGS LÄN</t>
        </is>
      </c>
      <c r="G189" t="inlineStr">
        <is>
          <t>HUDIKSVALL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46222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16093-2024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46222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8027-2024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45350</v>
      </c>
      <c r="E192" s="1" t="n">
        <v>46222</v>
      </c>
      <c r="F192" t="inlineStr">
        <is>
          <t>GÄVLEBORGS LÄN</t>
        </is>
      </c>
      <c r="G192" t="inlineStr">
        <is>
          <t>HUDIKSVALL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46222</v>
      </c>
      <c r="F193" t="inlineStr">
        <is>
          <t>GÄVLEBORGS LÄN</t>
        </is>
      </c>
      <c r="G193" t="inlineStr">
        <is>
          <t>HUDIKSVALL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46222</v>
      </c>
      <c r="F194" t="inlineStr">
        <is>
          <t>GÄVLEBORGS LÄN</t>
        </is>
      </c>
      <c r="G194" t="inlineStr">
        <is>
          <t>HUDIKSVALL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46222</v>
      </c>
      <c r="F195" t="inlineStr">
        <is>
          <t>GÄVLEBORGS LÄN</t>
        </is>
      </c>
      <c r="G195" t="inlineStr">
        <is>
          <t>HUDIKSVALL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46222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16827-2024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46222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42981-2022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44833</v>
      </c>
      <c r="E198" s="1" t="n">
        <v>46222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9427-2024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46222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46222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11107-2024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46222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9366-2024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46222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46222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18912-2025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46222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16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56894-2023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46222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37638-2022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44810</v>
      </c>
      <c r="E206" s="1" t="n">
        <v>46222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37681-2022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44810</v>
      </c>
      <c r="E207" s="1" t="n">
        <v>46222</v>
      </c>
      <c r="F207" t="inlineStr">
        <is>
          <t>GÄVLEBORGS LÄN</t>
        </is>
      </c>
      <c r="G207" t="inlineStr">
        <is>
          <t>HUDIKSVALL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46222</v>
      </c>
      <c r="F208" t="inlineStr">
        <is>
          <t>GÄVLEBORGS LÄN</t>
        </is>
      </c>
      <c r="G208" t="inlineStr">
        <is>
          <t>HUDIKSVALL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46222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25596-2024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45463</v>
      </c>
      <c r="E210" s="1" t="n">
        <v>46222</v>
      </c>
      <c r="F210" t="inlineStr">
        <is>
          <t>GÄVLEBORGS LÄN</t>
        </is>
      </c>
      <c r="G210" t="inlineStr">
        <is>
          <t>HUDIKSVALL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46222</v>
      </c>
      <c r="F211" t="inlineStr">
        <is>
          <t>GÄVLEBORGS LÄN</t>
        </is>
      </c>
      <c r="G211" t="inlineStr">
        <is>
          <t>HUDIKSVALL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46222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46222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43010-2022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46222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46222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45527</v>
      </c>
      <c r="E216" s="1" t="n">
        <v>46222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44813-2024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46222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45533</v>
      </c>
      <c r="E218" s="1" t="n">
        <v>46222</v>
      </c>
      <c r="F218" t="inlineStr">
        <is>
          <t>GÄVLEBORGS LÄN</t>
        </is>
      </c>
      <c r="G218" t="inlineStr">
        <is>
          <t>HUDIKSVALL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46222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73458-2021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46222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46222</v>
      </c>
      <c r="F221" t="inlineStr">
        <is>
          <t>GÄVLEBORGS LÄN</t>
        </is>
      </c>
      <c r="G221" t="inlineStr">
        <is>
          <t>HUDIKSVALL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44470</v>
      </c>
      <c r="E222" s="1" t="n">
        <v>46222</v>
      </c>
      <c r="F222" t="inlineStr">
        <is>
          <t>GÄVLEBORGS LÄN</t>
        </is>
      </c>
      <c r="G222" t="inlineStr">
        <is>
          <t>HUDIKSVALL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4505-2024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45327</v>
      </c>
      <c r="E223" s="1" t="n">
        <v>46222</v>
      </c>
      <c r="F223" t="inlineStr">
        <is>
          <t>GÄVLEBORGS LÄN</t>
        </is>
      </c>
      <c r="G223" t="inlineStr">
        <is>
          <t>HUDIKSVALL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46222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46222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32308-2024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46222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46222</v>
      </c>
      <c r="F227" t="inlineStr">
        <is>
          <t>GÄVLEBORGS LÄN</t>
        </is>
      </c>
      <c r="G227" t="inlineStr">
        <is>
          <t>HUDIKSVALL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39156-2021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44412</v>
      </c>
      <c r="E228" s="1" t="n">
        <v>46222</v>
      </c>
      <c r="F228" t="inlineStr">
        <is>
          <t>GÄVLEBORGS LÄN</t>
        </is>
      </c>
      <c r="G228" t="inlineStr">
        <is>
          <t>HUDIKSVALL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46222</v>
      </c>
      <c r="F229" t="inlineStr">
        <is>
          <t>GÄVLEBORGS LÄN</t>
        </is>
      </c>
      <c r="G229" t="inlineStr">
        <is>
          <t>HUDIKSVALL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25647-2024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46222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42136-2024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46222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46222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46222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46222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46222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45489</v>
      </c>
      <c r="E236" s="1" t="n">
        <v>46222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64593-2023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45281</v>
      </c>
      <c r="E237" s="1" t="n">
        <v>46222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45489</v>
      </c>
      <c r="E238" s="1" t="n">
        <v>46222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46222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46222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30408-2024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45491</v>
      </c>
      <c r="E241" s="1" t="n">
        <v>46222</v>
      </c>
      <c r="F241" t="inlineStr">
        <is>
          <t>GÄVLEBORGS LÄN</t>
        </is>
      </c>
      <c r="G241" t="inlineStr">
        <is>
          <t>HUDIKSVALL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46222</v>
      </c>
      <c r="F242" t="inlineStr">
        <is>
          <t>GÄVLEBORGS LÄN</t>
        </is>
      </c>
      <c r="G242" t="inlineStr">
        <is>
          <t>HUDIKSVALL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11267-2023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44992</v>
      </c>
      <c r="E243" s="1" t="n">
        <v>46222</v>
      </c>
      <c r="F243" t="inlineStr">
        <is>
          <t>GÄVLEBORGS LÄN</t>
        </is>
      </c>
      <c r="G243" t="inlineStr">
        <is>
          <t>HUDIKSVALL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46222</v>
      </c>
      <c r="F244" t="inlineStr">
        <is>
          <t>GÄVLEBORGS LÄN</t>
        </is>
      </c>
      <c r="G244" t="inlineStr">
        <is>
          <t>HUDIKSVALL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9026-2023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45575</v>
      </c>
      <c r="E246" s="1" t="n">
        <v>46222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46222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46222</v>
      </c>
      <c r="F248" t="inlineStr">
        <is>
          <t>GÄVLEBORGS LÄN</t>
        </is>
      </c>
      <c r="G248" t="inlineStr">
        <is>
          <t>HUDIKSVALL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27477-2024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46222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45432</v>
      </c>
      <c r="E250" s="1" t="n">
        <v>46222</v>
      </c>
      <c r="F250" t="inlineStr">
        <is>
          <t>GÄVLEBORGS LÄN</t>
        </is>
      </c>
      <c r="G250" t="inlineStr">
        <is>
          <t>HUDIKSVALL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45303</v>
      </c>
      <c r="E251" s="1" t="n">
        <v>46222</v>
      </c>
      <c r="F251" t="inlineStr">
        <is>
          <t>GÄVLEBORGS LÄN</t>
        </is>
      </c>
      <c r="G251" t="inlineStr">
        <is>
          <t>HUDIKSVALL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50899-2021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44460</v>
      </c>
      <c r="E252" s="1" t="n">
        <v>46222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72899-2021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44547</v>
      </c>
      <c r="E253" s="1" t="n">
        <v>46222</v>
      </c>
      <c r="F253" t="inlineStr">
        <is>
          <t>GÄVLEBORGS LÄN</t>
        </is>
      </c>
      <c r="G253" t="inlineStr">
        <is>
          <t>HUDIKSVALL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60517-2022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46222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30983-2024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45499</v>
      </c>
      <c r="E255" s="1" t="n">
        <v>46222</v>
      </c>
      <c r="F255" t="inlineStr">
        <is>
          <t>GÄVLEBORGS LÄN</t>
        </is>
      </c>
      <c r="G255" t="inlineStr">
        <is>
          <t>HUDIKSVALL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72535-2021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46222</v>
      </c>
      <c r="F256" t="inlineStr">
        <is>
          <t>GÄVLEBORGS LÄN</t>
        </is>
      </c>
      <c r="G256" t="inlineStr">
        <is>
          <t>HUDIKSVALL</t>
        </is>
      </c>
      <c r="H256" t="inlineStr">
        <is>
          <t>Sveaskog</t>
        </is>
      </c>
      <c r="I256" t="n">
        <v>23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61579-2024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46222</v>
      </c>
      <c r="F257" t="inlineStr">
        <is>
          <t>GÄVLEBORGS LÄN</t>
        </is>
      </c>
      <c r="G257" t="inlineStr">
        <is>
          <t>HUDIKSVALL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38535-2023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46222</v>
      </c>
      <c r="F258" t="inlineStr">
        <is>
          <t>GÄVLEBORGS LÄN</t>
        </is>
      </c>
      <c r="G258" t="inlineStr">
        <is>
          <t>HUDIKSVALL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48597-2024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46222</v>
      </c>
      <c r="F259" t="inlineStr">
        <is>
          <t>GÄVLEBORGS LÄN</t>
        </is>
      </c>
      <c r="G259" t="inlineStr">
        <is>
          <t>HUDIKSVALL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46222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25503-2025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46222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46222</v>
      </c>
      <c r="F262" t="inlineStr">
        <is>
          <t>GÄVLEBORGS LÄN</t>
        </is>
      </c>
      <c r="G262" t="inlineStr">
        <is>
          <t>HUDIKSVALL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46222</v>
      </c>
      <c r="F263" t="inlineStr">
        <is>
          <t>GÄVLEBORGS LÄN</t>
        </is>
      </c>
      <c r="G263" t="inlineStr">
        <is>
          <t>HUDIKSVALL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61977-2022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44918</v>
      </c>
      <c r="E264" s="1" t="n">
        <v>46222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55319-2021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44475</v>
      </c>
      <c r="E265" s="1" t="n">
        <v>46222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38201-2024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46222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46222</v>
      </c>
      <c r="F267" t="inlineStr">
        <is>
          <t>GÄVLEBORGS LÄN</t>
        </is>
      </c>
      <c r="G267" t="inlineStr">
        <is>
          <t>HUDIKSVALL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16781-2024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46222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46222</v>
      </c>
      <c r="F269" t="inlineStr">
        <is>
          <t>GÄVLEBORGS LÄN</t>
        </is>
      </c>
      <c r="G269" t="inlineStr">
        <is>
          <t>HUDIKSVALL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46222</v>
      </c>
      <c r="F270" t="inlineStr">
        <is>
          <t>GÄVLEBORGS LÄN</t>
        </is>
      </c>
      <c r="G270" t="inlineStr">
        <is>
          <t>HUDIKSVALL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8005-2022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46222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46222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26402-2025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45807</v>
      </c>
      <c r="E273" s="1" t="n">
        <v>46222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46222</v>
      </c>
      <c r="F274" t="inlineStr">
        <is>
          <t>GÄVLEBORGS LÄN</t>
        </is>
      </c>
      <c r="G274" t="inlineStr">
        <is>
          <t>HUDIKSVALL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55330-2021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44475</v>
      </c>
      <c r="E275" s="1" t="n">
        <v>46222</v>
      </c>
      <c r="F275" t="inlineStr">
        <is>
          <t>GÄVLEBORGS LÄN</t>
        </is>
      </c>
      <c r="G275" t="inlineStr">
        <is>
          <t>HUDIKSVALL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46222</v>
      </c>
      <c r="F276" t="inlineStr">
        <is>
          <t>GÄVLEBORGS LÄN</t>
        </is>
      </c>
      <c r="G276" t="inlineStr">
        <is>
          <t>HUDIKSVALL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42942-2024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45567</v>
      </c>
      <c r="E277" s="1" t="n">
        <v>46222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46222</v>
      </c>
      <c r="F278" t="inlineStr">
        <is>
          <t>GÄVLEBORGS LÄN</t>
        </is>
      </c>
      <c r="G278" t="inlineStr">
        <is>
          <t>HUDIKSVALL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13663-2025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45736</v>
      </c>
      <c r="E279" s="1" t="n">
        <v>46222</v>
      </c>
      <c r="F279" t="inlineStr">
        <is>
          <t>GÄVLEBORGS LÄN</t>
        </is>
      </c>
      <c r="G279" t="inlineStr">
        <is>
          <t>HUDIKSVALL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12674-2023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46222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26403-2025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45807</v>
      </c>
      <c r="E281" s="1" t="n">
        <v>46222</v>
      </c>
      <c r="F281" t="inlineStr">
        <is>
          <t>GÄVLEBORGS LÄN</t>
        </is>
      </c>
      <c r="G281" t="inlineStr">
        <is>
          <t>HUDIKSVALL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24040-2025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46222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26788-2025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46222</v>
      </c>
      <c r="F283" t="inlineStr">
        <is>
          <t>GÄVLEBORGS LÄN</t>
        </is>
      </c>
      <c r="G283" t="inlineStr">
        <is>
          <t>HUDIKSVALL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46222</v>
      </c>
      <c r="F284" t="inlineStr">
        <is>
          <t>GÄVLEBORGS LÄN</t>
        </is>
      </c>
      <c r="G284" t="inlineStr">
        <is>
          <t>HUDIKSVALL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46222</v>
      </c>
      <c r="F285" t="inlineStr">
        <is>
          <t>GÄVLEBORGS LÄN</t>
        </is>
      </c>
      <c r="G285" t="inlineStr">
        <is>
          <t>HUDIKSVALL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46222</v>
      </c>
      <c r="F286" t="inlineStr">
        <is>
          <t>GÄVLEBORGS LÄN</t>
        </is>
      </c>
      <c r="G286" t="inlineStr">
        <is>
          <t>HUDIKSVALL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46222</v>
      </c>
      <c r="F287" t="inlineStr">
        <is>
          <t>GÄVLEBORGS LÄN</t>
        </is>
      </c>
      <c r="G287" t="inlineStr">
        <is>
          <t>HUDIKSVALL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46222</v>
      </c>
      <c r="F288" t="inlineStr">
        <is>
          <t>GÄVLEBORGS LÄN</t>
        </is>
      </c>
      <c r="G288" t="inlineStr">
        <is>
          <t>HUDIKSVALL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27253-2025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46222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46222</v>
      </c>
      <c r="F290" t="inlineStr">
        <is>
          <t>GÄVLEBORGS LÄN</t>
        </is>
      </c>
      <c r="G290" t="inlineStr">
        <is>
          <t>HUDIKSVALL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46222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29.4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46222</v>
      </c>
      <c r="F292" t="inlineStr">
        <is>
          <t>GÄVLEBORGS LÄN</t>
        </is>
      </c>
      <c r="G292" t="inlineStr">
        <is>
          <t>HUDIKSVALL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46222</v>
      </c>
      <c r="F293" t="inlineStr">
        <is>
          <t>GÄVLEBORGS LÄN</t>
        </is>
      </c>
      <c r="G293" t="inlineStr">
        <is>
          <t>HUDIKSVALL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24329-2024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45457</v>
      </c>
      <c r="E294" s="1" t="n">
        <v>46222</v>
      </c>
      <c r="F294" t="inlineStr">
        <is>
          <t>GÄVLEBORGS LÄN</t>
        </is>
      </c>
      <c r="G294" t="inlineStr">
        <is>
          <t>HUDIKSVALL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46222</v>
      </c>
      <c r="F295" t="inlineStr">
        <is>
          <t>GÄVLEBORGS LÄN</t>
        </is>
      </c>
      <c r="G295" t="inlineStr">
        <is>
          <t>HUDIKSVALL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38703-2024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46222</v>
      </c>
      <c r="F296" t="inlineStr">
        <is>
          <t>GÄVLEBORGS LÄN</t>
        </is>
      </c>
      <c r="G296" t="inlineStr">
        <is>
          <t>HUDIKSVALL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38220-2024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46222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27514-2025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46222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12880-2023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46222</v>
      </c>
      <c r="F299" t="inlineStr">
        <is>
          <t>GÄVLEBORGS LÄN</t>
        </is>
      </c>
      <c r="G299" t="inlineStr">
        <is>
          <t>HUDIKSVALL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46222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45355</v>
      </c>
      <c r="E301" s="1" t="n">
        <v>46222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27791-2025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46222</v>
      </c>
      <c r="F302" t="inlineStr">
        <is>
          <t>GÄVLEBORGS LÄN</t>
        </is>
      </c>
      <c r="G302" t="inlineStr">
        <is>
          <t>HUDIKSVALL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16327-2023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46222</v>
      </c>
      <c r="F303" t="inlineStr">
        <is>
          <t>GÄVLEBORGS LÄN</t>
        </is>
      </c>
      <c r="G303" t="inlineStr">
        <is>
          <t>HUDIKSVALL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28163-2025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46222</v>
      </c>
      <c r="F304" t="inlineStr">
        <is>
          <t>GÄVLEBORGS LÄN</t>
        </is>
      </c>
      <c r="G304" t="inlineStr">
        <is>
          <t>HUDIKSVALL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25268-2024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46222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44966</v>
      </c>
      <c r="E306" s="1" t="n">
        <v>46222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45510</v>
      </c>
      <c r="E307" s="1" t="n">
        <v>46222</v>
      </c>
      <c r="F307" t="inlineStr">
        <is>
          <t>GÄVLEBORGS LÄN</t>
        </is>
      </c>
      <c r="G307" t="inlineStr">
        <is>
          <t>HUDIKSVALL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46222</v>
      </c>
      <c r="F308" t="inlineStr">
        <is>
          <t>GÄVLEBORGS LÄN</t>
        </is>
      </c>
      <c r="G308" t="inlineStr">
        <is>
          <t>HUDIKSVALL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46222</v>
      </c>
      <c r="F309" t="inlineStr">
        <is>
          <t>GÄVLEBORGS LÄN</t>
        </is>
      </c>
      <c r="G309" t="inlineStr">
        <is>
          <t>HUDIKSVALL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46222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46222</v>
      </c>
      <c r="F311" t="inlineStr">
        <is>
          <t>GÄVLEBORGS LÄN</t>
        </is>
      </c>
      <c r="G311" t="inlineStr">
        <is>
          <t>HUDIKSVALL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46222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27881-2025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45817</v>
      </c>
      <c r="E313" s="1" t="n">
        <v>46222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26813-2025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46222</v>
      </c>
      <c r="F314" t="inlineStr">
        <is>
          <t>GÄVLEBORGS LÄN</t>
        </is>
      </c>
      <c r="G314" t="inlineStr">
        <is>
          <t>HUDIKSVALL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46222</v>
      </c>
      <c r="F315" t="inlineStr">
        <is>
          <t>GÄVLEBORGS LÄN</t>
        </is>
      </c>
      <c r="G315" t="inlineStr">
        <is>
          <t>HUDIKSVALL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46222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46222</v>
      </c>
      <c r="F317" t="inlineStr">
        <is>
          <t>GÄVLEBORGS LÄN</t>
        </is>
      </c>
      <c r="G317" t="inlineStr">
        <is>
          <t>HUDIKSVALL</t>
        </is>
      </c>
      <c r="I317" t="n">
        <v>66.59999999999999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28410-2025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46222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28475-2025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46222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46222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46222</v>
      </c>
      <c r="F321" t="inlineStr">
        <is>
          <t>GÄVLEBORGS LÄN</t>
        </is>
      </c>
      <c r="G321" t="inlineStr">
        <is>
          <t>HUDIKSVALL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28485-2025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45819</v>
      </c>
      <c r="E322" s="1" t="n">
        <v>46222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28599-2025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46222</v>
      </c>
      <c r="F323" t="inlineStr">
        <is>
          <t>GÄVLEBORGS LÄN</t>
        </is>
      </c>
      <c r="G323" t="inlineStr">
        <is>
          <t>HUDIKSVALL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46222</v>
      </c>
      <c r="F324" t="inlineStr">
        <is>
          <t>GÄVLEBORGS LÄN</t>
        </is>
      </c>
      <c r="G324" t="inlineStr">
        <is>
          <t>HUDIKSVALL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28411-2025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46222</v>
      </c>
      <c r="F325" t="inlineStr">
        <is>
          <t>GÄVLEBORGS LÄN</t>
        </is>
      </c>
      <c r="G325" t="inlineStr">
        <is>
          <t>HUDIKSVALL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28815-2025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46222</v>
      </c>
      <c r="F326" t="inlineStr">
        <is>
          <t>GÄVLEBORGS LÄN</t>
        </is>
      </c>
      <c r="G326" t="inlineStr">
        <is>
          <t>HUDIKSVALL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60359-2024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46222</v>
      </c>
      <c r="F327" t="inlineStr">
        <is>
          <t>GÄVLEBORGS LÄN</t>
        </is>
      </c>
      <c r="G327" t="inlineStr">
        <is>
          <t>HUDIKSVALL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46222</v>
      </c>
      <c r="F328" t="inlineStr">
        <is>
          <t>GÄVLEBORGS LÄN</t>
        </is>
      </c>
      <c r="G328" t="inlineStr">
        <is>
          <t>HUDIKSVALL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54219-2023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46222</v>
      </c>
      <c r="F329" t="inlineStr">
        <is>
          <t>GÄVLEBORGS LÄN</t>
        </is>
      </c>
      <c r="G329" t="inlineStr">
        <is>
          <t>HUDIKSVALL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46222</v>
      </c>
      <c r="F330" t="inlineStr">
        <is>
          <t>GÄVLEBORGS LÄN</t>
        </is>
      </c>
      <c r="G330" t="inlineStr">
        <is>
          <t>HUDIKSVALL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28809-2025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46222</v>
      </c>
      <c r="F331" t="inlineStr">
        <is>
          <t>GÄVLEBORGS LÄN</t>
        </is>
      </c>
      <c r="G331" t="inlineStr">
        <is>
          <t>HUDIKSVALL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39244-2025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46222</v>
      </c>
      <c r="F332" t="inlineStr">
        <is>
          <t>GÄVLEBORGS LÄN</t>
        </is>
      </c>
      <c r="G332" t="inlineStr">
        <is>
          <t>HUDIKSVALL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29227-2025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46222</v>
      </c>
      <c r="F333" t="inlineStr">
        <is>
          <t>GÄVLEBORGS LÄN</t>
        </is>
      </c>
      <c r="G333" t="inlineStr">
        <is>
          <t>HUDIKSVALL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46222</v>
      </c>
      <c r="F334" t="inlineStr">
        <is>
          <t>GÄVLEBORGS LÄN</t>
        </is>
      </c>
      <c r="G334" t="inlineStr">
        <is>
          <t>HUDIKSVALL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4783-2026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46048</v>
      </c>
      <c r="E335" s="1" t="n">
        <v>46222</v>
      </c>
      <c r="F335" t="inlineStr">
        <is>
          <t>GÄVLEBORGS LÄN</t>
        </is>
      </c>
      <c r="G335" t="inlineStr">
        <is>
          <t>HUDIKSVALL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29276-2025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46222</v>
      </c>
      <c r="F336" t="inlineStr">
        <is>
          <t>GÄVLEBORGS LÄN</t>
        </is>
      </c>
      <c r="G336" t="inlineStr">
        <is>
          <t>HUDIKSVALL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61536-2022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46222</v>
      </c>
      <c r="F337" t="inlineStr">
        <is>
          <t>GÄVLEBORGS LÄN</t>
        </is>
      </c>
      <c r="G337" t="inlineStr">
        <is>
          <t>HUDIKSVALL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29338-2025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46222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29357-2025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46222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29334-2025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46222</v>
      </c>
      <c r="F340" t="inlineStr">
        <is>
          <t>GÄVLEBORGS LÄN</t>
        </is>
      </c>
      <c r="G340" t="inlineStr">
        <is>
          <t>HUDIKSVALL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41521-2024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46222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46222</v>
      </c>
      <c r="F342" t="inlineStr">
        <is>
          <t>GÄVLEBORGS LÄN</t>
        </is>
      </c>
      <c r="G342" t="inlineStr">
        <is>
          <t>HUDIKSVALL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29329-2025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46222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29315-2025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46222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29353-2025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46222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46222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31707-2024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45508</v>
      </c>
      <c r="E347" s="1" t="n">
        <v>46222</v>
      </c>
      <c r="F347" t="inlineStr">
        <is>
          <t>GÄVLEBORGS LÄN</t>
        </is>
      </c>
      <c r="G347" t="inlineStr">
        <is>
          <t>HUDIKSVALL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46222</v>
      </c>
      <c r="F348" t="inlineStr">
        <is>
          <t>GÄVLEBORGS LÄN</t>
        </is>
      </c>
      <c r="G348" t="inlineStr">
        <is>
          <t>HUDIKSVALL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46222</v>
      </c>
      <c r="F349" t="inlineStr">
        <is>
          <t>GÄVLEBORGS LÄN</t>
        </is>
      </c>
      <c r="G349" t="inlineStr">
        <is>
          <t>HUDIKSVALL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4323-2026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46222</v>
      </c>
      <c r="F351" t="inlineStr">
        <is>
          <t>GÄVLEBORGS LÄN</t>
        </is>
      </c>
      <c r="G351" t="inlineStr">
        <is>
          <t>HUDIKSVALL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58339-2024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46222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29772-2025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46222</v>
      </c>
      <c r="F353" t="inlineStr">
        <is>
          <t>GÄVLEBORGS LÄN</t>
        </is>
      </c>
      <c r="G353" t="inlineStr">
        <is>
          <t>HUDIKSVALL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46222</v>
      </c>
      <c r="F354" t="inlineStr">
        <is>
          <t>GÄVLEBORGS LÄN</t>
        </is>
      </c>
      <c r="G354" t="inlineStr">
        <is>
          <t>HUDIKSVALL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40474-2025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45895</v>
      </c>
      <c r="E355" s="1" t="n">
        <v>46222</v>
      </c>
      <c r="F355" t="inlineStr">
        <is>
          <t>GÄVLEBORGS LÄN</t>
        </is>
      </c>
      <c r="G355" t="inlineStr">
        <is>
          <t>HUDIKSVALL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30481-2025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45828</v>
      </c>
      <c r="E356" s="1" t="n">
        <v>46222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46590-2024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45582</v>
      </c>
      <c r="E357" s="1" t="n">
        <v>46222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46222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46598-2024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46222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46222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41164-2025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46222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35000-2024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46222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46222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46222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35.1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30463-2025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46222</v>
      </c>
      <c r="F365" t="inlineStr">
        <is>
          <t>GÄVLEBORGS LÄN</t>
        </is>
      </c>
      <c r="G365" t="inlineStr">
        <is>
          <t>HUDIKSVALL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45828</v>
      </c>
      <c r="E366" s="1" t="n">
        <v>46222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9140-2023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46222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9163-2023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46222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30450-2025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46222</v>
      </c>
      <c r="F369" t="inlineStr">
        <is>
          <t>GÄVLEBORGS LÄN</t>
        </is>
      </c>
      <c r="G369" t="inlineStr">
        <is>
          <t>HUDIKSVALL</t>
        </is>
      </c>
      <c r="I369" t="n">
        <v>14.4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4499-2026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46222</v>
      </c>
      <c r="F370" t="inlineStr">
        <is>
          <t>GÄVLEBORGS LÄN</t>
        </is>
      </c>
      <c r="G370" t="inlineStr">
        <is>
          <t>HUDIKSVALL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30442-2025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46222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48.3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30234-2025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46222</v>
      </c>
      <c r="F372" t="inlineStr">
        <is>
          <t>GÄVLEBORGS LÄN</t>
        </is>
      </c>
      <c r="G372" t="inlineStr">
        <is>
          <t>HUDIKSVALL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30479-2025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45828</v>
      </c>
      <c r="E373" s="1" t="n">
        <v>46222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46222</v>
      </c>
      <c r="F374" t="inlineStr">
        <is>
          <t>GÄVLEBORGS LÄN</t>
        </is>
      </c>
      <c r="G374" t="inlineStr">
        <is>
          <t>HUDIKSVALL</t>
        </is>
      </c>
      <c r="H374" t="inlineStr">
        <is>
          <t>Sveaskog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46222</v>
      </c>
      <c r="F375" t="inlineStr">
        <is>
          <t>GÄVLEBORGS LÄN</t>
        </is>
      </c>
      <c r="G375" t="inlineStr">
        <is>
          <t>HUDIKSVALL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30309-2025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46222</v>
      </c>
      <c r="F376" t="inlineStr">
        <is>
          <t>GÄVLEBORGS LÄN</t>
        </is>
      </c>
      <c r="G376" t="inlineStr">
        <is>
          <t>HUDIKSVALL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46222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37697-2024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46222</v>
      </c>
      <c r="F378" t="inlineStr">
        <is>
          <t>GÄVLEBORGS LÄN</t>
        </is>
      </c>
      <c r="G378" t="inlineStr">
        <is>
          <t>HUDIKSVALL</t>
        </is>
      </c>
      <c r="H378" t="inlineStr">
        <is>
          <t>Kommuner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41239-2025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45898</v>
      </c>
      <c r="E379" s="1" t="n">
        <v>46222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41762-2025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46222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59571-2022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46222</v>
      </c>
      <c r="F381" t="inlineStr">
        <is>
          <t>GÄVLEBORGS LÄN</t>
        </is>
      </c>
      <c r="G381" t="inlineStr">
        <is>
          <t>HUDIKSVALL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46222</v>
      </c>
      <c r="F382" t="inlineStr">
        <is>
          <t>GÄVLEBORGS LÄN</t>
        </is>
      </c>
      <c r="G382" t="inlineStr">
        <is>
          <t>HUDIKSVALL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41458-2025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46222</v>
      </c>
      <c r="F383" t="inlineStr">
        <is>
          <t>GÄVLEBORGS LÄN</t>
        </is>
      </c>
      <c r="G383" t="inlineStr">
        <is>
          <t>HUDIKSVALL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41515-2025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46222</v>
      </c>
      <c r="F384" t="inlineStr">
        <is>
          <t>GÄVLEBORGS LÄN</t>
        </is>
      </c>
      <c r="G384" t="inlineStr">
        <is>
          <t>HUDIKSVALL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46222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22588-2023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46222</v>
      </c>
      <c r="F386" t="inlineStr">
        <is>
          <t>GÄVLEBORGS LÄN</t>
        </is>
      </c>
      <c r="G386" t="inlineStr">
        <is>
          <t>HUDIKSVALL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30757-2025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46222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8137-2023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46222</v>
      </c>
      <c r="F388" t="inlineStr">
        <is>
          <t>GÄVLEBORGS LÄN</t>
        </is>
      </c>
      <c r="G388" t="inlineStr">
        <is>
          <t>HUDIKSVALL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56738-2023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46222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56755-2023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46222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31907-2025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46222</v>
      </c>
      <c r="F391" t="inlineStr">
        <is>
          <t>GÄVLEBORGS LÄN</t>
        </is>
      </c>
      <c r="G391" t="inlineStr">
        <is>
          <t>HUDIKSVALL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31720-2025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46222</v>
      </c>
      <c r="F392" t="inlineStr">
        <is>
          <t>GÄVLEBORGS LÄN</t>
        </is>
      </c>
      <c r="G392" t="inlineStr">
        <is>
          <t>HUDIKSVALL</t>
        </is>
      </c>
      <c r="I392" t="n">
        <v>31.2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46827-2024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45583</v>
      </c>
      <c r="E393" s="1" t="n">
        <v>46222</v>
      </c>
      <c r="F393" t="inlineStr">
        <is>
          <t>GÄVLEBORGS LÄN</t>
        </is>
      </c>
      <c r="G393" t="inlineStr">
        <is>
          <t>HUDIKSVALL</t>
        </is>
      </c>
      <c r="H393" t="inlineStr">
        <is>
          <t>Sveaskog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46222</v>
      </c>
      <c r="F394" t="inlineStr">
        <is>
          <t>GÄVLEBORGS LÄN</t>
        </is>
      </c>
      <c r="G394" t="inlineStr">
        <is>
          <t>HUDIKSVALL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31477-2025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46222</v>
      </c>
      <c r="F395" t="inlineStr">
        <is>
          <t>GÄVLEBORGS LÄN</t>
        </is>
      </c>
      <c r="G395" t="inlineStr">
        <is>
          <t>HUDIKSVALL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31766-2025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45834</v>
      </c>
      <c r="E396" s="1" t="n">
        <v>46222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46222</v>
      </c>
      <c r="F397" t="inlineStr">
        <is>
          <t>GÄVLEBORGS LÄN</t>
        </is>
      </c>
      <c r="G397" t="inlineStr">
        <is>
          <t>HUDIKSVALL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46207-2024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45581</v>
      </c>
      <c r="E398" s="1" t="n">
        <v>46222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46222</v>
      </c>
      <c r="F399" t="inlineStr">
        <is>
          <t>GÄVLEBORGS LÄN</t>
        </is>
      </c>
      <c r="G399" t="inlineStr">
        <is>
          <t>HUDIKSVALL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42851-2025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46222</v>
      </c>
      <c r="F400" t="inlineStr">
        <is>
          <t>GÄVLEBORGS LÄN</t>
        </is>
      </c>
      <c r="G400" t="inlineStr">
        <is>
          <t>HUDIKSVALL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42355-2025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46222</v>
      </c>
      <c r="F401" t="inlineStr">
        <is>
          <t>GÄVLEBORGS LÄN</t>
        </is>
      </c>
      <c r="G401" t="inlineStr">
        <is>
          <t>HUDIKSVALL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22641-2024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45447</v>
      </c>
      <c r="E402" s="1" t="n">
        <v>46222</v>
      </c>
      <c r="F402" t="inlineStr">
        <is>
          <t>GÄVLEBORGS LÄN</t>
        </is>
      </c>
      <c r="G402" t="inlineStr">
        <is>
          <t>HUDIKSVALL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42760-2025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46222</v>
      </c>
      <c r="F403" t="inlineStr">
        <is>
          <t>GÄVLEBORGS LÄN</t>
        </is>
      </c>
      <c r="G403" t="inlineStr">
        <is>
          <t>HUDIKSVALL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42790-2025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46222</v>
      </c>
      <c r="F404" t="inlineStr">
        <is>
          <t>GÄVLEBORGS LÄN</t>
        </is>
      </c>
      <c r="G404" t="inlineStr">
        <is>
          <t>HUDIKSVALL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46222</v>
      </c>
      <c r="F405" t="inlineStr">
        <is>
          <t>GÄVLEBORGS LÄN</t>
        </is>
      </c>
      <c r="G405" t="inlineStr">
        <is>
          <t>HUDIKSVALL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43339-2025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46222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46222</v>
      </c>
      <c r="F407" t="inlineStr">
        <is>
          <t>GÄVLEBORGS LÄN</t>
        </is>
      </c>
      <c r="G407" t="inlineStr">
        <is>
          <t>HUDIKSVALL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35002-2023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46222</v>
      </c>
      <c r="F408" t="inlineStr">
        <is>
          <t>GÄVLEBORGS LÄN</t>
        </is>
      </c>
      <c r="G408" t="inlineStr">
        <is>
          <t>HUDIKSVALL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43170-2025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45910</v>
      </c>
      <c r="E409" s="1" t="n">
        <v>46222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43197-2025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46222</v>
      </c>
      <c r="F410" t="inlineStr">
        <is>
          <t>GÄVLEBORGS LÄN</t>
        </is>
      </c>
      <c r="G410" t="inlineStr">
        <is>
          <t>HUDIKSVALL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46222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46222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45096-2023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46222</v>
      </c>
      <c r="F413" t="inlineStr">
        <is>
          <t>GÄVLEBORGS LÄN</t>
        </is>
      </c>
      <c r="G413" t="inlineStr">
        <is>
          <t>HUDIKSVALL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46222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45397</v>
      </c>
      <c r="E415" s="1" t="n">
        <v>46222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43433-2025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46222</v>
      </c>
      <c r="F416" t="inlineStr">
        <is>
          <t>GÄVLEBORGS LÄN</t>
        </is>
      </c>
      <c r="G416" t="inlineStr">
        <is>
          <t>HUDIKSVALL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43715-2025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46222</v>
      </c>
      <c r="F417" t="inlineStr">
        <is>
          <t>GÄVLEBORGS LÄN</t>
        </is>
      </c>
      <c r="G417" t="inlineStr">
        <is>
          <t>HUDIKSVALL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31936-2025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46222</v>
      </c>
      <c r="F418" t="inlineStr">
        <is>
          <t>GÄVLEBORGS LÄN</t>
        </is>
      </c>
      <c r="G418" t="inlineStr">
        <is>
          <t>HUDIKSVALL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32167-2025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45835</v>
      </c>
      <c r="E419" s="1" t="n">
        <v>46222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43661-2025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46222</v>
      </c>
      <c r="F420" t="inlineStr">
        <is>
          <t>GÄVLEBORGS LÄN</t>
        </is>
      </c>
      <c r="G420" t="inlineStr">
        <is>
          <t>HUDIKSVALL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43678-2025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46222</v>
      </c>
      <c r="F421" t="inlineStr">
        <is>
          <t>GÄVLEBORGS LÄN</t>
        </is>
      </c>
      <c r="G421" t="inlineStr">
        <is>
          <t>HUDIKSVALL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46222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45524</v>
      </c>
      <c r="E423" s="1" t="n">
        <v>46222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14863-2024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45398</v>
      </c>
      <c r="E424" s="1" t="n">
        <v>46222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46222</v>
      </c>
      <c r="F425" t="inlineStr">
        <is>
          <t>GÄVLEBORGS LÄN</t>
        </is>
      </c>
      <c r="G425" t="inlineStr">
        <is>
          <t>HUDIKSVALL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46222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24445-2023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46222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44736-2024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46222</v>
      </c>
      <c r="F428" t="inlineStr">
        <is>
          <t>GÄVLEBORGS LÄN</t>
        </is>
      </c>
      <c r="G428" t="inlineStr">
        <is>
          <t>HUDIKSVALL</t>
        </is>
      </c>
      <c r="I428" t="n">
        <v>43.7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33197-2025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45840</v>
      </c>
      <c r="E429" s="1" t="n">
        <v>46222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43393-2025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46222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46222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46222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33239-2025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46222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33254-2025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46222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33260-2025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46222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46222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27051-2022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44741</v>
      </c>
      <c r="E437" s="1" t="n">
        <v>46222</v>
      </c>
      <c r="F437" t="inlineStr">
        <is>
          <t>GÄVLEBORGS LÄN</t>
        </is>
      </c>
      <c r="G437" t="inlineStr">
        <is>
          <t>HUDIKSVALL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46222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46222</v>
      </c>
      <c r="F439" t="inlineStr">
        <is>
          <t>GÄVLEBORGS LÄN</t>
        </is>
      </c>
      <c r="G439" t="inlineStr">
        <is>
          <t>HUDIKSVALL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33176-2025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46222</v>
      </c>
      <c r="F440" t="inlineStr">
        <is>
          <t>GÄVLEBORGS LÄN</t>
        </is>
      </c>
      <c r="G440" t="inlineStr">
        <is>
          <t>HUDIKSVALL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33714-2025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45841</v>
      </c>
      <c r="E441" s="1" t="n">
        <v>46222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46222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46222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46222</v>
      </c>
      <c r="F444" t="inlineStr">
        <is>
          <t>GÄVLEBORGS LÄN</t>
        </is>
      </c>
      <c r="G444" t="inlineStr">
        <is>
          <t>HUDIKSVALL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46222</v>
      </c>
      <c r="F445" t="inlineStr">
        <is>
          <t>GÄVLEBORGS LÄN</t>
        </is>
      </c>
      <c r="G445" t="inlineStr">
        <is>
          <t>HUDIKSVALL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33965-2025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46222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44558-2025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46222</v>
      </c>
      <c r="F447" t="inlineStr">
        <is>
          <t>GÄVLEBORGS LÄN</t>
        </is>
      </c>
      <c r="G447" t="inlineStr">
        <is>
          <t>HUDIKSVALL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30590-2022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44762</v>
      </c>
      <c r="E448" s="1" t="n">
        <v>46222</v>
      </c>
      <c r="F448" t="inlineStr">
        <is>
          <t>GÄVLEBORGS LÄN</t>
        </is>
      </c>
      <c r="G448" t="inlineStr">
        <is>
          <t>HUDIKSVALL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44631-2025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45917</v>
      </c>
      <c r="E449" s="1" t="n">
        <v>46222</v>
      </c>
      <c r="F449" t="inlineStr">
        <is>
          <t>GÄVLEBORGS LÄN</t>
        </is>
      </c>
      <c r="G449" t="inlineStr">
        <is>
          <t>HUDIKSVALL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46222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44986-2025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46222</v>
      </c>
      <c r="F451" t="inlineStr">
        <is>
          <t>GÄVLEBORGS LÄN</t>
        </is>
      </c>
      <c r="G451" t="inlineStr">
        <is>
          <t>HUDIKSVALL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46222</v>
      </c>
      <c r="F452" t="inlineStr">
        <is>
          <t>GÄVLEBORGS LÄN</t>
        </is>
      </c>
      <c r="G452" t="inlineStr">
        <is>
          <t>HUDIKSVALL</t>
        </is>
      </c>
      <c r="I452" t="n">
        <v>17.2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45136-2025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46222</v>
      </c>
      <c r="F453" t="inlineStr">
        <is>
          <t>GÄVLEBORGS LÄN</t>
        </is>
      </c>
      <c r="G453" t="inlineStr">
        <is>
          <t>HUDIKSVALL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45284-2025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45919</v>
      </c>
      <c r="E454" s="1" t="n">
        <v>46222</v>
      </c>
      <c r="F454" t="inlineStr">
        <is>
          <t>GÄVLEBORGS LÄN</t>
        </is>
      </c>
      <c r="G454" t="inlineStr">
        <is>
          <t>HUDIKSVALL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46222</v>
      </c>
      <c r="F455" t="inlineStr">
        <is>
          <t>GÄVLEBORGS LÄN</t>
        </is>
      </c>
      <c r="G455" t="inlineStr">
        <is>
          <t>HUDIKSVALL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5844-2026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46222</v>
      </c>
      <c r="F456" t="inlineStr">
        <is>
          <t>GÄVLEBORGS LÄN</t>
        </is>
      </c>
      <c r="G456" t="inlineStr">
        <is>
          <t>HUDIKSVALL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45075-2025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45919</v>
      </c>
      <c r="E457" s="1" t="n">
        <v>46222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41254-2024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46222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45738-2025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46222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45962-2025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46222</v>
      </c>
      <c r="F460" t="inlineStr">
        <is>
          <t>GÄVLEBORGS LÄN</t>
        </is>
      </c>
      <c r="G460" t="inlineStr">
        <is>
          <t>HUDIKSVALL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6369-2026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46222</v>
      </c>
      <c r="F461" t="inlineStr">
        <is>
          <t>GÄVLEBORGS LÄN</t>
        </is>
      </c>
      <c r="G461" t="inlineStr">
        <is>
          <t>HUDIKSVALL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46222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2280-2022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44578</v>
      </c>
      <c r="E463" s="1" t="n">
        <v>46222</v>
      </c>
      <c r="F463" t="inlineStr">
        <is>
          <t>GÄVLEBORGS LÄN</t>
        </is>
      </c>
      <c r="G463" t="inlineStr">
        <is>
          <t>HUDIKSVALL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62674-2023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45271</v>
      </c>
      <c r="E464" s="1" t="n">
        <v>46222</v>
      </c>
      <c r="F464" t="inlineStr">
        <is>
          <t>GÄVLEBORGS LÄN</t>
        </is>
      </c>
      <c r="G464" t="inlineStr">
        <is>
          <t>HUDIKSVALL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7065-2023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44969</v>
      </c>
      <c r="E465" s="1" t="n">
        <v>46222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11432-2023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46222</v>
      </c>
      <c r="F466" t="inlineStr">
        <is>
          <t>GÄVLEBORGS LÄN</t>
        </is>
      </c>
      <c r="G466" t="inlineStr">
        <is>
          <t>HUDIKSVALL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45851-2025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46222</v>
      </c>
      <c r="F467" t="inlineStr">
        <is>
          <t>GÄVLEBORGS LÄN</t>
        </is>
      </c>
      <c r="G467" t="inlineStr">
        <is>
          <t>HUDIKSVALL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46076-2025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46222</v>
      </c>
      <c r="F468" t="inlineStr">
        <is>
          <t>GÄVLEBORGS LÄN</t>
        </is>
      </c>
      <c r="G468" t="inlineStr">
        <is>
          <t>HUDIKSVALL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34625-2025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45847</v>
      </c>
      <c r="E469" s="1" t="n">
        <v>46222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56754-2022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44894</v>
      </c>
      <c r="E470" s="1" t="n">
        <v>46222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45723-2025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46222</v>
      </c>
      <c r="F471" t="inlineStr">
        <is>
          <t>GÄVLEBORGS LÄN</t>
        </is>
      </c>
      <c r="G471" t="inlineStr">
        <is>
          <t>HUDIKSVALL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46622-2025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45926</v>
      </c>
      <c r="E472" s="1" t="n">
        <v>46222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35100-2025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45852</v>
      </c>
      <c r="E473" s="1" t="n">
        <v>46222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46260-2025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46222</v>
      </c>
      <c r="F474" t="inlineStr">
        <is>
          <t>GÄVLEBORGS LÄN</t>
        </is>
      </c>
      <c r="G474" t="inlineStr">
        <is>
          <t>HUDIKSVALL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46579-2025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46222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46222</v>
      </c>
      <c r="F476" t="inlineStr">
        <is>
          <t>GÄVLEBORGS LÄN</t>
        </is>
      </c>
      <c r="G476" t="inlineStr">
        <is>
          <t>HUDIKSVALL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45317</v>
      </c>
      <c r="E477" s="1" t="n">
        <v>46222</v>
      </c>
      <c r="F477" t="inlineStr">
        <is>
          <t>GÄVLEBORGS LÄN</t>
        </is>
      </c>
      <c r="G477" t="inlineStr">
        <is>
          <t>HUDIKSVALL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46257-2025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45925</v>
      </c>
      <c r="E478" s="1" t="n">
        <v>46222</v>
      </c>
      <c r="F478" t="inlineStr">
        <is>
          <t>GÄVLEBORGS LÄN</t>
        </is>
      </c>
      <c r="G478" t="inlineStr">
        <is>
          <t>HUDIKSVALL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60789-2023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46222</v>
      </c>
      <c r="F479" t="inlineStr">
        <is>
          <t>GÄVLEBORGS LÄN</t>
        </is>
      </c>
      <c r="G479" t="inlineStr">
        <is>
          <t>HUDIKSVALL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34836-2025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46222</v>
      </c>
      <c r="F480" t="inlineStr">
        <is>
          <t>GÄVLEBORGS LÄN</t>
        </is>
      </c>
      <c r="G480" t="inlineStr">
        <is>
          <t>HUDIKSVALL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34837-2025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46222</v>
      </c>
      <c r="F481" t="inlineStr">
        <is>
          <t>GÄVLEBORGS LÄN</t>
        </is>
      </c>
      <c r="G481" t="inlineStr">
        <is>
          <t>HUDIKSVALL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65363-2021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44515</v>
      </c>
      <c r="E482" s="1" t="n">
        <v>46222</v>
      </c>
      <c r="F482" t="inlineStr">
        <is>
          <t>GÄVLEBORGS LÄN</t>
        </is>
      </c>
      <c r="G482" t="inlineStr">
        <is>
          <t>HUDIKSVALL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35128-2025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45852</v>
      </c>
      <c r="E483" s="1" t="n">
        <v>46222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46676-2025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46222</v>
      </c>
      <c r="F484" t="inlineStr">
        <is>
          <t>GÄVLEBORGS LÄN</t>
        </is>
      </c>
      <c r="G484" t="inlineStr">
        <is>
          <t>HUDIKSVALL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46705-2025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46222</v>
      </c>
      <c r="F485" t="inlineStr">
        <is>
          <t>GÄVLEBORGS LÄN</t>
        </is>
      </c>
      <c r="G485" t="inlineStr">
        <is>
          <t>HUDIKSVALL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9392-2025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46222</v>
      </c>
      <c r="F486" t="inlineStr">
        <is>
          <t>GÄVLEBORGS LÄN</t>
        </is>
      </c>
      <c r="G486" t="inlineStr">
        <is>
          <t>HUDIKSVALL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46222</v>
      </c>
      <c r="F487" t="inlineStr">
        <is>
          <t>GÄVLEBORGS LÄN</t>
        </is>
      </c>
      <c r="G487" t="inlineStr">
        <is>
          <t>HUDIKSVALL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46222</v>
      </c>
      <c r="F488" t="inlineStr">
        <is>
          <t>GÄVLEBORGS LÄN</t>
        </is>
      </c>
      <c r="G488" t="inlineStr">
        <is>
          <t>HUDIKSVALL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45930</v>
      </c>
      <c r="E489" s="1" t="n">
        <v>46222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18.3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15985-2025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45749</v>
      </c>
      <c r="E490" s="1" t="n">
        <v>46222</v>
      </c>
      <c r="F490" t="inlineStr">
        <is>
          <t>GÄVLEBORGS LÄN</t>
        </is>
      </c>
      <c r="G490" t="inlineStr">
        <is>
          <t>HUDIKSVALL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46222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6591-2026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46222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46222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45294</v>
      </c>
      <c r="E494" s="1" t="n">
        <v>46222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47183-2025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46222</v>
      </c>
      <c r="F495" t="inlineStr">
        <is>
          <t>GÄVLEBORGS LÄN</t>
        </is>
      </c>
      <c r="G495" t="inlineStr">
        <is>
          <t>HUDIKSVALL</t>
        </is>
      </c>
      <c r="I495" t="n">
        <v>16.4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47185-2025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46222</v>
      </c>
      <c r="F496" t="inlineStr">
        <is>
          <t>GÄVLEBORGS LÄN</t>
        </is>
      </c>
      <c r="G496" t="inlineStr">
        <is>
          <t>HUDIKSVALL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46902-2025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46222</v>
      </c>
      <c r="F497" t="inlineStr">
        <is>
          <t>GÄVLEBORGS LÄN</t>
        </is>
      </c>
      <c r="G497" t="inlineStr">
        <is>
          <t>HUDIKSVALL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44720-2024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46222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6721-2026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46222</v>
      </c>
      <c r="F499" t="inlineStr">
        <is>
          <t>GÄVLEBORGS LÄN</t>
        </is>
      </c>
      <c r="G499" t="inlineStr">
        <is>
          <t>HUDIKSVALL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46992-2025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46222</v>
      </c>
      <c r="F500" t="inlineStr">
        <is>
          <t>GÄVLEBORGS LÄN</t>
        </is>
      </c>
      <c r="G500" t="inlineStr">
        <is>
          <t>HUDIKSVALL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6504-2026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46222</v>
      </c>
      <c r="F501" t="inlineStr">
        <is>
          <t>GÄVLEBORGS LÄN</t>
        </is>
      </c>
      <c r="G501" t="inlineStr">
        <is>
          <t>HUDIKSVALL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35433-2022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46222</v>
      </c>
      <c r="F502" t="inlineStr">
        <is>
          <t>GÄVLEBORGS LÄN</t>
        </is>
      </c>
      <c r="G502" t="inlineStr">
        <is>
          <t>HUDIKSVALL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6488-2026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46222</v>
      </c>
      <c r="F503" t="inlineStr">
        <is>
          <t>GÄVLEBORGS LÄN</t>
        </is>
      </c>
      <c r="G503" t="inlineStr">
        <is>
          <t>HUDIKSVALL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19887-2025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45771</v>
      </c>
      <c r="E504" s="1" t="n">
        <v>46222</v>
      </c>
      <c r="F504" t="inlineStr">
        <is>
          <t>GÄVLEBORGS LÄN</t>
        </is>
      </c>
      <c r="G504" t="inlineStr">
        <is>
          <t>HUDIKSVALL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6755-2026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46222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46222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46922-2025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46222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46222</v>
      </c>
      <c r="F508" t="inlineStr">
        <is>
          <t>GÄVLEBORGS LÄN</t>
        </is>
      </c>
      <c r="G508" t="inlineStr">
        <is>
          <t>HUDIKSVALL</t>
        </is>
      </c>
      <c r="I508" t="n">
        <v>14.2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47745-2025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46222</v>
      </c>
      <c r="F509" t="inlineStr">
        <is>
          <t>GÄVLEBORGS LÄN</t>
        </is>
      </c>
      <c r="G509" t="inlineStr">
        <is>
          <t>HUDIKSVALL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35825-2025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46222</v>
      </c>
      <c r="F510" t="inlineStr">
        <is>
          <t>GÄVLEBORGS LÄN</t>
        </is>
      </c>
      <c r="G510" t="inlineStr">
        <is>
          <t>HUDIKSVALL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35831-2025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45861</v>
      </c>
      <c r="E511" s="1" t="n">
        <v>46222</v>
      </c>
      <c r="F511" t="inlineStr">
        <is>
          <t>GÄVLEBORGS LÄN</t>
        </is>
      </c>
      <c r="G511" t="inlineStr">
        <is>
          <t>HUDIKSVALL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6730-2024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46222</v>
      </c>
      <c r="F512" t="inlineStr">
        <is>
          <t>GÄVLEBORGS LÄN</t>
        </is>
      </c>
      <c r="G512" t="inlineStr">
        <is>
          <t>HUDIKSVALL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52221-2024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46222</v>
      </c>
      <c r="F513" t="inlineStr">
        <is>
          <t>GÄVLEBORGS LÄN</t>
        </is>
      </c>
      <c r="G513" t="inlineStr">
        <is>
          <t>HUDIKSVALL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24119-2024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45456</v>
      </c>
      <c r="E514" s="1" t="n">
        <v>46222</v>
      </c>
      <c r="F514" t="inlineStr">
        <is>
          <t>GÄVLEBORGS LÄN</t>
        </is>
      </c>
      <c r="G514" t="inlineStr">
        <is>
          <t>HUDIKSVALL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7301-2026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46222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6849-2026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46222</v>
      </c>
      <c r="F516" t="inlineStr">
        <is>
          <t>GÄVLEBORGS LÄN</t>
        </is>
      </c>
      <c r="G516" t="inlineStr">
        <is>
          <t>HUDIKSVALL</t>
        </is>
      </c>
      <c r="H516" t="inlineStr">
        <is>
          <t>Naturvårdsverket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35882-2025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46222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56805-2022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46222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46222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18926-2025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45764</v>
      </c>
      <c r="E520" s="1" t="n">
        <v>46222</v>
      </c>
      <c r="F520" t="inlineStr">
        <is>
          <t>GÄVLEBORGS LÄN</t>
        </is>
      </c>
      <c r="G520" t="inlineStr">
        <is>
          <t>HUDIKSVALL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44511</v>
      </c>
      <c r="E521" s="1" t="n">
        <v>46222</v>
      </c>
      <c r="F521" t="inlineStr">
        <is>
          <t>GÄVLEBORGS LÄN</t>
        </is>
      </c>
      <c r="G521" t="inlineStr">
        <is>
          <t>HUDIKSVALL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45663</v>
      </c>
      <c r="E522" s="1" t="n">
        <v>46222</v>
      </c>
      <c r="F522" t="inlineStr">
        <is>
          <t>GÄVLEBORGS LÄN</t>
        </is>
      </c>
      <c r="G522" t="inlineStr">
        <is>
          <t>HUDIKSVALL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48154-2025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45933</v>
      </c>
      <c r="E523" s="1" t="n">
        <v>46222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46222</v>
      </c>
      <c r="F524" t="inlineStr">
        <is>
          <t>GÄVLEBORGS LÄN</t>
        </is>
      </c>
      <c r="G524" t="inlineStr">
        <is>
          <t>HUDIKSVALL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7058-2026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46222</v>
      </c>
      <c r="F525" t="inlineStr">
        <is>
          <t>GÄVLEBORGS LÄN</t>
        </is>
      </c>
      <c r="G525" t="inlineStr">
        <is>
          <t>HUDIKSVALL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36200-2025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46222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36194-2025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46222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36418-2025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45868</v>
      </c>
      <c r="E528" s="1" t="n">
        <v>46222</v>
      </c>
      <c r="F528" t="inlineStr">
        <is>
          <t>GÄVLEBORGS LÄN</t>
        </is>
      </c>
      <c r="G528" t="inlineStr">
        <is>
          <t>HUDIKSVALL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36159-2025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45867</v>
      </c>
      <c r="E529" s="1" t="n">
        <v>46222</v>
      </c>
      <c r="F529" t="inlineStr">
        <is>
          <t>GÄVLEBORGS LÄN</t>
        </is>
      </c>
      <c r="G529" t="inlineStr">
        <is>
          <t>HUDIKSVALL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48380-2025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46222</v>
      </c>
      <c r="F530" t="inlineStr">
        <is>
          <t>GÄVLEBORGS LÄN</t>
        </is>
      </c>
      <c r="G530" t="inlineStr">
        <is>
          <t>HUDIKSVALL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35303-2023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45146</v>
      </c>
      <c r="E531" s="1" t="n">
        <v>46222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46222</v>
      </c>
      <c r="F532" t="inlineStr">
        <is>
          <t>GÄVLEBORGS LÄN</t>
        </is>
      </c>
      <c r="G532" t="inlineStr">
        <is>
          <t>HUDIKSVALL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36647-2025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45872</v>
      </c>
      <c r="E533" s="1" t="n">
        <v>46222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45096</v>
      </c>
      <c r="E534" s="1" t="n">
        <v>46222</v>
      </c>
      <c r="F534" t="inlineStr">
        <is>
          <t>GÄVLEBORGS LÄN</t>
        </is>
      </c>
      <c r="G534" t="inlineStr">
        <is>
          <t>HUDIKSVALL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27467-2024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46222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8.6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46222</v>
      </c>
      <c r="F536" t="inlineStr">
        <is>
          <t>GÄVLEBORGS LÄN</t>
        </is>
      </c>
      <c r="G536" t="inlineStr">
        <is>
          <t>HUDIKSVALL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13039-2023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46222</v>
      </c>
      <c r="F537" t="inlineStr">
        <is>
          <t>GÄVLEBORGS LÄN</t>
        </is>
      </c>
      <c r="G537" t="inlineStr">
        <is>
          <t>HUDIKSVALL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46222</v>
      </c>
      <c r="F538" t="inlineStr">
        <is>
          <t>GÄVLEBORGS LÄN</t>
        </is>
      </c>
      <c r="G538" t="inlineStr">
        <is>
          <t>HUDIKSVALL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46222</v>
      </c>
      <c r="F539" t="inlineStr">
        <is>
          <t>GÄVLEBORGS LÄN</t>
        </is>
      </c>
      <c r="G539" t="inlineStr">
        <is>
          <t>HUDIKSVALL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7137-2026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46222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46222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46222</v>
      </c>
      <c r="F542" t="inlineStr">
        <is>
          <t>GÄVLEBORGS LÄN</t>
        </is>
      </c>
      <c r="G542" t="inlineStr">
        <is>
          <t>HUDIKSVALL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37213-2025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45875</v>
      </c>
      <c r="E543" s="1" t="n">
        <v>46222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50320-2025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46222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37082-2025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46222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7085-2026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46222</v>
      </c>
      <c r="F546" t="inlineStr">
        <is>
          <t>GÄVLEBORGS LÄN</t>
        </is>
      </c>
      <c r="G546" t="inlineStr">
        <is>
          <t>HUDIKSVALL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46222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45875</v>
      </c>
      <c r="E548" s="1" t="n">
        <v>46222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50321-2025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46222</v>
      </c>
      <c r="F549" t="inlineStr">
        <is>
          <t>GÄVLEBORGS LÄN</t>
        </is>
      </c>
      <c r="G549" t="inlineStr">
        <is>
          <t>HUDIKSVALL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50331-2025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45944</v>
      </c>
      <c r="E550" s="1" t="n">
        <v>46222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52986-2024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46222</v>
      </c>
      <c r="F551" t="inlineStr">
        <is>
          <t>GÄVLEBORGS LÄN</t>
        </is>
      </c>
      <c r="G551" t="inlineStr">
        <is>
          <t>HUDIKSVALL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37083-2025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46222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45944</v>
      </c>
      <c r="E553" s="1" t="n">
        <v>46222</v>
      </c>
      <c r="F553" t="inlineStr">
        <is>
          <t>GÄVLEBORGS LÄN</t>
        </is>
      </c>
      <c r="G553" t="inlineStr">
        <is>
          <t>HUDIKSVALL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45876</v>
      </c>
      <c r="E554" s="1" t="n">
        <v>46222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50313-2025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46222</v>
      </c>
      <c r="F555" t="inlineStr">
        <is>
          <t>GÄVLEBORGS LÄN</t>
        </is>
      </c>
      <c r="G555" t="inlineStr">
        <is>
          <t>HUDIKSVALL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37645-2025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46222</v>
      </c>
      <c r="F556" t="inlineStr">
        <is>
          <t>GÄVLEBORGS LÄN</t>
        </is>
      </c>
      <c r="G556" t="inlineStr">
        <is>
          <t>HUDIKSVALL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50318-2025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46222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46222</v>
      </c>
      <c r="F558" t="inlineStr">
        <is>
          <t>GÄVLEBORGS LÄN</t>
        </is>
      </c>
      <c r="G558" t="inlineStr">
        <is>
          <t>HUDIKSVALL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37701-2025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45880</v>
      </c>
      <c r="E559" s="1" t="n">
        <v>46222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36086-2024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46222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41555-2024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46222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46222</v>
      </c>
      <c r="F562" t="inlineStr">
        <is>
          <t>GÄVLEBORGS LÄN</t>
        </is>
      </c>
      <c r="G562" t="inlineStr">
        <is>
          <t>HUDIKSVALL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7379-2026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46222</v>
      </c>
      <c r="F563" t="inlineStr">
        <is>
          <t>GÄVLEBORGS LÄN</t>
        </is>
      </c>
      <c r="G563" t="inlineStr">
        <is>
          <t>HUDIKSVALL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37616-2025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46222</v>
      </c>
      <c r="F564" t="inlineStr">
        <is>
          <t>GÄVLEBORGS LÄN</t>
        </is>
      </c>
      <c r="G564" t="inlineStr">
        <is>
          <t>HUDIKSVALL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46222</v>
      </c>
      <c r="F565" t="inlineStr">
        <is>
          <t>GÄVLEBORGS LÄN</t>
        </is>
      </c>
      <c r="G565" t="inlineStr">
        <is>
          <t>HUDIKSVALL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46222</v>
      </c>
      <c r="F566" t="inlineStr">
        <is>
          <t>GÄVLEBORGS LÄN</t>
        </is>
      </c>
      <c r="G566" t="inlineStr">
        <is>
          <t>HUDIKSVALL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15964-2025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45749</v>
      </c>
      <c r="E567" s="1" t="n">
        <v>46222</v>
      </c>
      <c r="F567" t="inlineStr">
        <is>
          <t>GÄVLEBORGS LÄN</t>
        </is>
      </c>
      <c r="G567" t="inlineStr">
        <is>
          <t>HUDIKSVALL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37804-2025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45881</v>
      </c>
      <c r="E568" s="1" t="n">
        <v>46222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46222</v>
      </c>
      <c r="F569" t="inlineStr">
        <is>
          <t>GÄVLEBORGS LÄN</t>
        </is>
      </c>
      <c r="G569" t="inlineStr">
        <is>
          <t>HUDIKSVALL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45697</v>
      </c>
      <c r="E570" s="1" t="n">
        <v>46222</v>
      </c>
      <c r="F570" t="inlineStr">
        <is>
          <t>GÄVLEBORGS LÄN</t>
        </is>
      </c>
      <c r="G570" t="inlineStr">
        <is>
          <t>HUDIKSVALL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50557-2025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45944</v>
      </c>
      <c r="E571" s="1" t="n">
        <v>46222</v>
      </c>
      <c r="F571" t="inlineStr">
        <is>
          <t>GÄVLEBORGS LÄN</t>
        </is>
      </c>
      <c r="G571" t="inlineStr">
        <is>
          <t>HUDIKSVALL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38077-2025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46222</v>
      </c>
      <c r="F572" t="inlineStr">
        <is>
          <t>GÄVLEBORGS LÄN</t>
        </is>
      </c>
      <c r="G572" t="inlineStr">
        <is>
          <t>HUDIKSVALL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46222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60872-2024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45644</v>
      </c>
      <c r="E574" s="1" t="n">
        <v>46222</v>
      </c>
      <c r="F574" t="inlineStr">
        <is>
          <t>GÄVLEBORGS LÄN</t>
        </is>
      </c>
      <c r="G574" t="inlineStr">
        <is>
          <t>HUDIKSVALL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18991-2025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46222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46222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38633-2025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45884</v>
      </c>
      <c r="E577" s="1" t="n">
        <v>46222</v>
      </c>
      <c r="F577" t="inlineStr">
        <is>
          <t>GÄVLEBORGS LÄN</t>
        </is>
      </c>
      <c r="G577" t="inlineStr">
        <is>
          <t>HUDIKSVALL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7781-2026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46222</v>
      </c>
      <c r="F578" t="inlineStr">
        <is>
          <t>GÄVLEBORGS LÄN</t>
        </is>
      </c>
      <c r="G578" t="inlineStr">
        <is>
          <t>HUDIKSVALL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44229-2024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45573</v>
      </c>
      <c r="E579" s="1" t="n">
        <v>46222</v>
      </c>
      <c r="F579" t="inlineStr">
        <is>
          <t>GÄVLEBORGS LÄN</t>
        </is>
      </c>
      <c r="G579" t="inlineStr">
        <is>
          <t>HUDIKSVALL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51329-2025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46222</v>
      </c>
      <c r="F580" t="inlineStr">
        <is>
          <t>GÄVLEBORGS LÄN</t>
        </is>
      </c>
      <c r="G580" t="inlineStr">
        <is>
          <t>HUDIKSVALL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51534-2025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45950</v>
      </c>
      <c r="E581" s="1" t="n">
        <v>46222</v>
      </c>
      <c r="F581" t="inlineStr">
        <is>
          <t>GÄVLEBORGS LÄN</t>
        </is>
      </c>
      <c r="G581" t="inlineStr">
        <is>
          <t>HUDIKSVALL</t>
        </is>
      </c>
      <c r="I581" t="n">
        <v>15.2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7651-2026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46222</v>
      </c>
      <c r="F582" t="inlineStr">
        <is>
          <t>GÄVLEBORGS LÄN</t>
        </is>
      </c>
      <c r="G582" t="inlineStr">
        <is>
          <t>HUDIKSVALL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7048-2026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46222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46222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8214-2026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46222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43929-2023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46222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51765-2025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45951</v>
      </c>
      <c r="E587" s="1" t="n">
        <v>46222</v>
      </c>
      <c r="F587" t="inlineStr">
        <is>
          <t>GÄVLEBORGS LÄN</t>
        </is>
      </c>
      <c r="G587" t="inlineStr">
        <is>
          <t>HUDIKSVALL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51766-2025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45951</v>
      </c>
      <c r="E588" s="1" t="n">
        <v>46222</v>
      </c>
      <c r="F588" t="inlineStr">
        <is>
          <t>GÄVLEBORGS LÄN</t>
        </is>
      </c>
      <c r="G588" t="inlineStr">
        <is>
          <t>HUDIKSVALL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51618-2025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46222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8307-2026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46222</v>
      </c>
      <c r="F590" t="inlineStr">
        <is>
          <t>GÄVLEBORGS LÄN</t>
        </is>
      </c>
      <c r="G590" t="inlineStr">
        <is>
          <t>HUDIKSVALL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51877-2025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46222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8001-2026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46222</v>
      </c>
      <c r="F592" t="inlineStr">
        <is>
          <t>GÄVLEBORGS LÄN</t>
        </is>
      </c>
      <c r="G592" t="inlineStr">
        <is>
          <t>HUDIKSVALL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46222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7976-2026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46222</v>
      </c>
      <c r="F594" t="inlineStr">
        <is>
          <t>GÄVLEBORGS LÄN</t>
        </is>
      </c>
      <c r="G594" t="inlineStr">
        <is>
          <t>HUDIKSVALL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35679-2023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46222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51548-2025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45950</v>
      </c>
      <c r="E596" s="1" t="n">
        <v>46222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51897-2025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46222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46222</v>
      </c>
      <c r="F598" t="inlineStr">
        <is>
          <t>GÄVLEBORGS LÄN</t>
        </is>
      </c>
      <c r="G598" t="inlineStr">
        <is>
          <t>HUDIKSVALL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46222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46222</v>
      </c>
      <c r="F600" t="inlineStr">
        <is>
          <t>GÄVLEBORGS LÄN</t>
        </is>
      </c>
      <c r="G600" t="inlineStr">
        <is>
          <t>HUDIKSVALL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8370-2026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46064</v>
      </c>
      <c r="E601" s="1" t="n">
        <v>46222</v>
      </c>
      <c r="F601" t="inlineStr">
        <is>
          <t>GÄVLEBORGS LÄN</t>
        </is>
      </c>
      <c r="G601" t="inlineStr">
        <is>
          <t>HUDIKSVALL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41034-2021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44421</v>
      </c>
      <c r="E602" s="1" t="n">
        <v>46222</v>
      </c>
      <c r="F602" t="inlineStr">
        <is>
          <t>GÄVLEBORGS LÄN</t>
        </is>
      </c>
      <c r="G602" t="inlineStr">
        <is>
          <t>HUDIKSVALL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35268-2022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44798</v>
      </c>
      <c r="E603" s="1" t="n">
        <v>46222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40136-2023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46222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8685-2026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46222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8561-2026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46222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8512-2026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46222</v>
      </c>
      <c r="F607" t="inlineStr">
        <is>
          <t>GÄVLEBORGS LÄN</t>
        </is>
      </c>
      <c r="G607" t="inlineStr">
        <is>
          <t>HUDIKSVALL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46222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45666</v>
      </c>
      <c r="E609" s="1" t="n">
        <v>46222</v>
      </c>
      <c r="F609" t="inlineStr">
        <is>
          <t>GÄVLEBORGS LÄN</t>
        </is>
      </c>
      <c r="G609" t="inlineStr">
        <is>
          <t>HUDIKSVALL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8480-2026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46222</v>
      </c>
      <c r="F610" t="inlineStr">
        <is>
          <t>GÄVLEBORGS LÄN</t>
        </is>
      </c>
      <c r="G610" t="inlineStr">
        <is>
          <t>HUDIKSVALL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8440-2026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46222</v>
      </c>
      <c r="F611" t="inlineStr">
        <is>
          <t>GÄVLEBORGS LÄN</t>
        </is>
      </c>
      <c r="G611" t="inlineStr">
        <is>
          <t>HUDIKSVALL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52850-2025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46222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8775-2026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46222</v>
      </c>
      <c r="F613" t="inlineStr">
        <is>
          <t>GÄVLEBORGS LÄN</t>
        </is>
      </c>
      <c r="G613" t="inlineStr">
        <is>
          <t>HUDIKSVALL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8763-2026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46222</v>
      </c>
      <c r="F614" t="inlineStr">
        <is>
          <t>GÄVLEBORGS LÄN</t>
        </is>
      </c>
      <c r="G614" t="inlineStr">
        <is>
          <t>HUDIKSVALL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46222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45957</v>
      </c>
      <c r="E616" s="1" t="n">
        <v>46222</v>
      </c>
      <c r="F616" t="inlineStr">
        <is>
          <t>GÄVLEBORGS LÄN</t>
        </is>
      </c>
      <c r="G616" t="inlineStr">
        <is>
          <t>HUDIKSVALL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52862-2025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45957</v>
      </c>
      <c r="E617" s="1" t="n">
        <v>46222</v>
      </c>
      <c r="F617" t="inlineStr">
        <is>
          <t>GÄVLEBORGS LÄN</t>
        </is>
      </c>
      <c r="G617" t="inlineStr">
        <is>
          <t>HUDIKSVALL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43469-2023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45184</v>
      </c>
      <c r="E618" s="1" t="n">
        <v>46222</v>
      </c>
      <c r="F618" t="inlineStr">
        <is>
          <t>GÄVLEBORGS LÄN</t>
        </is>
      </c>
      <c r="G618" t="inlineStr">
        <is>
          <t>HUDIKSVALL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53278-2025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45958</v>
      </c>
      <c r="E619" s="1" t="n">
        <v>46222</v>
      </c>
      <c r="F619" t="inlineStr">
        <is>
          <t>GÄVLEBORGS LÄN</t>
        </is>
      </c>
      <c r="G619" t="inlineStr">
        <is>
          <t>HUDIKSVALL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53755-2025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45960</v>
      </c>
      <c r="E620" s="1" t="n">
        <v>46222</v>
      </c>
      <c r="F620" t="inlineStr">
        <is>
          <t>GÄVLEBORGS LÄN</t>
        </is>
      </c>
      <c r="G620" t="inlineStr">
        <is>
          <t>HUDIKSVALL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35593-2023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46222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24885-2023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45085</v>
      </c>
      <c r="E622" s="1" t="n">
        <v>46222</v>
      </c>
      <c r="F622" t="inlineStr">
        <is>
          <t>GÄVLEBORGS LÄN</t>
        </is>
      </c>
      <c r="G622" t="inlineStr">
        <is>
          <t>HUDIKSVALL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9296-2026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46222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Sveaskog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9560-2026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46222</v>
      </c>
      <c r="F624" t="inlineStr">
        <is>
          <t>GÄVLEBORGS LÄN</t>
        </is>
      </c>
      <c r="G624" t="inlineStr">
        <is>
          <t>HUDIKSVALL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9800-2026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46222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9585-2026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46222</v>
      </c>
      <c r="F626" t="inlineStr">
        <is>
          <t>GÄVLEBORGS LÄN</t>
        </is>
      </c>
      <c r="G626" t="inlineStr">
        <is>
          <t>HUDIKSVALL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46222</v>
      </c>
      <c r="F627" t="inlineStr">
        <is>
          <t>GÄVLEBORGS LÄN</t>
        </is>
      </c>
      <c r="G627" t="inlineStr">
        <is>
          <t>HUDIKSVALL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45705</v>
      </c>
      <c r="E628" s="1" t="n">
        <v>46222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44084-2023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46222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9581-2026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46222</v>
      </c>
      <c r="F630" t="inlineStr">
        <is>
          <t>GÄVLEBORGS LÄN</t>
        </is>
      </c>
      <c r="G630" t="inlineStr">
        <is>
          <t>HUDIKSVALL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9583-2026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46222</v>
      </c>
      <c r="F631" t="inlineStr">
        <is>
          <t>GÄVLEBORGS LÄN</t>
        </is>
      </c>
      <c r="G631" t="inlineStr">
        <is>
          <t>HUDIKSVALL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46222</v>
      </c>
      <c r="F632" t="inlineStr">
        <is>
          <t>GÄVLEBORGS LÄN</t>
        </is>
      </c>
      <c r="G632" t="inlineStr">
        <is>
          <t>HUDIKSVALL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8732-2023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44978</v>
      </c>
      <c r="E633" s="1" t="n">
        <v>46222</v>
      </c>
      <c r="F633" t="inlineStr">
        <is>
          <t>GÄVLEBORGS LÄN</t>
        </is>
      </c>
      <c r="G633" t="inlineStr">
        <is>
          <t>HUDIKSVALL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9396-2026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46222</v>
      </c>
      <c r="F634" t="inlineStr">
        <is>
          <t>GÄVLEBORGS LÄN</t>
        </is>
      </c>
      <c r="G634" t="inlineStr">
        <is>
          <t>HUDIKSVALL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21772-2023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45065</v>
      </c>
      <c r="E635" s="1" t="n">
        <v>46222</v>
      </c>
      <c r="F635" t="inlineStr">
        <is>
          <t>GÄVLEBORGS LÄN</t>
        </is>
      </c>
      <c r="G635" t="inlineStr">
        <is>
          <t>HUDIKSVALL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9763-2026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46222</v>
      </c>
      <c r="F636" t="inlineStr">
        <is>
          <t>GÄVLEBORGS LÄN</t>
        </is>
      </c>
      <c r="G636" t="inlineStr">
        <is>
          <t>HUDIKSVALL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54515-2025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45965</v>
      </c>
      <c r="E637" s="1" t="n">
        <v>46222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10152-2026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46222</v>
      </c>
      <c r="F638" t="inlineStr">
        <is>
          <t>GÄVLEBORGS LÄN</t>
        </is>
      </c>
      <c r="G638" t="inlineStr">
        <is>
          <t>HUDIKSVALL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35302-2024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45530</v>
      </c>
      <c r="E639" s="1" t="n">
        <v>46222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10059-2026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46073</v>
      </c>
      <c r="E640" s="1" t="n">
        <v>46222</v>
      </c>
      <c r="F640" t="inlineStr">
        <is>
          <t>GÄVLEBORGS LÄN</t>
        </is>
      </c>
      <c r="G640" t="inlineStr">
        <is>
          <t>HUDIKSVALL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10374-2026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46222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17206-2025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45756</v>
      </c>
      <c r="E642" s="1" t="n">
        <v>46222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2906-2025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46222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46222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10073-2026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46222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10010-2026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46222</v>
      </c>
      <c r="F646" t="inlineStr">
        <is>
          <t>GÄVLEBORGS LÄN</t>
        </is>
      </c>
      <c r="G646" t="inlineStr">
        <is>
          <t>HUDIKSVALL</t>
        </is>
      </c>
      <c r="I646" t="n">
        <v>18.2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46222</v>
      </c>
      <c r="F647" t="inlineStr">
        <is>
          <t>GÄVLEBORGS LÄN</t>
        </is>
      </c>
      <c r="G647" t="inlineStr">
        <is>
          <t>HUDIKSVALL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45966</v>
      </c>
      <c r="E648" s="1" t="n">
        <v>46222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10308-2026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46076</v>
      </c>
      <c r="E649" s="1" t="n">
        <v>46222</v>
      </c>
      <c r="F649" t="inlineStr">
        <is>
          <t>GÄVLEBORGS LÄN</t>
        </is>
      </c>
      <c r="G649" t="inlineStr">
        <is>
          <t>HUDIKSVALL</t>
        </is>
      </c>
      <c r="H649" t="inlineStr">
        <is>
          <t>Sveaskog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46222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46073</v>
      </c>
      <c r="E651" s="1" t="n">
        <v>46222</v>
      </c>
      <c r="F651" t="inlineStr">
        <is>
          <t>GÄVLEBORGS LÄN</t>
        </is>
      </c>
      <c r="G651" t="inlineStr">
        <is>
          <t>HUDIKSVALL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30116-2024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45489</v>
      </c>
      <c r="E652" s="1" t="n">
        <v>46222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10235-2026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46222</v>
      </c>
      <c r="F653" t="inlineStr">
        <is>
          <t>GÄVLEBORGS LÄN</t>
        </is>
      </c>
      <c r="G653" t="inlineStr">
        <is>
          <t>HUDIKSVALL</t>
        </is>
      </c>
      <c r="I653" t="n">
        <v>7.7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19894-2025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45771</v>
      </c>
      <c r="E654" s="1" t="n">
        <v>46222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41735-2023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46222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46222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9462-2025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46222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24.3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10534-2026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46077</v>
      </c>
      <c r="E658" s="1" t="n">
        <v>46222</v>
      </c>
      <c r="F658" t="inlineStr">
        <is>
          <t>GÄVLEBORGS LÄN</t>
        </is>
      </c>
      <c r="G658" t="inlineStr">
        <is>
          <t>HUDIKSVALL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5861-2025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45695</v>
      </c>
      <c r="E659" s="1" t="n">
        <v>46222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55395-2025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46222</v>
      </c>
      <c r="F660" t="inlineStr">
        <is>
          <t>GÄVLEBORGS LÄN</t>
        </is>
      </c>
      <c r="G660" t="inlineStr">
        <is>
          <t>HUDIKSVALL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55404-2025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45971</v>
      </c>
      <c r="E661" s="1" t="n">
        <v>46222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55375-2025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46222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55330-2025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46222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55370-2025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45971</v>
      </c>
      <c r="E664" s="1" t="n">
        <v>46222</v>
      </c>
      <c r="F664" t="inlineStr">
        <is>
          <t>GÄVLEBORGS LÄN</t>
        </is>
      </c>
      <c r="G664" t="inlineStr">
        <is>
          <t>HUDIKSVALL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55340-2025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46222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68342-2021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44528</v>
      </c>
      <c r="E666" s="1" t="n">
        <v>46222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68659-2021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46222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2754-2025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46222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55481-2025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46222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56244-2025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46222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46072</v>
      </c>
      <c r="E671" s="1" t="n">
        <v>46222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56250-2025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46222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60356-2024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45643</v>
      </c>
      <c r="E673" s="1" t="n">
        <v>46222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14771-2025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45742</v>
      </c>
      <c r="E674" s="1" t="n">
        <v>46222</v>
      </c>
      <c r="F674" t="inlineStr">
        <is>
          <t>GÄVLEBORGS LÄN</t>
        </is>
      </c>
      <c r="G674" t="inlineStr">
        <is>
          <t>HUDIKSVALL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23187-2023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45075</v>
      </c>
      <c r="E675" s="1" t="n">
        <v>46222</v>
      </c>
      <c r="F675" t="inlineStr">
        <is>
          <t>GÄVLEBORGS LÄN</t>
        </is>
      </c>
      <c r="G675" t="inlineStr">
        <is>
          <t>HUDIKSVALL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10839-2026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46078</v>
      </c>
      <c r="E676" s="1" t="n">
        <v>46222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45973</v>
      </c>
      <c r="E677" s="1" t="n">
        <v>46222</v>
      </c>
      <c r="F677" t="inlineStr">
        <is>
          <t>GÄVLEBORGS LÄN</t>
        </is>
      </c>
      <c r="G677" t="inlineStr">
        <is>
          <t>HUDIKSVALL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56151-2025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45974</v>
      </c>
      <c r="E678" s="1" t="n">
        <v>46222</v>
      </c>
      <c r="F678" t="inlineStr">
        <is>
          <t>GÄVLEBORGS LÄN</t>
        </is>
      </c>
      <c r="G678" t="inlineStr">
        <is>
          <t>HUDIKSVALL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45705</v>
      </c>
      <c r="E679" s="1" t="n">
        <v>46222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63414-2023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45274</v>
      </c>
      <c r="E680" s="1" t="n">
        <v>46222</v>
      </c>
      <c r="F680" t="inlineStr">
        <is>
          <t>GÄVLEBORGS LÄN</t>
        </is>
      </c>
      <c r="G680" t="inlineStr">
        <is>
          <t>HUDIKSVALL</t>
        </is>
      </c>
      <c r="I680" t="n">
        <v>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56694-2025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45976</v>
      </c>
      <c r="E681" s="1" t="n">
        <v>46222</v>
      </c>
      <c r="F681" t="inlineStr">
        <is>
          <t>GÄVLEBORGS LÄN</t>
        </is>
      </c>
      <c r="G681" t="inlineStr">
        <is>
          <t>HUDIKSVALL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56637-2025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46222</v>
      </c>
      <c r="F682" t="inlineStr">
        <is>
          <t>GÄVLEBORGS LÄN</t>
        </is>
      </c>
      <c r="G682" t="inlineStr">
        <is>
          <t>HUDIKSVALL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56820-2025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46222</v>
      </c>
      <c r="F683" t="inlineStr">
        <is>
          <t>GÄVLEBORGS LÄN</t>
        </is>
      </c>
      <c r="G683" t="inlineStr">
        <is>
          <t>HUDIKSVALL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47059-2024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45586</v>
      </c>
      <c r="E684" s="1" t="n">
        <v>46222</v>
      </c>
      <c r="F684" t="inlineStr">
        <is>
          <t>GÄVLEBORGS LÄN</t>
        </is>
      </c>
      <c r="G684" t="inlineStr">
        <is>
          <t>HUDIKSVALL</t>
        </is>
      </c>
      <c r="I684" t="n">
        <v>18.2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56663-2025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45975</v>
      </c>
      <c r="E685" s="1" t="n">
        <v>46222</v>
      </c>
      <c r="F685" t="inlineStr">
        <is>
          <t>GÄVLEBORGS LÄN</t>
        </is>
      </c>
      <c r="G685" t="inlineStr">
        <is>
          <t>HUDIKSVALL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56818-2025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45978</v>
      </c>
      <c r="E686" s="1" t="n">
        <v>46222</v>
      </c>
      <c r="F686" t="inlineStr">
        <is>
          <t>GÄVLEBORGS LÄN</t>
        </is>
      </c>
      <c r="G686" t="inlineStr">
        <is>
          <t>HUDIKSVALL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56834-2025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46222</v>
      </c>
      <c r="F687" t="inlineStr">
        <is>
          <t>GÄVLEBORGS LÄN</t>
        </is>
      </c>
      <c r="G687" t="inlineStr">
        <is>
          <t>HUDIKSVALL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56698-2025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46222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18657-2023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45043</v>
      </c>
      <c r="E689" s="1" t="n">
        <v>46222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56695-2025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45976</v>
      </c>
      <c r="E690" s="1" t="n">
        <v>46222</v>
      </c>
      <c r="F690" t="inlineStr">
        <is>
          <t>GÄVLEBORGS LÄN</t>
        </is>
      </c>
      <c r="G690" t="inlineStr">
        <is>
          <t>HUDIKSVALL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57210-2025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46222</v>
      </c>
      <c r="F691" t="inlineStr">
        <is>
          <t>GÄVLEBORGS LÄN</t>
        </is>
      </c>
      <c r="G691" t="inlineStr">
        <is>
          <t>HUDIKSVALL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57213-2025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45979</v>
      </c>
      <c r="E692" s="1" t="n">
        <v>46222</v>
      </c>
      <c r="F692" t="inlineStr">
        <is>
          <t>GÄVLEBORGS LÄN</t>
        </is>
      </c>
      <c r="G692" t="inlineStr">
        <is>
          <t>HUDIKSVALL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57191-2025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45979</v>
      </c>
      <c r="E693" s="1" t="n">
        <v>46222</v>
      </c>
      <c r="F693" t="inlineStr">
        <is>
          <t>GÄVLEBORGS LÄN</t>
        </is>
      </c>
      <c r="G693" t="inlineStr">
        <is>
          <t>HUDIKSVALL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3328-2026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46041</v>
      </c>
      <c r="E694" s="1" t="n">
        <v>46222</v>
      </c>
      <c r="F694" t="inlineStr">
        <is>
          <t>GÄVLEBORGS LÄN</t>
        </is>
      </c>
      <c r="G694" t="inlineStr">
        <is>
          <t>HUDIKSVALL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9546-2025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45715</v>
      </c>
      <c r="E695" s="1" t="n">
        <v>46222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46222</v>
      </c>
      <c r="F696" t="inlineStr">
        <is>
          <t>GÄVLEBORGS LÄN</t>
        </is>
      </c>
      <c r="G696" t="inlineStr">
        <is>
          <t>HUDIKSVALL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57322-2025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45980</v>
      </c>
      <c r="E697" s="1" t="n">
        <v>46222</v>
      </c>
      <c r="F697" t="inlineStr">
        <is>
          <t>GÄVLEBORGS LÄN</t>
        </is>
      </c>
      <c r="G697" t="inlineStr">
        <is>
          <t>HUDIKSVALL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35805-2024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46222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11605-2026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46222</v>
      </c>
      <c r="F699" t="inlineStr">
        <is>
          <t>GÄVLEBORGS LÄN</t>
        </is>
      </c>
      <c r="G699" t="inlineStr">
        <is>
          <t>HUDIKSVALL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22136-2022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44712</v>
      </c>
      <c r="E700" s="1" t="n">
        <v>46222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42128-2023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45177</v>
      </c>
      <c r="E701" s="1" t="n">
        <v>46222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22261-2024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46222</v>
      </c>
      <c r="F702" t="inlineStr">
        <is>
          <t>GÄVLEBORGS LÄN</t>
        </is>
      </c>
      <c r="G702" t="inlineStr">
        <is>
          <t>HUDIKSVALL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2418-2024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46222</v>
      </c>
      <c r="F703" t="inlineStr">
        <is>
          <t>GÄVLEBORGS LÄN</t>
        </is>
      </c>
      <c r="G703" t="inlineStr">
        <is>
          <t>HUDIKSVALL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57999-2025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45982</v>
      </c>
      <c r="E704" s="1" t="n">
        <v>46222</v>
      </c>
      <c r="F704" t="inlineStr">
        <is>
          <t>GÄVLEBORGS LÄN</t>
        </is>
      </c>
      <c r="G704" t="inlineStr">
        <is>
          <t>HUDIKSVALL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21229-2025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45779</v>
      </c>
      <c r="E705" s="1" t="n">
        <v>46222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11778-2026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46084</v>
      </c>
      <c r="E706" s="1" t="n">
        <v>46222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58035-2025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45982</v>
      </c>
      <c r="E707" s="1" t="n">
        <v>46222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58038-2025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46222</v>
      </c>
      <c r="F708" t="inlineStr">
        <is>
          <t>GÄVLEBORGS LÄN</t>
        </is>
      </c>
      <c r="G708" t="inlineStr">
        <is>
          <t>HUDIKSVALL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12127-2026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46086</v>
      </c>
      <c r="E709" s="1" t="n">
        <v>46222</v>
      </c>
      <c r="F709" t="inlineStr">
        <is>
          <t>GÄVLEBORGS LÄN</t>
        </is>
      </c>
      <c r="G709" t="inlineStr">
        <is>
          <t>HUDIKSVALL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58562-2025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46222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58782-2025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46222</v>
      </c>
      <c r="F711" t="inlineStr">
        <is>
          <t>GÄVLEBORGS LÄN</t>
        </is>
      </c>
      <c r="G711" t="inlineStr">
        <is>
          <t>HUDIKSVALL</t>
        </is>
      </c>
      <c r="I711" t="n">
        <v>8.9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58481-2025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46222</v>
      </c>
      <c r="F712" t="inlineStr">
        <is>
          <t>GÄVLEBORGS LÄN</t>
        </is>
      </c>
      <c r="G712" t="inlineStr">
        <is>
          <t>HUDIKSVALL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58529-2025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46222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12252-2026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46222</v>
      </c>
      <c r="F714" t="inlineStr">
        <is>
          <t>GÄVLEBORGS LÄN</t>
        </is>
      </c>
      <c r="G714" t="inlineStr">
        <is>
          <t>HUDIKSVALL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60283-2022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44910</v>
      </c>
      <c r="E715" s="1" t="n">
        <v>46222</v>
      </c>
      <c r="F715" t="inlineStr">
        <is>
          <t>GÄVLEBORGS LÄN</t>
        </is>
      </c>
      <c r="G715" t="inlineStr">
        <is>
          <t>HUDIKSVALL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12024-2026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46222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58243-2025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46222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46087</v>
      </c>
      <c r="E718" s="1" t="n">
        <v>46222</v>
      </c>
      <c r="F718" t="inlineStr">
        <is>
          <t>GÄVLEBORGS LÄN</t>
        </is>
      </c>
      <c r="G718" t="inlineStr">
        <is>
          <t>HUDIKSVALL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58530-2025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46222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58560-2025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45986</v>
      </c>
      <c r="E720" s="1" t="n">
        <v>46222</v>
      </c>
      <c r="F720" t="inlineStr">
        <is>
          <t>GÄVLEBORGS LÄN</t>
        </is>
      </c>
      <c r="G720" t="inlineStr">
        <is>
          <t>HUDIKSVALL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46222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12480-2026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46222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46222</v>
      </c>
      <c r="F723" t="inlineStr">
        <is>
          <t>GÄVLEBORGS LÄN</t>
        </is>
      </c>
      <c r="G723" t="inlineStr">
        <is>
          <t>HUDIKSVALL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58561-2025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46222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58254-2025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46222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58257-2025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46222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68730-2021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44529</v>
      </c>
      <c r="E727" s="1" t="n">
        <v>46222</v>
      </c>
      <c r="F727" t="inlineStr">
        <is>
          <t>GÄVLEBORGS LÄN</t>
        </is>
      </c>
      <c r="G727" t="inlineStr">
        <is>
          <t>HUDIKSVALL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58843-2025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45987</v>
      </c>
      <c r="E728" s="1" t="n">
        <v>46222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12538-2026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46222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12513-2026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46090</v>
      </c>
      <c r="E730" s="1" t="n">
        <v>46222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12556-2026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46222</v>
      </c>
      <c r="F731" t="inlineStr">
        <is>
          <t>GÄVLEBORGS LÄN</t>
        </is>
      </c>
      <c r="G731" t="inlineStr">
        <is>
          <t>HUDIKSVALL</t>
        </is>
      </c>
      <c r="H731" t="inlineStr">
        <is>
          <t>Kyrkan</t>
        </is>
      </c>
      <c r="I731" t="n">
        <v>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44571</v>
      </c>
      <c r="E732" s="1" t="n">
        <v>46222</v>
      </c>
      <c r="F732" t="inlineStr">
        <is>
          <t>GÄVLEBORGS LÄN</t>
        </is>
      </c>
      <c r="G732" t="inlineStr">
        <is>
          <t>HUDIKSVALL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12543-2026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46222</v>
      </c>
      <c r="F733" t="inlineStr">
        <is>
          <t>GÄVLEBORGS LÄN</t>
        </is>
      </c>
      <c r="G733" t="inlineStr">
        <is>
          <t>HUDIKSVALL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18985-2025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46222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43216-2024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46222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59096-2025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45988</v>
      </c>
      <c r="E736" s="1" t="n">
        <v>46222</v>
      </c>
      <c r="F736" t="inlineStr">
        <is>
          <t>GÄVLEBORGS LÄN</t>
        </is>
      </c>
      <c r="G736" t="inlineStr">
        <is>
          <t>HUDIKSVALL</t>
        </is>
      </c>
      <c r="I736" t="n">
        <v>12.9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18825-2024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45426</v>
      </c>
      <c r="E737" s="1" t="n">
        <v>46222</v>
      </c>
      <c r="F737" t="inlineStr">
        <is>
          <t>GÄVLEBORGS LÄN</t>
        </is>
      </c>
      <c r="G737" t="inlineStr">
        <is>
          <t>HUDIKSVALL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18832-2024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45426</v>
      </c>
      <c r="E738" s="1" t="n">
        <v>46222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56813-2022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44894</v>
      </c>
      <c r="E739" s="1" t="n">
        <v>46222</v>
      </c>
      <c r="F739" t="inlineStr">
        <is>
          <t>GÄVLEBORGS LÄN</t>
        </is>
      </c>
      <c r="G739" t="inlineStr">
        <is>
          <t>HUDIKSVALL</t>
        </is>
      </c>
      <c r="H739" t="inlineStr">
        <is>
          <t>Kommuner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12634-2026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46091</v>
      </c>
      <c r="E740" s="1" t="n">
        <v>46222</v>
      </c>
      <c r="F740" t="inlineStr">
        <is>
          <t>GÄVLEBORGS LÄN</t>
        </is>
      </c>
      <c r="G740" t="inlineStr">
        <is>
          <t>HUDIKSVALL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12729-2026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46091</v>
      </c>
      <c r="E741" s="1" t="n">
        <v>46222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59327-2025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45989</v>
      </c>
      <c r="E742" s="1" t="n">
        <v>46222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59488-2025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45989</v>
      </c>
      <c r="E743" s="1" t="n">
        <v>46222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59325-2025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45989</v>
      </c>
      <c r="E744" s="1" t="n">
        <v>46222</v>
      </c>
      <c r="F744" t="inlineStr">
        <is>
          <t>GÄVLEBORGS LÄN</t>
        </is>
      </c>
      <c r="G744" t="inlineStr">
        <is>
          <t>HUDIKSVALL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59326-2025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45989</v>
      </c>
      <c r="E745" s="1" t="n">
        <v>46222</v>
      </c>
      <c r="F745" t="inlineStr">
        <is>
          <t>GÄVLEBORGS LÄN</t>
        </is>
      </c>
      <c r="G745" t="inlineStr">
        <is>
          <t>HUDIKSVALL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59781-2025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45992</v>
      </c>
      <c r="E746" s="1" t="n">
        <v>46222</v>
      </c>
      <c r="F746" t="inlineStr">
        <is>
          <t>GÄVLEBORGS LÄN</t>
        </is>
      </c>
      <c r="G746" t="inlineStr">
        <is>
          <t>HUDIKSVALL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59741-2022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44908</v>
      </c>
      <c r="E747" s="1" t="n">
        <v>46222</v>
      </c>
      <c r="F747" t="inlineStr">
        <is>
          <t>GÄVLEBORGS LÄN</t>
        </is>
      </c>
      <c r="G747" t="inlineStr">
        <is>
          <t>HUDIKSVALL</t>
        </is>
      </c>
      <c r="I747" t="n">
        <v>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4154-2026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46222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39440-2024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46222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12541-2026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46222</v>
      </c>
      <c r="F750" t="inlineStr">
        <is>
          <t>GÄVLEBORGS LÄN</t>
        </is>
      </c>
      <c r="G750" t="inlineStr">
        <is>
          <t>HUDIKSVALL</t>
        </is>
      </c>
      <c r="H750" t="inlineStr">
        <is>
          <t>Kyrkan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59595-2025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45992</v>
      </c>
      <c r="E751" s="1" t="n">
        <v>46222</v>
      </c>
      <c r="F751" t="inlineStr">
        <is>
          <t>GÄVLEBORGS LÄN</t>
        </is>
      </c>
      <c r="G751" t="inlineStr">
        <is>
          <t>HUDIKSVALL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12894-2026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46222</v>
      </c>
      <c r="F752" t="inlineStr">
        <is>
          <t>GÄVLEBORGS LÄN</t>
        </is>
      </c>
      <c r="G752" t="inlineStr">
        <is>
          <t>HUDIKSVALL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60066-2025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45993</v>
      </c>
      <c r="E753" s="1" t="n">
        <v>46222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46222</v>
      </c>
      <c r="F754" t="inlineStr">
        <is>
          <t>GÄVLEBORGS LÄN</t>
        </is>
      </c>
      <c r="G754" t="inlineStr">
        <is>
          <t>HUDIKSVALL</t>
        </is>
      </c>
      <c r="H754" t="inlineStr">
        <is>
          <t>Sveaskog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60073-2025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45993</v>
      </c>
      <c r="E755" s="1" t="n">
        <v>46222</v>
      </c>
      <c r="F755" t="inlineStr">
        <is>
          <t>GÄVLEBORGS LÄN</t>
        </is>
      </c>
      <c r="G755" t="inlineStr">
        <is>
          <t>HUDIKSVALL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59742-2022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46222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13170-2026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46222</v>
      </c>
      <c r="F757" t="inlineStr">
        <is>
          <t>GÄVLEBORGS LÄN</t>
        </is>
      </c>
      <c r="G757" t="inlineStr">
        <is>
          <t>HUDIKSVALL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8595-2023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44977</v>
      </c>
      <c r="E758" s="1" t="n">
        <v>46222</v>
      </c>
      <c r="F758" t="inlineStr">
        <is>
          <t>GÄVLEBORGS LÄN</t>
        </is>
      </c>
      <c r="G758" t="inlineStr">
        <is>
          <t>HUDIKSVALL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46222</v>
      </c>
      <c r="F759" t="inlineStr">
        <is>
          <t>GÄVLEBORGS LÄN</t>
        </is>
      </c>
      <c r="G759" t="inlineStr">
        <is>
          <t>HUDIKSVALL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13445-2026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46222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13451-2026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46222</v>
      </c>
      <c r="F761" t="inlineStr">
        <is>
          <t>GÄVLEBORGS LÄN</t>
        </is>
      </c>
      <c r="G761" t="inlineStr">
        <is>
          <t>HUDIKSVALL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13453-2026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46222</v>
      </c>
      <c r="F762" t="inlineStr">
        <is>
          <t>GÄVLEBORGS LÄN</t>
        </is>
      </c>
      <c r="G762" t="inlineStr">
        <is>
          <t>HUDIKSVALL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60319-2025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45994</v>
      </c>
      <c r="E763" s="1" t="n">
        <v>46222</v>
      </c>
      <c r="F763" t="inlineStr">
        <is>
          <t>GÄVLEBORGS LÄN</t>
        </is>
      </c>
      <c r="G763" t="inlineStr">
        <is>
          <t>HUDIKSVALL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13315-2026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46094</v>
      </c>
      <c r="E764" s="1" t="n">
        <v>46222</v>
      </c>
      <c r="F764" t="inlineStr">
        <is>
          <t>GÄVLEBORGS LÄN</t>
        </is>
      </c>
      <c r="G764" t="inlineStr">
        <is>
          <t>HUDIKSVALL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46222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17322-2022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44678</v>
      </c>
      <c r="E766" s="1" t="n">
        <v>46222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60366-2025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45995</v>
      </c>
      <c r="E767" s="1" t="n">
        <v>46222</v>
      </c>
      <c r="F767" t="inlineStr">
        <is>
          <t>GÄVLEBORGS LÄN</t>
        </is>
      </c>
      <c r="G767" t="inlineStr">
        <is>
          <t>HUDIKSVALL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57967-2022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44900</v>
      </c>
      <c r="E768" s="1" t="n">
        <v>46222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39690-2021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44417</v>
      </c>
      <c r="E769" s="1" t="n">
        <v>46222</v>
      </c>
      <c r="F769" t="inlineStr">
        <is>
          <t>GÄVLEBORGS LÄN</t>
        </is>
      </c>
      <c r="G769" t="inlineStr">
        <is>
          <t>HUDIKSVALL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23663-2025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45792</v>
      </c>
      <c r="E770" s="1" t="n">
        <v>46222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24.7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60427-2025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46222</v>
      </c>
      <c r="F771" t="inlineStr">
        <is>
          <t>GÄVLEBORGS LÄN</t>
        </is>
      </c>
      <c r="G771" t="inlineStr">
        <is>
          <t>HUDIKSVALL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46222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9.5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45995</v>
      </c>
      <c r="E773" s="1" t="n">
        <v>46222</v>
      </c>
      <c r="F773" t="inlineStr">
        <is>
          <t>GÄVLEBORGS LÄN</t>
        </is>
      </c>
      <c r="G773" t="inlineStr">
        <is>
          <t>HUDIKSVALL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30122-2023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45110</v>
      </c>
      <c r="E774" s="1" t="n">
        <v>46222</v>
      </c>
      <c r="F774" t="inlineStr">
        <is>
          <t>GÄVLEBORGS LÄN</t>
        </is>
      </c>
      <c r="G774" t="inlineStr">
        <is>
          <t>HUDIKSVALL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45988</v>
      </c>
      <c r="E775" s="1" t="n">
        <v>46222</v>
      </c>
      <c r="F775" t="inlineStr">
        <is>
          <t>GÄVLEBORGS LÄN</t>
        </is>
      </c>
      <c r="G775" t="inlineStr">
        <is>
          <t>HUDIKSVALL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58248-2025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45985</v>
      </c>
      <c r="E776" s="1" t="n">
        <v>46222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59798-2022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44908</v>
      </c>
      <c r="E777" s="1" t="n">
        <v>46222</v>
      </c>
      <c r="F777" t="inlineStr">
        <is>
          <t>GÄVLEBORGS LÄN</t>
        </is>
      </c>
      <c r="G777" t="inlineStr">
        <is>
          <t>HUDIKSVALL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53967-2025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45961</v>
      </c>
      <c r="E778" s="1" t="n">
        <v>46222</v>
      </c>
      <c r="F778" t="inlineStr">
        <is>
          <t>GÄVLEBORGS LÄN</t>
        </is>
      </c>
      <c r="G778" t="inlineStr">
        <is>
          <t>HUDIKSVALL</t>
        </is>
      </c>
      <c r="H778" t="inlineStr">
        <is>
          <t>Naturvårdsverket</t>
        </is>
      </c>
      <c r="I778" t="n">
        <v>10.9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57716-2022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44897</v>
      </c>
      <c r="E779" s="1" t="n">
        <v>46222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45079</v>
      </c>
      <c r="E780" s="1" t="n">
        <v>46222</v>
      </c>
      <c r="F780" t="inlineStr">
        <is>
          <t>GÄVLEBORGS LÄN</t>
        </is>
      </c>
      <c r="G780" t="inlineStr">
        <is>
          <t>HUDIKSVALL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46222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53966-2025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45961</v>
      </c>
      <c r="E782" s="1" t="n">
        <v>46222</v>
      </c>
      <c r="F782" t="inlineStr">
        <is>
          <t>GÄVLEBORGS LÄN</t>
        </is>
      </c>
      <c r="G782" t="inlineStr">
        <is>
          <t>HUDIKSVALL</t>
        </is>
      </c>
      <c r="H782" t="inlineStr">
        <is>
          <t>Naturvårdsverket</t>
        </is>
      </c>
      <c r="I782" t="n">
        <v>17.5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61343-2025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46001</v>
      </c>
      <c r="E783" s="1" t="n">
        <v>46222</v>
      </c>
      <c r="F783" t="inlineStr">
        <is>
          <t>GÄVLEBORGS LÄN</t>
        </is>
      </c>
      <c r="G783" t="inlineStr">
        <is>
          <t>HUDIKSVALL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61696-2025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46002</v>
      </c>
      <c r="E784" s="1" t="n">
        <v>46222</v>
      </c>
      <c r="F784" t="inlineStr">
        <is>
          <t>GÄVLEBORGS LÄN</t>
        </is>
      </c>
      <c r="G784" t="inlineStr">
        <is>
          <t>HUDIKSVALL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54625-2023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45234</v>
      </c>
      <c r="E785" s="1" t="n">
        <v>46222</v>
      </c>
      <c r="F785" t="inlineStr">
        <is>
          <t>GÄVLEBORGS LÄN</t>
        </is>
      </c>
      <c r="G785" t="inlineStr">
        <is>
          <t>HUDIKSVALL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61546-2025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46001</v>
      </c>
      <c r="E786" s="1" t="n">
        <v>46222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44168-2022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44839</v>
      </c>
      <c r="E787" s="1" t="n">
        <v>46222</v>
      </c>
      <c r="F787" t="inlineStr">
        <is>
          <t>GÄVLEBORGS LÄN</t>
        </is>
      </c>
      <c r="G787" t="inlineStr">
        <is>
          <t>HUDIKSVALL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61649-2025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46222</v>
      </c>
      <c r="F788" t="inlineStr">
        <is>
          <t>GÄVLEBORGS LÄN</t>
        </is>
      </c>
      <c r="G788" t="inlineStr">
        <is>
          <t>HUDIKSVALL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59856-2022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44908</v>
      </c>
      <c r="E789" s="1" t="n">
        <v>46222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13980-2026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46098</v>
      </c>
      <c r="E790" s="1" t="n">
        <v>46222</v>
      </c>
      <c r="F790" t="inlineStr">
        <is>
          <t>GÄVLEBORGS LÄN</t>
        </is>
      </c>
      <c r="G790" t="inlineStr">
        <is>
          <t>HUDIKSVALL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47995-2024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45589</v>
      </c>
      <c r="E791" s="1" t="n">
        <v>46222</v>
      </c>
      <c r="F791" t="inlineStr">
        <is>
          <t>GÄVLEBORGS LÄN</t>
        </is>
      </c>
      <c r="G791" t="inlineStr">
        <is>
          <t>HUDIKSVALL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23928-2023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45078</v>
      </c>
      <c r="E792" s="1" t="n">
        <v>46222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13959-2026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46222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14158-2026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46222</v>
      </c>
      <c r="F794" t="inlineStr">
        <is>
          <t>GÄVLEBORGS LÄN</t>
        </is>
      </c>
      <c r="G794" t="inlineStr">
        <is>
          <t>HUDIKSVALL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14593-2026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46222</v>
      </c>
      <c r="F795" t="inlineStr">
        <is>
          <t>GÄVLEBORGS LÄN</t>
        </is>
      </c>
      <c r="G795" t="inlineStr">
        <is>
          <t>HUDIKSVALL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62036-2025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46004</v>
      </c>
      <c r="E796" s="1" t="n">
        <v>46222</v>
      </c>
      <c r="F796" t="inlineStr">
        <is>
          <t>GÄVLEBORGS LÄN</t>
        </is>
      </c>
      <c r="G796" t="inlineStr">
        <is>
          <t>HUDIKSVALL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61207-2022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44915</v>
      </c>
      <c r="E797" s="1" t="n">
        <v>46222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62313-2025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46006</v>
      </c>
      <c r="E798" s="1" t="n">
        <v>46222</v>
      </c>
      <c r="F798" t="inlineStr">
        <is>
          <t>GÄVLEBORGS LÄN</t>
        </is>
      </c>
      <c r="G798" t="inlineStr">
        <is>
          <t>HUDIKSVALL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28174-2023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46222</v>
      </c>
      <c r="F799" t="inlineStr">
        <is>
          <t>GÄVLEBORGS LÄN</t>
        </is>
      </c>
      <c r="G799" t="inlineStr">
        <is>
          <t>HUDIKSVALL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59064-2022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44904</v>
      </c>
      <c r="E800" s="1" t="n">
        <v>46222</v>
      </c>
      <c r="F800" t="inlineStr">
        <is>
          <t>GÄVLEBORGS LÄN</t>
        </is>
      </c>
      <c r="G800" t="inlineStr">
        <is>
          <t>HUDIKSVALL</t>
        </is>
      </c>
      <c r="H800" t="inlineStr">
        <is>
          <t>Kyrkan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46222</v>
      </c>
      <c r="F801" t="inlineStr">
        <is>
          <t>GÄVLEBORGS LÄN</t>
        </is>
      </c>
      <c r="G801" t="inlineStr">
        <is>
          <t>HUDIKSVALL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14351-2026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46222</v>
      </c>
      <c r="F802" t="inlineStr">
        <is>
          <t>GÄVLEBORGS LÄN</t>
        </is>
      </c>
      <c r="G802" t="inlineStr">
        <is>
          <t>HUDIKSVALL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30697-2024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45496</v>
      </c>
      <c r="E803" s="1" t="n">
        <v>46222</v>
      </c>
      <c r="F803" t="inlineStr">
        <is>
          <t>GÄVLEBORGS LÄN</t>
        </is>
      </c>
      <c r="G803" t="inlineStr">
        <is>
          <t>HUDIKSVALL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62665-2025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46008</v>
      </c>
      <c r="E804" s="1" t="n">
        <v>46222</v>
      </c>
      <c r="F804" t="inlineStr">
        <is>
          <t>GÄVLEBORGS LÄN</t>
        </is>
      </c>
      <c r="G804" t="inlineStr">
        <is>
          <t>HUDIKSVALL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39154-2021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44412</v>
      </c>
      <c r="E805" s="1" t="n">
        <v>46222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36407-2024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45535</v>
      </c>
      <c r="E806" s="1" t="n">
        <v>46222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19600-2024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45431</v>
      </c>
      <c r="E807" s="1" t="n">
        <v>46222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36405-2024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45535</v>
      </c>
      <c r="E808" s="1" t="n">
        <v>46222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20612-2024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45436</v>
      </c>
      <c r="E809" s="1" t="n">
        <v>46222</v>
      </c>
      <c r="F809" t="inlineStr">
        <is>
          <t>GÄVLEBORGS LÄN</t>
        </is>
      </c>
      <c r="G809" t="inlineStr">
        <is>
          <t>HUDIKSVALL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62378-2025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46222</v>
      </c>
      <c r="F810" t="inlineStr">
        <is>
          <t>GÄVLEBORGS LÄN</t>
        </is>
      </c>
      <c r="G810" t="inlineStr">
        <is>
          <t>HUDIKSVALL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14685-2026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46222</v>
      </c>
      <c r="F811" t="inlineStr">
        <is>
          <t>GÄVLEBORGS LÄN</t>
        </is>
      </c>
      <c r="G811" t="inlineStr">
        <is>
          <t>HUDIKSVALL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17764-2025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45758</v>
      </c>
      <c r="E812" s="1" t="n">
        <v>46222</v>
      </c>
      <c r="F812" t="inlineStr">
        <is>
          <t>GÄVLEBORGS LÄN</t>
        </is>
      </c>
      <c r="G812" t="inlineStr">
        <is>
          <t>HUDIKSVALL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63067-2025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46009</v>
      </c>
      <c r="E813" s="1" t="n">
        <v>46222</v>
      </c>
      <c r="F813" t="inlineStr">
        <is>
          <t>GÄVLEBORGS LÄN</t>
        </is>
      </c>
      <c r="G813" t="inlineStr">
        <is>
          <t>HUDIKSVALL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63189-2025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46010</v>
      </c>
      <c r="E814" s="1" t="n">
        <v>46222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2215-2023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44942</v>
      </c>
      <c r="E815" s="1" t="n">
        <v>46222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41249-2024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45559</v>
      </c>
      <c r="E816" s="1" t="n">
        <v>46222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41258-2024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45559</v>
      </c>
      <c r="E817" s="1" t="n">
        <v>46222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63072-2025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46009</v>
      </c>
      <c r="E818" s="1" t="n">
        <v>46222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63557-2025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46013</v>
      </c>
      <c r="E819" s="1" t="n">
        <v>46222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14803-2026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46103</v>
      </c>
      <c r="E820" s="1" t="n">
        <v>46222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11082-2023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44992</v>
      </c>
      <c r="E821" s="1" t="n">
        <v>46222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16073-2023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45027</v>
      </c>
      <c r="E822" s="1" t="n">
        <v>46222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38295-2024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45545</v>
      </c>
      <c r="E823" s="1" t="n">
        <v>46222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63541-2025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46013</v>
      </c>
      <c r="E824" s="1" t="n">
        <v>46222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9852-2026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46072</v>
      </c>
      <c r="E825" s="1" t="n">
        <v>46222</v>
      </c>
      <c r="F825" t="inlineStr">
        <is>
          <t>GÄVLEBORGS LÄN</t>
        </is>
      </c>
      <c r="G825" t="inlineStr">
        <is>
          <t>HUDIKSVALL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30562-2023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45111</v>
      </c>
      <c r="E826" s="1" t="n">
        <v>46222</v>
      </c>
      <c r="F826" t="inlineStr">
        <is>
          <t>GÄVLEBORGS LÄN</t>
        </is>
      </c>
      <c r="G826" t="inlineStr">
        <is>
          <t>HUDIKSVALL</t>
        </is>
      </c>
      <c r="I826" t="n">
        <v>11.5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63819-2025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46222</v>
      </c>
      <c r="F827" t="inlineStr">
        <is>
          <t>GÄVLEBORGS LÄN</t>
        </is>
      </c>
      <c r="G827" t="inlineStr">
        <is>
          <t>HUDIKSVALL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63798-2025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46019</v>
      </c>
      <c r="E828" s="1" t="n">
        <v>46222</v>
      </c>
      <c r="F828" t="inlineStr">
        <is>
          <t>GÄVLEBORGS LÄN</t>
        </is>
      </c>
      <c r="G828" t="inlineStr">
        <is>
          <t>HUDIKSVALL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63925-2025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46222</v>
      </c>
      <c r="F829" t="inlineStr">
        <is>
          <t>GÄVLEBORGS LÄN</t>
        </is>
      </c>
      <c r="G829" t="inlineStr">
        <is>
          <t>HUDIKSVALL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63911-2025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46020</v>
      </c>
      <c r="E830" s="1" t="n">
        <v>46222</v>
      </c>
      <c r="F830" t="inlineStr">
        <is>
          <t>GÄVLEBORGS LÄN</t>
        </is>
      </c>
      <c r="G830" t="inlineStr">
        <is>
          <t>HUDIKSVALL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  <c r="X830">
        <f>HYPERLINK("https://klasma.github.io/Logging_2184/knärot/A 63911-2025 karta knärot.png", "A 63911-2025")</f>
        <v/>
      </c>
      <c r="Y830">
        <f>HYPERLINK("https://klasma.github.io/Logging_2184/klagomål/A 63911-2025 FSC-klagomål.docx", "A 63911-2025")</f>
        <v/>
      </c>
      <c r="Z830">
        <f>HYPERLINK("https://klasma.github.io/Logging_2184/klagomålsmail/A 63911-2025 FSC-klagomål mail.docx", "A 63911-2025")</f>
        <v/>
      </c>
      <c r="AA830">
        <f>HYPERLINK("https://klasma.github.io/Logging_2184/tillsyn/A 63911-2025 tillsynsbegäran.docx", "A 63911-2025")</f>
        <v/>
      </c>
      <c r="AB830">
        <f>HYPERLINK("https://klasma.github.io/Logging_2184/tillsynsmail/A 63911-2025 tillsynsbegäran mail.docx", "A 63911-2025")</f>
        <v/>
      </c>
    </row>
    <row r="831" ht="15" customHeight="1">
      <c r="A831" t="inlineStr">
        <is>
          <t>A 5230-2024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45330</v>
      </c>
      <c r="E831" s="1" t="n">
        <v>46222</v>
      </c>
      <c r="F831" t="inlineStr">
        <is>
          <t>GÄVLEBORGS LÄN</t>
        </is>
      </c>
      <c r="G831" t="inlineStr">
        <is>
          <t>HUDIKSVALL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63963-2025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46020</v>
      </c>
      <c r="E832" s="1" t="n">
        <v>46222</v>
      </c>
      <c r="F832" t="inlineStr">
        <is>
          <t>GÄVLEBORGS LÄN</t>
        </is>
      </c>
      <c r="G832" t="inlineStr">
        <is>
          <t>HUDIKSVALL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46222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64082-2025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46021</v>
      </c>
      <c r="E834" s="1" t="n">
        <v>46222</v>
      </c>
      <c r="F834" t="inlineStr">
        <is>
          <t>GÄVLEBORGS LÄN</t>
        </is>
      </c>
      <c r="G834" t="inlineStr">
        <is>
          <t>HUDIKSVALL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14805-2026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46103</v>
      </c>
      <c r="E835" s="1" t="n">
        <v>46222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64086-2025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46222</v>
      </c>
      <c r="F836" t="inlineStr">
        <is>
          <t>GÄVLEBORGS LÄN</t>
        </is>
      </c>
      <c r="G836" t="inlineStr">
        <is>
          <t>HUDIKSVALL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64091-2025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46021</v>
      </c>
      <c r="E837" s="1" t="n">
        <v>46222</v>
      </c>
      <c r="F837" t="inlineStr">
        <is>
          <t>GÄVLEBORGS LÄN</t>
        </is>
      </c>
      <c r="G837" t="inlineStr">
        <is>
          <t>HUDIKSVALL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46024</v>
      </c>
      <c r="E838" s="1" t="n">
        <v>46222</v>
      </c>
      <c r="F838" t="inlineStr">
        <is>
          <t>GÄVLEBORGS LÄN</t>
        </is>
      </c>
      <c r="G838" t="inlineStr">
        <is>
          <t>HUDIKSVALL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46222</v>
      </c>
      <c r="F839" t="inlineStr">
        <is>
          <t>GÄVLEBORGS LÄN</t>
        </is>
      </c>
      <c r="G839" t="inlineStr">
        <is>
          <t>HUDIKSVALL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16070-2025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45749</v>
      </c>
      <c r="E840" s="1" t="n">
        <v>46222</v>
      </c>
      <c r="F840" t="inlineStr">
        <is>
          <t>GÄVLEBORGS LÄN</t>
        </is>
      </c>
      <c r="G840" t="inlineStr">
        <is>
          <t>HUDIKSVALL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55615-2025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45971</v>
      </c>
      <c r="E841" s="1" t="n">
        <v>46222</v>
      </c>
      <c r="F841" t="inlineStr">
        <is>
          <t>GÄVLEBORGS LÄN</t>
        </is>
      </c>
      <c r="G841" t="inlineStr">
        <is>
          <t>HUDIKSVALL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46027</v>
      </c>
      <c r="E842" s="1" t="n">
        <v>46222</v>
      </c>
      <c r="F842" t="inlineStr">
        <is>
          <t>GÄVLEBORGS LÄN</t>
        </is>
      </c>
      <c r="G842" t="inlineStr">
        <is>
          <t>HUDIKSVALL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10130-2025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45719</v>
      </c>
      <c r="E843" s="1" t="n">
        <v>46222</v>
      </c>
      <c r="F843" t="inlineStr">
        <is>
          <t>GÄVLEBORGS LÄN</t>
        </is>
      </c>
      <c r="G843" t="inlineStr">
        <is>
          <t>HUDIKSVALL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62469-2025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46007</v>
      </c>
      <c r="E844" s="1" t="n">
        <v>46222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14804-2026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46103</v>
      </c>
      <c r="E845" s="1" t="n">
        <v>46222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8.199999999999999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7496-2025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46222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46222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9563-2025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46222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36388-2025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45868</v>
      </c>
      <c r="E849" s="1" t="n">
        <v>46222</v>
      </c>
      <c r="F849" t="inlineStr">
        <is>
          <t>GÄVLEBORGS LÄN</t>
        </is>
      </c>
      <c r="G849" t="inlineStr">
        <is>
          <t>HUDIKSVALL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36394-2025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45868</v>
      </c>
      <c r="E850" s="1" t="n">
        <v>46222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406-2025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45663</v>
      </c>
      <c r="E851" s="1" t="n">
        <v>46222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39335-2025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45889</v>
      </c>
      <c r="E852" s="1" t="n">
        <v>46222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46026</v>
      </c>
      <c r="E853" s="1" t="n">
        <v>46222</v>
      </c>
      <c r="F853" t="inlineStr">
        <is>
          <t>GÄVLEBORGS LÄN</t>
        </is>
      </c>
      <c r="G853" t="inlineStr">
        <is>
          <t>HUDIKSVALL</t>
        </is>
      </c>
      <c r="I853" t="n">
        <v>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46026</v>
      </c>
      <c r="E854" s="1" t="n">
        <v>46222</v>
      </c>
      <c r="F854" t="inlineStr">
        <is>
          <t>GÄVLEBORGS LÄN</t>
        </is>
      </c>
      <c r="G854" t="inlineStr">
        <is>
          <t>HUDIKSVALL</t>
        </is>
      </c>
      <c r="I854" t="n">
        <v>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46026</v>
      </c>
      <c r="E855" s="1" t="n">
        <v>46222</v>
      </c>
      <c r="F855" t="inlineStr">
        <is>
          <t>GÄVLEBORGS LÄN</t>
        </is>
      </c>
      <c r="G855" t="inlineStr">
        <is>
          <t>HUDIKSVALL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46026</v>
      </c>
      <c r="E856" s="1" t="n">
        <v>46222</v>
      </c>
      <c r="F856" t="inlineStr">
        <is>
          <t>GÄVLEBORGS LÄN</t>
        </is>
      </c>
      <c r="G856" t="inlineStr">
        <is>
          <t>HUDIKSVALL</t>
        </is>
      </c>
      <c r="I856" t="n">
        <v>15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20639-2025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45776</v>
      </c>
      <c r="E857" s="1" t="n">
        <v>46222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13603-2025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45736</v>
      </c>
      <c r="E858" s="1" t="n">
        <v>46222</v>
      </c>
      <c r="F858" t="inlineStr">
        <is>
          <t>GÄVLEBORGS LÄN</t>
        </is>
      </c>
      <c r="G858" t="inlineStr">
        <is>
          <t>HUDIKSVALL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36503-2025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45869</v>
      </c>
      <c r="E859" s="1" t="n">
        <v>46222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9989-2025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45719</v>
      </c>
      <c r="E860" s="1" t="n">
        <v>46222</v>
      </c>
      <c r="F860" t="inlineStr">
        <is>
          <t>GÄVLEBORGS LÄN</t>
        </is>
      </c>
      <c r="G860" t="inlineStr">
        <is>
          <t>HUDIKSVALL</t>
        </is>
      </c>
      <c r="I860" t="n">
        <v>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10890-2025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46222</v>
      </c>
      <c r="F861" t="inlineStr">
        <is>
          <t>GÄVLEBORGS LÄN</t>
        </is>
      </c>
      <c r="G861" t="inlineStr">
        <is>
          <t>HUDIKSVALL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44070-2023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45188</v>
      </c>
      <c r="E862" s="1" t="n">
        <v>46222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46029</v>
      </c>
      <c r="E863" s="1" t="n">
        <v>46222</v>
      </c>
      <c r="F863" t="inlineStr">
        <is>
          <t>GÄVLEBORGS LÄN</t>
        </is>
      </c>
      <c r="G863" t="inlineStr">
        <is>
          <t>HUDIKSVALL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46222</v>
      </c>
      <c r="F864" t="inlineStr">
        <is>
          <t>GÄVLEBORGS LÄN</t>
        </is>
      </c>
      <c r="G864" t="inlineStr">
        <is>
          <t>HUDIKSVALL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46029</v>
      </c>
      <c r="E865" s="1" t="n">
        <v>46222</v>
      </c>
      <c r="F865" t="inlineStr">
        <is>
          <t>GÄVLEBORGS LÄN</t>
        </is>
      </c>
      <c r="G865" t="inlineStr">
        <is>
          <t>HUDIKSVALL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1024-2026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46030</v>
      </c>
      <c r="E866" s="1" t="n">
        <v>46222</v>
      </c>
      <c r="F866" t="inlineStr">
        <is>
          <t>GÄVLEBORGS LÄN</t>
        </is>
      </c>
      <c r="G866" t="inlineStr">
        <is>
          <t>HUDIKSVALL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46222</v>
      </c>
      <c r="F867" t="inlineStr">
        <is>
          <t>GÄVLEBORGS LÄN</t>
        </is>
      </c>
      <c r="G867" t="inlineStr">
        <is>
          <t>HUDIKSVALL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1017-2026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46030</v>
      </c>
      <c r="E868" s="1" t="n">
        <v>46222</v>
      </c>
      <c r="F868" t="inlineStr">
        <is>
          <t>GÄVLEBORGS LÄN</t>
        </is>
      </c>
      <c r="G868" t="inlineStr">
        <is>
          <t>HUDIKSVALL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1132-2026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46222</v>
      </c>
      <c r="F869" t="inlineStr">
        <is>
          <t>GÄVLEBORGS LÄN</t>
        </is>
      </c>
      <c r="G869" t="inlineStr">
        <is>
          <t>HUDIKSVALL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46222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46222</v>
      </c>
      <c r="F871" t="inlineStr">
        <is>
          <t>GÄVLEBORGS LÄN</t>
        </is>
      </c>
      <c r="G871" t="inlineStr">
        <is>
          <t>HUDIKSVALL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778-2026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46222</v>
      </c>
      <c r="F872" t="inlineStr">
        <is>
          <t>GÄVLEBORGS LÄN</t>
        </is>
      </c>
      <c r="G872" t="inlineStr">
        <is>
          <t>HUDIKSVALL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15951-2026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46107</v>
      </c>
      <c r="E873" s="1" t="n">
        <v>46222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46029</v>
      </c>
      <c r="E874" s="1" t="n">
        <v>46222</v>
      </c>
      <c r="F874" t="inlineStr">
        <is>
          <t>GÄVLEBORGS LÄN</t>
        </is>
      </c>
      <c r="G874" t="inlineStr">
        <is>
          <t>HUDIKSVALL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35590-2023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46222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8434-2024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45353</v>
      </c>
      <c r="E876" s="1" t="n">
        <v>46222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1655-2026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46222</v>
      </c>
      <c r="F877" t="inlineStr">
        <is>
          <t>GÄVLEBORGS LÄN</t>
        </is>
      </c>
      <c r="G877" t="inlineStr">
        <is>
          <t>HUDIKSVALL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1777-2026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46222</v>
      </c>
      <c r="F878" t="inlineStr">
        <is>
          <t>GÄVLEBORGS LÄN</t>
        </is>
      </c>
      <c r="G878" t="inlineStr">
        <is>
          <t>HUDIKSVALL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46222</v>
      </c>
      <c r="F879" t="inlineStr">
        <is>
          <t>GÄVLEBORGS LÄN</t>
        </is>
      </c>
      <c r="G879" t="inlineStr">
        <is>
          <t>HUDIKSVALL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16594-2024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45408</v>
      </c>
      <c r="E880" s="1" t="n">
        <v>46222</v>
      </c>
      <c r="F880" t="inlineStr">
        <is>
          <t>GÄVLEBORGS LÄN</t>
        </is>
      </c>
      <c r="G880" t="inlineStr">
        <is>
          <t>HUDIKSVALL</t>
        </is>
      </c>
      <c r="I880" t="n">
        <v>11.8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60190-2023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45258</v>
      </c>
      <c r="E881" s="1" t="n">
        <v>46222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60192-2023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45258</v>
      </c>
      <c r="E882" s="1" t="n">
        <v>46222</v>
      </c>
      <c r="F882" t="inlineStr">
        <is>
          <t>GÄVLEBORGS LÄN</t>
        </is>
      </c>
      <c r="G882" t="inlineStr">
        <is>
          <t>HUDIKSVALL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57949-2023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45244</v>
      </c>
      <c r="E883" s="1" t="n">
        <v>46222</v>
      </c>
      <c r="F883" t="inlineStr">
        <is>
          <t>GÄVLEBORGS LÄN</t>
        </is>
      </c>
      <c r="G883" t="inlineStr">
        <is>
          <t>HUDIKSVALL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15390-2026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46106</v>
      </c>
      <c r="E884" s="1" t="n">
        <v>46222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58423-2022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44901</v>
      </c>
      <c r="E885" s="1" t="n">
        <v>46222</v>
      </c>
      <c r="F885" t="inlineStr">
        <is>
          <t>GÄVLEBORGS LÄN</t>
        </is>
      </c>
      <c r="G885" t="inlineStr">
        <is>
          <t>HUDIKSVALL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1692-2026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46222</v>
      </c>
      <c r="F886" t="inlineStr">
        <is>
          <t>GÄVLEBORGS LÄN</t>
        </is>
      </c>
      <c r="G886" t="inlineStr">
        <is>
          <t>HUDIKSVALL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15473-2026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46222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2120-2024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45309</v>
      </c>
      <c r="E888" s="1" t="n">
        <v>46222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15949-2026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46222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46222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36.9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2115-2026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46222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15952-2026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46222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46222</v>
      </c>
      <c r="F893" t="inlineStr">
        <is>
          <t>GÄVLEBORGS LÄN</t>
        </is>
      </c>
      <c r="G893" t="inlineStr">
        <is>
          <t>HUDIKSVALL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1759-2026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46222</v>
      </c>
      <c r="F894" t="inlineStr">
        <is>
          <t>GÄVLEBORGS LÄN</t>
        </is>
      </c>
      <c r="G894" t="inlineStr">
        <is>
          <t>HUDIKSVALL</t>
        </is>
      </c>
      <c r="I894" t="n">
        <v>38.9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1855-2026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46222</v>
      </c>
      <c r="F895" t="inlineStr">
        <is>
          <t>GÄVLEBORGS LÄN</t>
        </is>
      </c>
      <c r="G895" t="inlineStr">
        <is>
          <t>HUDIKSVALL</t>
        </is>
      </c>
      <c r="I895" t="n">
        <v>15.9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46222</v>
      </c>
      <c r="F896" t="inlineStr">
        <is>
          <t>GÄVLEBORGS LÄN</t>
        </is>
      </c>
      <c r="G896" t="inlineStr">
        <is>
          <t>HUDIKSVALL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1926-2026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46222</v>
      </c>
      <c r="F897" t="inlineStr">
        <is>
          <t>GÄVLEBORGS LÄN</t>
        </is>
      </c>
      <c r="G897" t="inlineStr">
        <is>
          <t>HUDIKSVALL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2498-2026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46222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61938-2022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44918</v>
      </c>
      <c r="E899" s="1" t="n">
        <v>46222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46222</v>
      </c>
      <c r="F900" t="inlineStr">
        <is>
          <t>GÄVLEBORGS LÄN</t>
        </is>
      </c>
      <c r="G900" t="inlineStr">
        <is>
          <t>HUDIKSVALL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46038</v>
      </c>
      <c r="E901" s="1" t="n">
        <v>46222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2799-2026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46222</v>
      </c>
      <c r="F902" t="inlineStr">
        <is>
          <t>GÄVLEBORGS LÄN</t>
        </is>
      </c>
      <c r="G902" t="inlineStr">
        <is>
          <t>HUDIKSVALL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46222</v>
      </c>
      <c r="F903" t="inlineStr">
        <is>
          <t>GÄVLEBORGS LÄN</t>
        </is>
      </c>
      <c r="G903" t="inlineStr">
        <is>
          <t>HUDIKSVALL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18538-2024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45425</v>
      </c>
      <c r="E904" s="1" t="n">
        <v>46222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2478-2026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46222</v>
      </c>
      <c r="F905" t="inlineStr">
        <is>
          <t>GÄVLEBORGS LÄN</t>
        </is>
      </c>
      <c r="G905" t="inlineStr">
        <is>
          <t>HUDIKSVALL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16361-2026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46111</v>
      </c>
      <c r="E906" s="1" t="n">
        <v>46222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26456-2023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45092</v>
      </c>
      <c r="E907" s="1" t="n">
        <v>46222</v>
      </c>
      <c r="F907" t="inlineStr">
        <is>
          <t>GÄVLEBORGS LÄN</t>
        </is>
      </c>
      <c r="G907" t="inlineStr">
        <is>
          <t>HUDIKSVALL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38667-2023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45162</v>
      </c>
      <c r="E908" s="1" t="n">
        <v>46222</v>
      </c>
      <c r="F908" t="inlineStr">
        <is>
          <t>GÄVLEBORGS LÄN</t>
        </is>
      </c>
      <c r="G908" t="inlineStr">
        <is>
          <t>HUDIKSVALL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60847-2022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44914</v>
      </c>
      <c r="E909" s="1" t="n">
        <v>46222</v>
      </c>
      <c r="F909" t="inlineStr">
        <is>
          <t>GÄVLEBORGS LÄN</t>
        </is>
      </c>
      <c r="G909" t="inlineStr">
        <is>
          <t>HUDIKSVALL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45181-2024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45575</v>
      </c>
      <c r="E910" s="1" t="n">
        <v>46222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38701-2024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45547</v>
      </c>
      <c r="E911" s="1" t="n">
        <v>46222</v>
      </c>
      <c r="F911" t="inlineStr">
        <is>
          <t>GÄVLEBORGS LÄN</t>
        </is>
      </c>
      <c r="G911" t="inlineStr">
        <is>
          <t>HUDIKSVALL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16221-2026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46111</v>
      </c>
      <c r="E912" s="1" t="n">
        <v>46222</v>
      </c>
      <c r="F912" t="inlineStr">
        <is>
          <t>GÄVLEBORGS LÄN</t>
        </is>
      </c>
      <c r="G912" t="inlineStr">
        <is>
          <t>HUDIKSVALL</t>
        </is>
      </c>
      <c r="H912" t="inlineStr">
        <is>
          <t>Naturvårdsverket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2127-2024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45309</v>
      </c>
      <c r="E913" s="1" t="n">
        <v>46222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16848-2026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46222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16722-2026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46113</v>
      </c>
      <c r="E915" s="1" t="n">
        <v>46222</v>
      </c>
      <c r="F915" t="inlineStr">
        <is>
          <t>GÄVLEBORGS LÄN</t>
        </is>
      </c>
      <c r="G915" t="inlineStr">
        <is>
          <t>HUDIKSVALL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16683-2026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46112</v>
      </c>
      <c r="E916" s="1" t="n">
        <v>46222</v>
      </c>
      <c r="F916" t="inlineStr">
        <is>
          <t>GÄVLEBORGS LÄN</t>
        </is>
      </c>
      <c r="G916" t="inlineStr">
        <is>
          <t>HUDIKSVALL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16842-2026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46113</v>
      </c>
      <c r="E917" s="1" t="n">
        <v>46222</v>
      </c>
      <c r="F917" t="inlineStr">
        <is>
          <t>GÄVLEBORGS LÄN</t>
        </is>
      </c>
      <c r="G917" t="inlineStr">
        <is>
          <t>HUDIKSVALL</t>
        </is>
      </c>
      <c r="I917" t="n">
        <v>9.199999999999999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16738-2026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46113</v>
      </c>
      <c r="E918" s="1" t="n">
        <v>46222</v>
      </c>
      <c r="F918" t="inlineStr">
        <is>
          <t>GÄVLEBORGS LÄN</t>
        </is>
      </c>
      <c r="G918" t="inlineStr">
        <is>
          <t>HUDIKSVALL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16741-2026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46222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27956-2024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45476</v>
      </c>
      <c r="E920" s="1" t="n">
        <v>46222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16954-2026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46114</v>
      </c>
      <c r="E921" s="1" t="n">
        <v>46222</v>
      </c>
      <c r="F921" t="inlineStr">
        <is>
          <t>GÄVLEBORGS LÄN</t>
        </is>
      </c>
      <c r="G921" t="inlineStr">
        <is>
          <t>HUDIKSVALL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16968-2026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46114</v>
      </c>
      <c r="E922" s="1" t="n">
        <v>46222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16972-2026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46114</v>
      </c>
      <c r="E923" s="1" t="n">
        <v>46222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11101-2024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45371</v>
      </c>
      <c r="E924" s="1" t="n">
        <v>46222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9.800000000000001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53721-2024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45615</v>
      </c>
      <c r="E925" s="1" t="n">
        <v>46222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17528-2026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46120</v>
      </c>
      <c r="E926" s="1" t="n">
        <v>46222</v>
      </c>
      <c r="F926" t="inlineStr">
        <is>
          <t>GÄVLEBORGS LÄN</t>
        </is>
      </c>
      <c r="G926" t="inlineStr">
        <is>
          <t>HUDIKSVALL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2652-2024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46222</v>
      </c>
      <c r="F927" t="inlineStr">
        <is>
          <t>GÄVLEBORGS LÄN</t>
        </is>
      </c>
      <c r="G927" t="inlineStr">
        <is>
          <t>HUDIKSVALL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2685-2024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45314</v>
      </c>
      <c r="E928" s="1" t="n">
        <v>46222</v>
      </c>
      <c r="F928" t="inlineStr">
        <is>
          <t>GÄVLEBORGS LÄN</t>
        </is>
      </c>
      <c r="G928" t="inlineStr">
        <is>
          <t>HUDIKSVALL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17440-2026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46120</v>
      </c>
      <c r="E929" s="1" t="n">
        <v>46222</v>
      </c>
      <c r="F929" t="inlineStr">
        <is>
          <t>GÄVLEBORGS LÄN</t>
        </is>
      </c>
      <c r="G929" t="inlineStr">
        <is>
          <t>HUDIKSVALL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3162-2023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44946</v>
      </c>
      <c r="E930" s="1" t="n">
        <v>46222</v>
      </c>
      <c r="F930" t="inlineStr">
        <is>
          <t>GÄVLEBORGS LÄN</t>
        </is>
      </c>
      <c r="G930" t="inlineStr">
        <is>
          <t>HUDIKSVALL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22977-2024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45449</v>
      </c>
      <c r="E931" s="1" t="n">
        <v>46222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17662-2026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46121</v>
      </c>
      <c r="E932" s="1" t="n">
        <v>46222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50790-2024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45602</v>
      </c>
      <c r="E933" s="1" t="n">
        <v>46222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17442-2026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46120</v>
      </c>
      <c r="E934" s="1" t="n">
        <v>46222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Kommuner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17566-2026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46121</v>
      </c>
      <c r="E935" s="1" t="n">
        <v>46222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35061-2024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45527</v>
      </c>
      <c r="E936" s="1" t="n">
        <v>46222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17800-2026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46122</v>
      </c>
      <c r="E937" s="1" t="n">
        <v>46222</v>
      </c>
      <c r="F937" t="inlineStr">
        <is>
          <t>GÄVLEBORGS LÄN</t>
        </is>
      </c>
      <c r="G937" t="inlineStr">
        <is>
          <t>HUDIKSVALL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18100-2026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46125</v>
      </c>
      <c r="E938" s="1" t="n">
        <v>46222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24240-2025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45797</v>
      </c>
      <c r="E939" s="1" t="n">
        <v>46222</v>
      </c>
      <c r="F939" t="inlineStr">
        <is>
          <t>GÄVLEBORGS LÄN</t>
        </is>
      </c>
      <c r="G939" t="inlineStr">
        <is>
          <t>HUDIKSVALL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24239-2025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45797</v>
      </c>
      <c r="E940" s="1" t="n">
        <v>46222</v>
      </c>
      <c r="F940" t="inlineStr">
        <is>
          <t>GÄVLEBORGS LÄN</t>
        </is>
      </c>
      <c r="G940" t="inlineStr">
        <is>
          <t>HUDIKSVALL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42657-2024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45566</v>
      </c>
      <c r="E941" s="1" t="n">
        <v>46222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46222</v>
      </c>
      <c r="F942" t="inlineStr">
        <is>
          <t>GÄVLEBORGS LÄN</t>
        </is>
      </c>
      <c r="G942" t="inlineStr">
        <is>
          <t>HUDIKSVALL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45664</v>
      </c>
      <c r="E943" s="1" t="n">
        <v>46222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18154-2026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46125</v>
      </c>
      <c r="E944" s="1" t="n">
        <v>46222</v>
      </c>
      <c r="F944" t="inlineStr">
        <is>
          <t>GÄVLEBORGS LÄN</t>
        </is>
      </c>
      <c r="G944" t="inlineStr">
        <is>
          <t>HUDIKSVALL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48649-2024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46222</v>
      </c>
      <c r="F945" t="inlineStr">
        <is>
          <t>GÄVLEBORGS LÄN</t>
        </is>
      </c>
      <c r="G945" t="inlineStr">
        <is>
          <t>HUDIKSVALL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13593-2026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46096</v>
      </c>
      <c r="E946" s="1" t="n">
        <v>46222</v>
      </c>
      <c r="F946" t="inlineStr">
        <is>
          <t>GÄVLEBORGS LÄN</t>
        </is>
      </c>
      <c r="G946" t="inlineStr">
        <is>
          <t>HUDIKSVALL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18587-2026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46127</v>
      </c>
      <c r="E947" s="1" t="n">
        <v>46222</v>
      </c>
      <c r="F947" t="inlineStr">
        <is>
          <t>GÄVLEBORGS LÄN</t>
        </is>
      </c>
      <c r="G947" t="inlineStr">
        <is>
          <t>HUDIKSVALL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18387-2026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46126</v>
      </c>
      <c r="E948" s="1" t="n">
        <v>46222</v>
      </c>
      <c r="F948" t="inlineStr">
        <is>
          <t>GÄVLEBORGS LÄN</t>
        </is>
      </c>
      <c r="G948" t="inlineStr">
        <is>
          <t>HUDIKSVALL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70264-2021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44536</v>
      </c>
      <c r="E949" s="1" t="n">
        <v>46222</v>
      </c>
      <c r="F949" t="inlineStr">
        <is>
          <t>GÄVLEBORGS LÄN</t>
        </is>
      </c>
      <c r="G949" t="inlineStr">
        <is>
          <t>HUDIKSVALL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66418-2021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44518</v>
      </c>
      <c r="E950" s="1" t="n">
        <v>46222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18582-2026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46127</v>
      </c>
      <c r="E951" s="1" t="n">
        <v>46222</v>
      </c>
      <c r="F951" t="inlineStr">
        <is>
          <t>GÄVLEBORGS LÄN</t>
        </is>
      </c>
      <c r="G951" t="inlineStr">
        <is>
          <t>HUDIKSVALL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18486-2026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46222</v>
      </c>
      <c r="F952" t="inlineStr">
        <is>
          <t>GÄVLEBORGS LÄN</t>
        </is>
      </c>
      <c r="G952" t="inlineStr">
        <is>
          <t>HUDIKSVALL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18257-2026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46126</v>
      </c>
      <c r="E953" s="1" t="n">
        <v>46222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18256-2026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46126</v>
      </c>
      <c r="E954" s="1" t="n">
        <v>46222</v>
      </c>
      <c r="F954" t="inlineStr">
        <is>
          <t>GÄVLEBORGS LÄN</t>
        </is>
      </c>
      <c r="G954" t="inlineStr">
        <is>
          <t>HUDIKSVALL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72083-2021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44544</v>
      </c>
      <c r="E955" s="1" t="n">
        <v>46222</v>
      </c>
      <c r="F955" t="inlineStr">
        <is>
          <t>GÄVLEBORGS LÄN</t>
        </is>
      </c>
      <c r="G955" t="inlineStr">
        <is>
          <t>HUDIKSVALL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18434-2026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46127</v>
      </c>
      <c r="E956" s="1" t="n">
        <v>46222</v>
      </c>
      <c r="F956" t="inlineStr">
        <is>
          <t>GÄVLEBORGS LÄN</t>
        </is>
      </c>
      <c r="G956" t="inlineStr">
        <is>
          <t>HUDIKSVALL</t>
        </is>
      </c>
      <c r="I956" t="n">
        <v>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13670-2024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45390</v>
      </c>
      <c r="E957" s="1" t="n">
        <v>46222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4565-2024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45327</v>
      </c>
      <c r="E958" s="1" t="n">
        <v>46222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39858-2023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45168</v>
      </c>
      <c r="E959" s="1" t="n">
        <v>46222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14108-2026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46099</v>
      </c>
      <c r="E960" s="1" t="n">
        <v>46222</v>
      </c>
      <c r="F960" t="inlineStr">
        <is>
          <t>GÄVLEBORGS LÄN</t>
        </is>
      </c>
      <c r="G960" t="inlineStr">
        <is>
          <t>HUDIKSVALL</t>
        </is>
      </c>
      <c r="I960" t="n">
        <v>5.5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35164-2023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45145</v>
      </c>
      <c r="E961" s="1" t="n">
        <v>46222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30398-2023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45111</v>
      </c>
      <c r="E962" s="1" t="n">
        <v>46222</v>
      </c>
      <c r="F962" t="inlineStr">
        <is>
          <t>GÄVLEBORGS LÄN</t>
        </is>
      </c>
      <c r="G962" t="inlineStr">
        <is>
          <t>HUDIKSVALL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18568-2023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45043</v>
      </c>
      <c r="E963" s="1" t="n">
        <v>46222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8486-2024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45355</v>
      </c>
      <c r="E964" s="1" t="n">
        <v>46222</v>
      </c>
      <c r="F964" t="inlineStr">
        <is>
          <t>GÄVLEBORGS LÄN</t>
        </is>
      </c>
      <c r="G964" t="inlineStr">
        <is>
          <t>HUDIKSVALL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46828-2024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45583</v>
      </c>
      <c r="E965" s="1" t="n">
        <v>46222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19.1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14796-2023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45014</v>
      </c>
      <c r="E966" s="1" t="n">
        <v>46222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64344-2021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44511</v>
      </c>
      <c r="E967" s="1" t="n">
        <v>46222</v>
      </c>
      <c r="F967" t="inlineStr">
        <is>
          <t>GÄVLEBORGS LÄN</t>
        </is>
      </c>
      <c r="G967" t="inlineStr">
        <is>
          <t>HUDIKSVALL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19270-2026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46222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59593-2021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44491</v>
      </c>
      <c r="E969" s="1" t="n">
        <v>46222</v>
      </c>
      <c r="F969" t="inlineStr">
        <is>
          <t>GÄVLEBORGS LÄN</t>
        </is>
      </c>
      <c r="G969" t="inlineStr">
        <is>
          <t>HUDIKSVALL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19705-2026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46222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5.5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19535-2026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46222</v>
      </c>
      <c r="F971" t="inlineStr">
        <is>
          <t>GÄVLEBORGS LÄN</t>
        </is>
      </c>
      <c r="G971" t="inlineStr">
        <is>
          <t>HUDIKSVALL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12931-2026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46092</v>
      </c>
      <c r="E972" s="1" t="n">
        <v>46222</v>
      </c>
      <c r="F972" t="inlineStr">
        <is>
          <t>GÄVLEBORGS LÄN</t>
        </is>
      </c>
      <c r="G972" t="inlineStr">
        <is>
          <t>HUDIKSVALL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19348-2026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46133</v>
      </c>
      <c r="E973" s="1" t="n">
        <v>46222</v>
      </c>
      <c r="F973" t="inlineStr">
        <is>
          <t>GÄVLEBORGS LÄN</t>
        </is>
      </c>
      <c r="G973" t="inlineStr">
        <is>
          <t>HUDIKSVALL</t>
        </is>
      </c>
      <c r="H973" t="inlineStr">
        <is>
          <t>Kommuner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34873-2024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45527</v>
      </c>
      <c r="E974" s="1" t="n">
        <v>46222</v>
      </c>
      <c r="F974" t="inlineStr">
        <is>
          <t>GÄVLEBORGS LÄN</t>
        </is>
      </c>
      <c r="G974" t="inlineStr">
        <is>
          <t>HUDIKSVALL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19568-2026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46222</v>
      </c>
      <c r="F975" t="inlineStr">
        <is>
          <t>GÄVLEBORGS LÄN</t>
        </is>
      </c>
      <c r="G975" t="inlineStr">
        <is>
          <t>HUDIKSVALL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16740-2026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46222</v>
      </c>
      <c r="F976" t="inlineStr">
        <is>
          <t>GÄVLEBORGS LÄN</t>
        </is>
      </c>
      <c r="G976" t="inlineStr">
        <is>
          <t>HUDIKSVALL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20383-2025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45775</v>
      </c>
      <c r="E977" s="1" t="n">
        <v>46222</v>
      </c>
      <c r="F977" t="inlineStr">
        <is>
          <t>GÄVLEBORGS LÄN</t>
        </is>
      </c>
      <c r="G977" t="inlineStr">
        <is>
          <t>HUDIKSVALL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50242-2024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45600</v>
      </c>
      <c r="E978" s="1" t="n">
        <v>46222</v>
      </c>
      <c r="F978" t="inlineStr">
        <is>
          <t>GÄVLEBORGS LÄN</t>
        </is>
      </c>
      <c r="G978" t="inlineStr">
        <is>
          <t>HUDIKSVALL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21718-2026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46149</v>
      </c>
      <c r="E979" s="1" t="n">
        <v>46222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14530-2026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46100</v>
      </c>
      <c r="E980" s="1" t="n">
        <v>46222</v>
      </c>
      <c r="F980" t="inlineStr">
        <is>
          <t>GÄVLEBORGS LÄN</t>
        </is>
      </c>
      <c r="G980" t="inlineStr">
        <is>
          <t>HUDIKSVALL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19790-2026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46222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19946-2026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46136</v>
      </c>
      <c r="E982" s="1" t="n">
        <v>46222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19947-2026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46136</v>
      </c>
      <c r="E983" s="1" t="n">
        <v>46222</v>
      </c>
      <c r="F983" t="inlineStr">
        <is>
          <t>GÄVLEBORGS LÄN</t>
        </is>
      </c>
      <c r="G983" t="inlineStr">
        <is>
          <t>HUDIKSVALL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46034</v>
      </c>
      <c r="E984" s="1" t="n">
        <v>46222</v>
      </c>
      <c r="F984" t="inlineStr">
        <is>
          <t>GÄVLEBORGS LÄN</t>
        </is>
      </c>
      <c r="G984" t="inlineStr">
        <is>
          <t>HUDIKSVALL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31691-2024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45507</v>
      </c>
      <c r="E985" s="1" t="n">
        <v>46222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20016-2026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46136</v>
      </c>
      <c r="E986" s="1" t="n">
        <v>46222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25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44182-2023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45188</v>
      </c>
      <c r="E987" s="1" t="n">
        <v>46222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33157-2025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45840</v>
      </c>
      <c r="E988" s="1" t="n">
        <v>46222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5.8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27955-2024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45476</v>
      </c>
      <c r="E989" s="1" t="n">
        <v>46222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45318-2023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45191</v>
      </c>
      <c r="E990" s="1" t="n">
        <v>46222</v>
      </c>
      <c r="F990" t="inlineStr">
        <is>
          <t>GÄVLEBORGS LÄN</t>
        </is>
      </c>
      <c r="G990" t="inlineStr">
        <is>
          <t>HUDIKSVALL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19781-2026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46135</v>
      </c>
      <c r="E991" s="1" t="n">
        <v>46222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69851-2021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44532</v>
      </c>
      <c r="E992" s="1" t="n">
        <v>46222</v>
      </c>
      <c r="F992" t="inlineStr">
        <is>
          <t>GÄVLEBORGS LÄN</t>
        </is>
      </c>
      <c r="G992" t="inlineStr">
        <is>
          <t>HUDIKSVALL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51424-2024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45604</v>
      </c>
      <c r="E993" s="1" t="n">
        <v>46222</v>
      </c>
      <c r="F993" t="inlineStr">
        <is>
          <t>GÄVLEBORGS LÄN</t>
        </is>
      </c>
      <c r="G993" t="inlineStr">
        <is>
          <t>HUDIKSVALL</t>
        </is>
      </c>
      <c r="I993" t="n">
        <v>8.800000000000001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32685-2025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46222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42629-2024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45565</v>
      </c>
      <c r="E995" s="1" t="n">
        <v>46222</v>
      </c>
      <c r="F995" t="inlineStr">
        <is>
          <t>GÄVLEBORGS LÄN</t>
        </is>
      </c>
      <c r="G995" t="inlineStr">
        <is>
          <t>HUDIKSVALL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58059-2025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46222</v>
      </c>
      <c r="F996" t="inlineStr">
        <is>
          <t>GÄVLEBORGS LÄN</t>
        </is>
      </c>
      <c r="G996" t="inlineStr">
        <is>
          <t>HUDIKSVALL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67049-2021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44522</v>
      </c>
      <c r="E997" s="1" t="n">
        <v>46222</v>
      </c>
      <c r="F997" t="inlineStr">
        <is>
          <t>GÄVLEBORGS LÄN</t>
        </is>
      </c>
      <c r="G997" t="inlineStr">
        <is>
          <t>HUDIKSVALL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74009-2021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44557</v>
      </c>
      <c r="E998" s="1" t="n">
        <v>46222</v>
      </c>
      <c r="F998" t="inlineStr">
        <is>
          <t>GÄVLEBORGS LÄN</t>
        </is>
      </c>
      <c r="G998" t="inlineStr">
        <is>
          <t>HUDIKSVALL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22945-2023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45072</v>
      </c>
      <c r="E999" s="1" t="n">
        <v>46222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19848-2026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46135</v>
      </c>
      <c r="E1000" s="1" t="n">
        <v>46222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50637-2025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45945</v>
      </c>
      <c r="E1001" s="1" t="n">
        <v>46222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4491-2026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46222</v>
      </c>
      <c r="F1002" t="inlineStr">
        <is>
          <t>GÄVLEBORGS LÄN</t>
        </is>
      </c>
      <c r="G1002" t="inlineStr">
        <is>
          <t>HUDIKSVALL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40321-2024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45554</v>
      </c>
      <c r="E1003" s="1" t="n">
        <v>46222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58005-2024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45631</v>
      </c>
      <c r="E1004" s="1" t="n">
        <v>46222</v>
      </c>
      <c r="F1004" t="inlineStr">
        <is>
          <t>GÄVLEBORGS LÄN</t>
        </is>
      </c>
      <c r="G1004" t="inlineStr">
        <is>
          <t>HUDIKSVALL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37689-2024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45541</v>
      </c>
      <c r="E1005" s="1" t="n">
        <v>46222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14653-2026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46101</v>
      </c>
      <c r="E1006" s="1" t="n">
        <v>46222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19864-2026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46222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19942-2025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45771</v>
      </c>
      <c r="E1008" s="1" t="n">
        <v>46222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60904-2024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45645</v>
      </c>
      <c r="E1009" s="1" t="n">
        <v>46222</v>
      </c>
      <c r="F1009" t="inlineStr">
        <is>
          <t>GÄVLEBORGS LÄN</t>
        </is>
      </c>
      <c r="G1009" t="inlineStr">
        <is>
          <t>HUDIKSVALL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8096-2024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45351</v>
      </c>
      <c r="E1010" s="1" t="n">
        <v>46222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1255-2026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46031</v>
      </c>
      <c r="E1011" s="1" t="n">
        <v>46222</v>
      </c>
      <c r="F1011" t="inlineStr">
        <is>
          <t>GÄVLEBORGS LÄN</t>
        </is>
      </c>
      <c r="G1011" t="inlineStr">
        <is>
          <t>HUDIKSVALL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28810-2023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45104</v>
      </c>
      <c r="E1012" s="1" t="n">
        <v>46222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6732-2026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46222</v>
      </c>
      <c r="F1013" t="inlineStr">
        <is>
          <t>GÄVLEBORGS LÄN</t>
        </is>
      </c>
      <c r="G1013" t="inlineStr">
        <is>
          <t>HUDIKSVALL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9586-2026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46071</v>
      </c>
      <c r="E1014" s="1" t="n">
        <v>46222</v>
      </c>
      <c r="F1014" t="inlineStr">
        <is>
          <t>GÄVLEBORGS LÄN</t>
        </is>
      </c>
      <c r="G1014" t="inlineStr">
        <is>
          <t>HUDIKSVALL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12511-2026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46090</v>
      </c>
      <c r="E1015" s="1" t="n">
        <v>46222</v>
      </c>
      <c r="F1015" t="inlineStr">
        <is>
          <t>GÄVLEBORGS LÄN</t>
        </is>
      </c>
      <c r="G1015" t="inlineStr">
        <is>
          <t>HUDIKSVALL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12580-2026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46090</v>
      </c>
      <c r="E1016" s="1" t="n">
        <v>46222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11735-2026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46084</v>
      </c>
      <c r="E1017" s="1" t="n">
        <v>46222</v>
      </c>
      <c r="F1017" t="inlineStr">
        <is>
          <t>GÄVLEBORGS LÄN</t>
        </is>
      </c>
      <c r="G1017" t="inlineStr">
        <is>
          <t>HUDIKSVALL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23924-2023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45078</v>
      </c>
      <c r="E1018" s="1" t="n">
        <v>46222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11132-2026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46079</v>
      </c>
      <c r="E1019" s="1" t="n">
        <v>46222</v>
      </c>
      <c r="F1019" t="inlineStr">
        <is>
          <t>GÄVLEBORGS LÄN</t>
        </is>
      </c>
      <c r="G1019" t="inlineStr">
        <is>
          <t>HUDIKSVALL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55613-2024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45622</v>
      </c>
      <c r="E1020" s="1" t="n">
        <v>46222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36342-2025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45868</v>
      </c>
      <c r="E1021" s="1" t="n">
        <v>46222</v>
      </c>
      <c r="F1021" t="inlineStr">
        <is>
          <t>GÄVLEBORGS LÄN</t>
        </is>
      </c>
      <c r="G1021" t="inlineStr">
        <is>
          <t>HUDIKSVALL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10373-2026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46076</v>
      </c>
      <c r="E1022" s="1" t="n">
        <v>46222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8264-2026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46064</v>
      </c>
      <c r="E1023" s="1" t="n">
        <v>46222</v>
      </c>
      <c r="F1023" t="inlineStr">
        <is>
          <t>GÄVLEBORGS LÄN</t>
        </is>
      </c>
      <c r="G1023" t="inlineStr">
        <is>
          <t>HUDIKSVALL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48448-2025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45935</v>
      </c>
      <c r="E1024" s="1" t="n">
        <v>46222</v>
      </c>
      <c r="F1024" t="inlineStr">
        <is>
          <t>GÄVLEBORGS LÄN</t>
        </is>
      </c>
      <c r="G1024" t="inlineStr">
        <is>
          <t>HUDIKSVALL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8269-2022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44610</v>
      </c>
      <c r="E1025" s="1" t="n">
        <v>46222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11629-2024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45373</v>
      </c>
      <c r="E1026" s="1" t="n">
        <v>46222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1468-2025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46222</v>
      </c>
      <c r="F1027" t="inlineStr">
        <is>
          <t>GÄVLEBORGS LÄN</t>
        </is>
      </c>
      <c r="G1027" t="inlineStr">
        <is>
          <t>HUDIKSVALL</t>
        </is>
      </c>
      <c r="I1027" t="n">
        <v>11.8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19014-2024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45427</v>
      </c>
      <c r="E1028" s="1" t="n">
        <v>46222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17.7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39232-2025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45889</v>
      </c>
      <c r="E1029" s="1" t="n">
        <v>46222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54171-2023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45232</v>
      </c>
      <c r="E1030" s="1" t="n">
        <v>46222</v>
      </c>
      <c r="F1030" t="inlineStr">
        <is>
          <t>GÄVLEBORGS LÄN</t>
        </is>
      </c>
      <c r="G1030" t="inlineStr">
        <is>
          <t>HUDIKSVALL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40965-2023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45173</v>
      </c>
      <c r="E1031" s="1" t="n">
        <v>46222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4405-2026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46222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5905-2025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45695</v>
      </c>
      <c r="E1033" s="1" t="n">
        <v>46222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2720-2025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45677</v>
      </c>
      <c r="E1034" s="1" t="n">
        <v>46222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46222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11475-2024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45372</v>
      </c>
      <c r="E1036" s="1" t="n">
        <v>46222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45297</v>
      </c>
      <c r="E1037" s="1" t="n">
        <v>46222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13759-2022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44649</v>
      </c>
      <c r="E1038" s="1" t="n">
        <v>46222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43476-2025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45911</v>
      </c>
      <c r="E1039" s="1" t="n">
        <v>46222</v>
      </c>
      <c r="F1039" t="inlineStr">
        <is>
          <t>GÄVLEBORGS LÄN</t>
        </is>
      </c>
      <c r="G1039" t="inlineStr">
        <is>
          <t>HUDIKSVALL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9138-2026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46069</v>
      </c>
      <c r="E1040" s="1" t="n">
        <v>46222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30591-2022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44762</v>
      </c>
      <c r="E1041" s="1" t="n">
        <v>46222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9918-2025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45717</v>
      </c>
      <c r="E1042" s="1" t="n">
        <v>46222</v>
      </c>
      <c r="F1042" t="inlineStr">
        <is>
          <t>GÄVLEBORGS LÄN</t>
        </is>
      </c>
      <c r="G1042" t="inlineStr">
        <is>
          <t>HUDIKSVALL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50325-2025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45944</v>
      </c>
      <c r="E1043" s="1" t="n">
        <v>46222</v>
      </c>
      <c r="F1043" t="inlineStr">
        <is>
          <t>GÄVLEBORGS LÄN</t>
        </is>
      </c>
      <c r="G1043" t="inlineStr">
        <is>
          <t>HUDIKSVALL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20411-2026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46222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59823-2024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45639</v>
      </c>
      <c r="E1045" s="1" t="n">
        <v>46222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56858-2024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45628</v>
      </c>
      <c r="E1046" s="1" t="n">
        <v>46222</v>
      </c>
      <c r="F1046" t="inlineStr">
        <is>
          <t>GÄVLEBORGS LÄN</t>
        </is>
      </c>
      <c r="G1046" t="inlineStr">
        <is>
          <t>HUDIKSVALL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48645-2024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45593</v>
      </c>
      <c r="E1047" s="1" t="n">
        <v>46222</v>
      </c>
      <c r="F1047" t="inlineStr">
        <is>
          <t>GÄVLEBORGS LÄN</t>
        </is>
      </c>
      <c r="G1047" t="inlineStr">
        <is>
          <t>HUDIKSVALL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54225-2023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45232</v>
      </c>
      <c r="E1048" s="1" t="n">
        <v>46222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10843-2022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44627</v>
      </c>
      <c r="E1049" s="1" t="n">
        <v>46222</v>
      </c>
      <c r="F1049" t="inlineStr">
        <is>
          <t>GÄVLEBORGS LÄN</t>
        </is>
      </c>
      <c r="G1049" t="inlineStr">
        <is>
          <t>HUDIKSVALL</t>
        </is>
      </c>
      <c r="I1049" t="n">
        <v>15.4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8041-2026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46063</v>
      </c>
      <c r="E1050" s="1" t="n">
        <v>46222</v>
      </c>
      <c r="F1050" t="inlineStr">
        <is>
          <t>GÄVLEBORGS LÄN</t>
        </is>
      </c>
      <c r="G1050" t="inlineStr">
        <is>
          <t>HUDIKSVALL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1556-2026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46222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20458-2026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46140</v>
      </c>
      <c r="E1052" s="1" t="n">
        <v>46222</v>
      </c>
      <c r="F1052" t="inlineStr">
        <is>
          <t>GÄVLEBORGS LÄN</t>
        </is>
      </c>
      <c r="G1052" t="inlineStr">
        <is>
          <t>HUDIKSVALL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41535-2024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45560</v>
      </c>
      <c r="E1053" s="1" t="n">
        <v>46222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13853-2025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45737</v>
      </c>
      <c r="E1054" s="1" t="n">
        <v>46222</v>
      </c>
      <c r="F1054" t="inlineStr">
        <is>
          <t>GÄVLEBORGS LÄN</t>
        </is>
      </c>
      <c r="G1054" t="inlineStr">
        <is>
          <t>HUDIKSVALL</t>
        </is>
      </c>
      <c r="I1054" t="n">
        <v>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22892-2023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45072</v>
      </c>
      <c r="E1055" s="1" t="n">
        <v>46222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18828-2024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45426</v>
      </c>
      <c r="E1056" s="1" t="n">
        <v>46222</v>
      </c>
      <c r="F1056" t="inlineStr">
        <is>
          <t>GÄVLEBORGS LÄN</t>
        </is>
      </c>
      <c r="G1056" t="inlineStr">
        <is>
          <t>HUDIKSVALL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7295-2026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46058</v>
      </c>
      <c r="E1057" s="1" t="n">
        <v>46222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9905-2024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45363</v>
      </c>
      <c r="E1058" s="1" t="n">
        <v>46222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10379-2026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46076</v>
      </c>
      <c r="E1059" s="1" t="n">
        <v>46222</v>
      </c>
      <c r="F1059" t="inlineStr">
        <is>
          <t>GÄVLEBORGS LÄN</t>
        </is>
      </c>
      <c r="G1059" t="inlineStr">
        <is>
          <t>HUDIKSVALL</t>
        </is>
      </c>
      <c r="I1059" t="n">
        <v>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45674</v>
      </c>
      <c r="E1060" s="1" t="n">
        <v>46222</v>
      </c>
      <c r="F1060" t="inlineStr">
        <is>
          <t>GÄVLEBORGS LÄN</t>
        </is>
      </c>
      <c r="G1060" t="inlineStr">
        <is>
          <t>HUDIKSVALL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2663-2025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45676</v>
      </c>
      <c r="E1061" s="1" t="n">
        <v>46222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1192-2026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46222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34757-2023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45141</v>
      </c>
      <c r="E1063" s="1" t="n">
        <v>46222</v>
      </c>
      <c r="F1063" t="inlineStr">
        <is>
          <t>GÄVLEBORGS LÄN</t>
        </is>
      </c>
      <c r="G1063" t="inlineStr">
        <is>
          <t>HUDIKSVALL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14383-2026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46100</v>
      </c>
      <c r="E1064" s="1" t="n">
        <v>46222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19601-2024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45431</v>
      </c>
      <c r="E1065" s="1" t="n">
        <v>46222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15486-2024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45401</v>
      </c>
      <c r="E1066" s="1" t="n">
        <v>46222</v>
      </c>
      <c r="F1066" t="inlineStr">
        <is>
          <t>GÄVLEBORGS LÄN</t>
        </is>
      </c>
      <c r="G1066" t="inlineStr">
        <is>
          <t>HUDIKSVALL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27204-2023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45096</v>
      </c>
      <c r="E1067" s="1" t="n">
        <v>46222</v>
      </c>
      <c r="F1067" t="inlineStr">
        <is>
          <t>GÄVLEBORGS LÄN</t>
        </is>
      </c>
      <c r="G1067" t="inlineStr">
        <is>
          <t>HUDIKSVALL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20017-2022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44697</v>
      </c>
      <c r="E1068" s="1" t="n">
        <v>46222</v>
      </c>
      <c r="F1068" t="inlineStr">
        <is>
          <t>GÄVLEBORGS LÄN</t>
        </is>
      </c>
      <c r="G1068" t="inlineStr">
        <is>
          <t>HUDIKSVALL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6730-2025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45700</v>
      </c>
      <c r="E1069" s="1" t="n">
        <v>46222</v>
      </c>
      <c r="F1069" t="inlineStr">
        <is>
          <t>GÄVLEBORGS LÄN</t>
        </is>
      </c>
      <c r="G1069" t="inlineStr">
        <is>
          <t>HUDIKSVALL</t>
        </is>
      </c>
      <c r="I1069" t="n">
        <v>25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35737-2023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45147</v>
      </c>
      <c r="E1070" s="1" t="n">
        <v>46222</v>
      </c>
      <c r="F1070" t="inlineStr">
        <is>
          <t>GÄVLEBORGS LÄN</t>
        </is>
      </c>
      <c r="G1070" t="inlineStr">
        <is>
          <t>HUDIKSVALL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12429-2026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46090</v>
      </c>
      <c r="E1071" s="1" t="n">
        <v>46222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6990-2025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45701</v>
      </c>
      <c r="E1072" s="1" t="n">
        <v>46222</v>
      </c>
      <c r="F1072" t="inlineStr">
        <is>
          <t>GÄVLEBORGS LÄN</t>
        </is>
      </c>
      <c r="G1072" t="inlineStr">
        <is>
          <t>HUDIKSVALL</t>
        </is>
      </c>
      <c r="I1072" t="n">
        <v>7.2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28472-2025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45819</v>
      </c>
      <c r="E1073" s="1" t="n">
        <v>46222</v>
      </c>
      <c r="F1073" t="inlineStr">
        <is>
          <t>GÄVLEBORGS LÄN</t>
        </is>
      </c>
      <c r="G1073" t="inlineStr">
        <is>
          <t>HUDIKSVALL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46024</v>
      </c>
      <c r="E1074" s="1" t="n">
        <v>46222</v>
      </c>
      <c r="F1074" t="inlineStr">
        <is>
          <t>GÄVLEBORGS LÄN</t>
        </is>
      </c>
      <c r="G1074" t="inlineStr">
        <is>
          <t>HUDIKSVALL</t>
        </is>
      </c>
      <c r="I1074" t="n">
        <v>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63933-2025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46020</v>
      </c>
      <c r="E1075" s="1" t="n">
        <v>46222</v>
      </c>
      <c r="F1075" t="inlineStr">
        <is>
          <t>GÄVLEBORGS LÄN</t>
        </is>
      </c>
      <c r="G1075" t="inlineStr">
        <is>
          <t>HUDIKSVALL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9813-2026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46222</v>
      </c>
      <c r="F1076" t="inlineStr">
        <is>
          <t>GÄVLEBORGS LÄN</t>
        </is>
      </c>
      <c r="G1076" t="inlineStr">
        <is>
          <t>HUDIKSVALL</t>
        </is>
      </c>
      <c r="I1076" t="n">
        <v>3.8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7973-2026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46063</v>
      </c>
      <c r="E1077" s="1" t="n">
        <v>46222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11776-2026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46084</v>
      </c>
      <c r="E1078" s="1" t="n">
        <v>46222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21525-2022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44706</v>
      </c>
      <c r="E1079" s="1" t="n">
        <v>46222</v>
      </c>
      <c r="F1079" t="inlineStr">
        <is>
          <t>GÄVLEBORGS LÄN</t>
        </is>
      </c>
      <c r="G1079" t="inlineStr">
        <is>
          <t>HUDIKSVALL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57871-2023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45247</v>
      </c>
      <c r="E1080" s="1" t="n">
        <v>46222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5892-2025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45695</v>
      </c>
      <c r="E1081" s="1" t="n">
        <v>46222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58040-2025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45982</v>
      </c>
      <c r="E1082" s="1" t="n">
        <v>46222</v>
      </c>
      <c r="F1082" t="inlineStr">
        <is>
          <t>GÄVLEBORGS LÄN</t>
        </is>
      </c>
      <c r="G1082" t="inlineStr">
        <is>
          <t>HUDIKSVALL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24890-2023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45085</v>
      </c>
      <c r="E1083" s="1" t="n">
        <v>46222</v>
      </c>
      <c r="F1083" t="inlineStr">
        <is>
          <t>GÄVLEBORGS LÄN</t>
        </is>
      </c>
      <c r="G1083" t="inlineStr">
        <is>
          <t>HUDIKSVALL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420-2026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46028</v>
      </c>
      <c r="E1084" s="1" t="n">
        <v>46222</v>
      </c>
      <c r="F1084" t="inlineStr">
        <is>
          <t>GÄVLEBORGS LÄN</t>
        </is>
      </c>
      <c r="G1084" t="inlineStr">
        <is>
          <t>HUDIKSVALL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4312-2026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46222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36125-2023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45149</v>
      </c>
      <c r="E1086" s="1" t="n">
        <v>46222</v>
      </c>
      <c r="F1086" t="inlineStr">
        <is>
          <t>GÄVLEBORGS LÄN</t>
        </is>
      </c>
      <c r="G1086" t="inlineStr">
        <is>
          <t>HUDIKSVALL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4075-2025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45684</v>
      </c>
      <c r="E1087" s="1" t="n">
        <v>46222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4279-2026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46222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20204-2026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46222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12873-2026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46222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845-2026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46222</v>
      </c>
      <c r="F1091" t="inlineStr">
        <is>
          <t>GÄVLEBORGS LÄN</t>
        </is>
      </c>
      <c r="G1091" t="inlineStr">
        <is>
          <t>HUDIKSVALL</t>
        </is>
      </c>
      <c r="I1091" t="n">
        <v>7.3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12551-2026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46222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43070-2024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45567</v>
      </c>
      <c r="E1093" s="1" t="n">
        <v>46222</v>
      </c>
      <c r="F1093" t="inlineStr">
        <is>
          <t>GÄVLEBORGS LÄN</t>
        </is>
      </c>
      <c r="G1093" t="inlineStr">
        <is>
          <t>HUDIKSVALL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47415-2023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45202</v>
      </c>
      <c r="E1094" s="1" t="n">
        <v>46222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4428-2025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45686</v>
      </c>
      <c r="E1095" s="1" t="n">
        <v>46222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20920-2026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46142</v>
      </c>
      <c r="E1096" s="1" t="n">
        <v>46222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39669-2022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44818</v>
      </c>
      <c r="E1097" s="1" t="n">
        <v>46222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20743-2026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46141</v>
      </c>
      <c r="E1098" s="1" t="n">
        <v>46222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58088-2022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44900</v>
      </c>
      <c r="E1099" s="1" t="n">
        <v>46222</v>
      </c>
      <c r="F1099" t="inlineStr">
        <is>
          <t>GÄVLEBORGS LÄN</t>
        </is>
      </c>
      <c r="G1099" t="inlineStr">
        <is>
          <t>HUDIKSVALL</t>
        </is>
      </c>
      <c r="I1099" t="n">
        <v>7.5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7749-2026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46062</v>
      </c>
      <c r="E1100" s="1" t="n">
        <v>46222</v>
      </c>
      <c r="F1100" t="inlineStr">
        <is>
          <t>GÄVLEBORGS LÄN</t>
        </is>
      </c>
      <c r="G1100" t="inlineStr">
        <is>
          <t>HUDIKSVALL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20791-2026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46222</v>
      </c>
      <c r="F1101" t="inlineStr">
        <is>
          <t>GÄVLEBORGS LÄN</t>
        </is>
      </c>
      <c r="G1101" t="inlineStr">
        <is>
          <t>HUDIKSVALL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59875-2023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45257</v>
      </c>
      <c r="E1102" s="1" t="n">
        <v>46222</v>
      </c>
      <c r="F1102" t="inlineStr">
        <is>
          <t>GÄVLEBORGS LÄN</t>
        </is>
      </c>
      <c r="G1102" t="inlineStr">
        <is>
          <t>HUDIKSVALL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461-2024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45297</v>
      </c>
      <c r="E1103" s="1" t="n">
        <v>46222</v>
      </c>
      <c r="F1103" t="inlineStr">
        <is>
          <t>GÄVLEBORGS LÄN</t>
        </is>
      </c>
      <c r="G1103" t="inlineStr">
        <is>
          <t>HUDIKSVALL</t>
        </is>
      </c>
      <c r="I1103" t="n">
        <v>43.2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22165-2022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44712</v>
      </c>
      <c r="E1104" s="1" t="n">
        <v>46222</v>
      </c>
      <c r="F1104" t="inlineStr">
        <is>
          <t>GÄVLEBORGS LÄN</t>
        </is>
      </c>
      <c r="G1104" t="inlineStr">
        <is>
          <t>HUDIKSVALL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11478-2026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46083</v>
      </c>
      <c r="E1105" s="1" t="n">
        <v>46222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43659-2023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45187</v>
      </c>
      <c r="E1106" s="1" t="n">
        <v>46222</v>
      </c>
      <c r="F1106" t="inlineStr">
        <is>
          <t>GÄVLEBORGS LÄN</t>
        </is>
      </c>
      <c r="G1106" t="inlineStr">
        <is>
          <t>HUDIKSVALL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26410-2026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46183</v>
      </c>
      <c r="E1107" s="1" t="n">
        <v>46222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12392-2026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46090</v>
      </c>
      <c r="E1108" s="1" t="n">
        <v>46222</v>
      </c>
      <c r="F1108" t="inlineStr">
        <is>
          <t>GÄVLEBORGS LÄN</t>
        </is>
      </c>
      <c r="G1108" t="inlineStr">
        <is>
          <t>HUDIKSVALL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20728-2026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46141</v>
      </c>
      <c r="E1109" s="1" t="n">
        <v>46222</v>
      </c>
      <c r="F1109" t="inlineStr">
        <is>
          <t>GÄVLEBORGS LÄN</t>
        </is>
      </c>
      <c r="G1109" t="inlineStr">
        <is>
          <t>HUDIKSVALL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9477-2025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45715</v>
      </c>
      <c r="E1110" s="1" t="n">
        <v>46222</v>
      </c>
      <c r="F1110" t="inlineStr">
        <is>
          <t>GÄVLEBORGS LÄN</t>
        </is>
      </c>
      <c r="G1110" t="inlineStr">
        <is>
          <t>HUDIKSVALL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43496-2025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46222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Naturvårdsverket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43930-2023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45187</v>
      </c>
      <c r="E1112" s="1" t="n">
        <v>46222</v>
      </c>
      <c r="F1112" t="inlineStr">
        <is>
          <t>GÄVLEBORGS LÄN</t>
        </is>
      </c>
      <c r="G1112" t="inlineStr">
        <is>
          <t>HUDIKSVALL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8778-2026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46066</v>
      </c>
      <c r="E1113" s="1" t="n">
        <v>46222</v>
      </c>
      <c r="F1113" t="inlineStr">
        <is>
          <t>GÄVLEBORGS LÄN</t>
        </is>
      </c>
      <c r="G1113" t="inlineStr">
        <is>
          <t>HUDIKSVALL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12312-2026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46087</v>
      </c>
      <c r="E1114" s="1" t="n">
        <v>46222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Kyrkan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12676-2026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46091</v>
      </c>
      <c r="E1115" s="1" t="n">
        <v>46222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9894-2026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46073</v>
      </c>
      <c r="E1116" s="1" t="n">
        <v>46222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20921-2026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46142</v>
      </c>
      <c r="E1117" s="1" t="n">
        <v>46222</v>
      </c>
      <c r="F1117" t="inlineStr">
        <is>
          <t>GÄVLEBORGS LÄN</t>
        </is>
      </c>
      <c r="G1117" t="inlineStr">
        <is>
          <t>HUDIKSVALL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4217-2026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46044</v>
      </c>
      <c r="E1118" s="1" t="n">
        <v>46222</v>
      </c>
      <c r="F1118" t="inlineStr">
        <is>
          <t>GÄVLEBORGS LÄN</t>
        </is>
      </c>
      <c r="G1118" t="inlineStr">
        <is>
          <t>HUDIKSVALL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10157-2026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46076</v>
      </c>
      <c r="E1119" s="1" t="n">
        <v>46222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34370-2022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44792</v>
      </c>
      <c r="E1120" s="1" t="n">
        <v>46222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20638-2026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46141</v>
      </c>
      <c r="E1121" s="1" t="n">
        <v>46222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9582-2026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46222</v>
      </c>
      <c r="F1122" t="inlineStr">
        <is>
          <t>GÄVLEBORGS LÄN</t>
        </is>
      </c>
      <c r="G1122" t="inlineStr">
        <is>
          <t>HUDIKSVALL</t>
        </is>
      </c>
      <c r="I1122" t="n">
        <v>6.2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10426-2025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45720</v>
      </c>
      <c r="E1123" s="1" t="n">
        <v>46222</v>
      </c>
      <c r="F1123" t="inlineStr">
        <is>
          <t>GÄVLEBORGS LÄN</t>
        </is>
      </c>
      <c r="G1123" t="inlineStr">
        <is>
          <t>HUDIKSVALL</t>
        </is>
      </c>
      <c r="I1123" t="n">
        <v>4.5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17345-2024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45414</v>
      </c>
      <c r="E1124" s="1" t="n">
        <v>46222</v>
      </c>
      <c r="F1124" t="inlineStr">
        <is>
          <t>GÄVLEBORGS LÄN</t>
        </is>
      </c>
      <c r="G1124" t="inlineStr">
        <is>
          <t>HUDIKSVALL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7054-2026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46057</v>
      </c>
      <c r="E1125" s="1" t="n">
        <v>46222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46222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43665-2023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45187</v>
      </c>
      <c r="E1127" s="1" t="n">
        <v>46222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7298-2026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46222</v>
      </c>
      <c r="F1128" t="inlineStr">
        <is>
          <t>GÄVLEBORGS LÄN</t>
        </is>
      </c>
      <c r="G1128" t="inlineStr">
        <is>
          <t>HUDIKSVALL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6019-2025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45695</v>
      </c>
      <c r="E1129" s="1" t="n">
        <v>46222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63862-2025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46020</v>
      </c>
      <c r="E1130" s="1" t="n">
        <v>46222</v>
      </c>
      <c r="F1130" t="inlineStr">
        <is>
          <t>GÄVLEBORGS LÄN</t>
        </is>
      </c>
      <c r="G1130" t="inlineStr">
        <is>
          <t>HUDIKSVALL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53977-2025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46222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Naturvårdsverket</t>
        </is>
      </c>
      <c r="I1131" t="n">
        <v>9.5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46024</v>
      </c>
      <c r="E1132" s="1" t="n">
        <v>46222</v>
      </c>
      <c r="F1132" t="inlineStr">
        <is>
          <t>GÄVLEBORGS LÄN</t>
        </is>
      </c>
      <c r="G1132" t="inlineStr">
        <is>
          <t>HUDIKSVALL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60938-2023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45261</v>
      </c>
      <c r="E1133" s="1" t="n">
        <v>46222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53434-2023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45229</v>
      </c>
      <c r="E1134" s="1" t="n">
        <v>46222</v>
      </c>
      <c r="F1134" t="inlineStr">
        <is>
          <t>GÄVLEBORGS LÄN</t>
        </is>
      </c>
      <c r="G1134" t="inlineStr">
        <is>
          <t>HUDIKSVALL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26413-2026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46183</v>
      </c>
      <c r="E1135" s="1" t="n">
        <v>46222</v>
      </c>
      <c r="F1135" t="inlineStr">
        <is>
          <t>GÄVLEBORGS LÄN</t>
        </is>
      </c>
      <c r="G1135" t="inlineStr">
        <is>
          <t>HUDIKSVALL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16633-2024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45408</v>
      </c>
      <c r="E1136" s="1" t="n">
        <v>46222</v>
      </c>
      <c r="F1136" t="inlineStr">
        <is>
          <t>GÄVLEBORGS LÄN</t>
        </is>
      </c>
      <c r="G1136" t="inlineStr">
        <is>
          <t>HUDIKSVALL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8124-2026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46063</v>
      </c>
      <c r="E1137" s="1" t="n">
        <v>46222</v>
      </c>
      <c r="F1137" t="inlineStr">
        <is>
          <t>GÄVLEBORGS LÄN</t>
        </is>
      </c>
      <c r="G1137" t="inlineStr">
        <is>
          <t>HUDIKSVALL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20825-2026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46222</v>
      </c>
      <c r="F1138" t="inlineStr">
        <is>
          <t>GÄVLEBORGS LÄN</t>
        </is>
      </c>
      <c r="G1138" t="inlineStr">
        <is>
          <t>HUDIKSVALL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25349-2022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46222</v>
      </c>
      <c r="F1139" t="inlineStr">
        <is>
          <t>GÄVLEBORGS LÄN</t>
        </is>
      </c>
      <c r="G1139" t="inlineStr">
        <is>
          <t>HUDIKSVALL</t>
        </is>
      </c>
      <c r="I1139" t="n">
        <v>5.4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20816-2026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46222</v>
      </c>
      <c r="F1140" t="inlineStr">
        <is>
          <t>GÄVLEBORGS LÄN</t>
        </is>
      </c>
      <c r="G1140" t="inlineStr">
        <is>
          <t>HUDIKSVALL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2760-2024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45314</v>
      </c>
      <c r="E1141" s="1" t="n">
        <v>46222</v>
      </c>
      <c r="F1141" t="inlineStr">
        <is>
          <t>GÄVLEBORGS LÄN</t>
        </is>
      </c>
      <c r="G1141" t="inlineStr">
        <is>
          <t>HUDIKSVALL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27259-2026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46222</v>
      </c>
      <c r="F1142" t="inlineStr">
        <is>
          <t>GÄVLEBORGS LÄN</t>
        </is>
      </c>
      <c r="G1142" t="inlineStr">
        <is>
          <t>HUDIKSVALL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6895-2026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46057</v>
      </c>
      <c r="E1143" s="1" t="n">
        <v>46222</v>
      </c>
      <c r="F1143" t="inlineStr">
        <is>
          <t>GÄVLEBORGS LÄN</t>
        </is>
      </c>
      <c r="G1143" t="inlineStr">
        <is>
          <t>HUDIKSVALL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21094-2026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46146</v>
      </c>
      <c r="E1144" s="1" t="n">
        <v>46222</v>
      </c>
      <c r="F1144" t="inlineStr">
        <is>
          <t>GÄVLEBORGS LÄN</t>
        </is>
      </c>
      <c r="G1144" t="inlineStr">
        <is>
          <t>HUDIKSVALL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46222</v>
      </c>
      <c r="F1145" t="inlineStr">
        <is>
          <t>GÄVLEBORGS LÄN</t>
        </is>
      </c>
      <c r="G1145" t="inlineStr">
        <is>
          <t>HUDIKSVALL</t>
        </is>
      </c>
      <c r="I1145" t="n">
        <v>6.6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46222</v>
      </c>
      <c r="F1146" t="inlineStr">
        <is>
          <t>GÄVLEBORGS LÄN</t>
        </is>
      </c>
      <c r="G1146" t="inlineStr">
        <is>
          <t>HUDIKSVALL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2707-2024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45314</v>
      </c>
      <c r="E1147" s="1" t="n">
        <v>46222</v>
      </c>
      <c r="F1147" t="inlineStr">
        <is>
          <t>GÄVLEBORGS LÄN</t>
        </is>
      </c>
      <c r="G1147" t="inlineStr">
        <is>
          <t>HUDIKSVALL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1297-2024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45303</v>
      </c>
      <c r="E1148" s="1" t="n">
        <v>46222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11093-2025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45723</v>
      </c>
      <c r="E1149" s="1" t="n">
        <v>46222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4758-2026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46048</v>
      </c>
      <c r="E1150" s="1" t="n">
        <v>46222</v>
      </c>
      <c r="F1150" t="inlineStr">
        <is>
          <t>GÄVLEBORGS LÄN</t>
        </is>
      </c>
      <c r="G1150" t="inlineStr">
        <is>
          <t>HUDIKSVALL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21561-2022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44706</v>
      </c>
      <c r="E1151" s="1" t="n">
        <v>46222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21159-2026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46146</v>
      </c>
      <c r="E1152" s="1" t="n">
        <v>46222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Kyrkan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64015-2023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45278</v>
      </c>
      <c r="E1153" s="1" t="n">
        <v>46222</v>
      </c>
      <c r="F1153" t="inlineStr">
        <is>
          <t>GÄVLEBORGS LÄN</t>
        </is>
      </c>
      <c r="G1153" t="inlineStr">
        <is>
          <t>HUDIKSVALL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4881-2026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46048</v>
      </c>
      <c r="E1154" s="1" t="n">
        <v>46222</v>
      </c>
      <c r="F1154" t="inlineStr">
        <is>
          <t>GÄVLEBORGS LÄN</t>
        </is>
      </c>
      <c r="G1154" t="inlineStr">
        <is>
          <t>HUDIKSVALL</t>
        </is>
      </c>
      <c r="I1154" t="n">
        <v>8.1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62439-2023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45268</v>
      </c>
      <c r="E1155" s="1" t="n">
        <v>46222</v>
      </c>
      <c r="F1155" t="inlineStr">
        <is>
          <t>GÄVLEBORGS LÄN</t>
        </is>
      </c>
      <c r="G1155" t="inlineStr">
        <is>
          <t>HUDIKSVALL</t>
        </is>
      </c>
      <c r="I1155" t="n">
        <v>13.3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27171-2026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46188</v>
      </c>
      <c r="E1156" s="1" t="n">
        <v>46222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20805-2026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46222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46222</v>
      </c>
      <c r="F1158" t="inlineStr">
        <is>
          <t>GÄVLEBORGS LÄN</t>
        </is>
      </c>
      <c r="G1158" t="inlineStr">
        <is>
          <t>HUDIKSVALL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19509-2025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45770</v>
      </c>
      <c r="E1159" s="1" t="n">
        <v>46222</v>
      </c>
      <c r="F1159" t="inlineStr">
        <is>
          <t>GÄVLEBORGS LÄN</t>
        </is>
      </c>
      <c r="G1159" t="inlineStr">
        <is>
          <t>HUDIKSVALL</t>
        </is>
      </c>
      <c r="I1159" t="n">
        <v>13.7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2645-2024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46222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2654-2024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45314</v>
      </c>
      <c r="E1161" s="1" t="n">
        <v>46222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46222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4504-2024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45327</v>
      </c>
      <c r="E1163" s="1" t="n">
        <v>46222</v>
      </c>
      <c r="F1163" t="inlineStr">
        <is>
          <t>GÄVLEBORGS LÄN</t>
        </is>
      </c>
      <c r="G1163" t="inlineStr">
        <is>
          <t>HUDIKSVALL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17586-2026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46222</v>
      </c>
      <c r="F1164" t="inlineStr">
        <is>
          <t>GÄVLEBORGS LÄN</t>
        </is>
      </c>
      <c r="G1164" t="inlineStr">
        <is>
          <t>HUDIKSVALL</t>
        </is>
      </c>
      <c r="I1164" t="n">
        <v>5.6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59851-2023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45257</v>
      </c>
      <c r="E1165" s="1" t="n">
        <v>46222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12529-2026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46222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21243-2026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46147</v>
      </c>
      <c r="E1167" s="1" t="n">
        <v>46222</v>
      </c>
      <c r="F1167" t="inlineStr">
        <is>
          <t>GÄVLEBORGS LÄN</t>
        </is>
      </c>
      <c r="G1167" t="inlineStr">
        <is>
          <t>HUDIKSVALL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21431-2026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46148</v>
      </c>
      <c r="E1168" s="1" t="n">
        <v>46222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Kyrkan</t>
        </is>
      </c>
      <c r="I1168" t="n">
        <v>8.800000000000001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55201-2023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45237</v>
      </c>
      <c r="E1169" s="1" t="n">
        <v>46222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21249-2026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46147</v>
      </c>
      <c r="E1170" s="1" t="n">
        <v>46222</v>
      </c>
      <c r="F1170" t="inlineStr">
        <is>
          <t>GÄVLEBORGS LÄN</t>
        </is>
      </c>
      <c r="G1170" t="inlineStr">
        <is>
          <t>HUDIKSVALL</t>
        </is>
      </c>
      <c r="I1170" t="n">
        <v>13.8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21546-2026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46148</v>
      </c>
      <c r="E1171" s="1" t="n">
        <v>46222</v>
      </c>
      <c r="F1171" t="inlineStr">
        <is>
          <t>GÄVLEBORGS LÄN</t>
        </is>
      </c>
      <c r="G1171" t="inlineStr">
        <is>
          <t>HUDIKSVALL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47530-2023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45203</v>
      </c>
      <c r="E1172" s="1" t="n">
        <v>46222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37.8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21508-2026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46148</v>
      </c>
      <c r="E1173" s="1" t="n">
        <v>46222</v>
      </c>
      <c r="F1173" t="inlineStr">
        <is>
          <t>GÄVLEBORGS LÄN</t>
        </is>
      </c>
      <c r="G1173" t="inlineStr">
        <is>
          <t>HUDIKSVALL</t>
        </is>
      </c>
      <c r="I1173" t="n">
        <v>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21574-2026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46148</v>
      </c>
      <c r="E1174" s="1" t="n">
        <v>46222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26803-2026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46185</v>
      </c>
      <c r="E1175" s="1" t="n">
        <v>46222</v>
      </c>
      <c r="F1175" t="inlineStr">
        <is>
          <t>GÄVLEBORGS LÄN</t>
        </is>
      </c>
      <c r="G1175" t="inlineStr">
        <is>
          <t>HUDIKSVALL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60899-2023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45261</v>
      </c>
      <c r="E1176" s="1" t="n">
        <v>46222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60901-2023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45261</v>
      </c>
      <c r="E1177" s="1" t="n">
        <v>46222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27410-2026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46189</v>
      </c>
      <c r="E1178" s="1" t="n">
        <v>46222</v>
      </c>
      <c r="F1178" t="inlineStr">
        <is>
          <t>GÄVLEBORGS LÄN</t>
        </is>
      </c>
      <c r="G1178" t="inlineStr">
        <is>
          <t>HUDIKSVALL</t>
        </is>
      </c>
      <c r="I1178" t="n">
        <v>13.9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67082-2021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44522</v>
      </c>
      <c r="E1179" s="1" t="n">
        <v>46222</v>
      </c>
      <c r="F1179" t="inlineStr">
        <is>
          <t>GÄVLEBORGS LÄN</t>
        </is>
      </c>
      <c r="G1179" t="inlineStr">
        <is>
          <t>HUDIKSVALL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21473-2026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46148</v>
      </c>
      <c r="E1180" s="1" t="n">
        <v>46222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Kyrkan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21318-2026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46147</v>
      </c>
      <c r="E1181" s="1" t="n">
        <v>46222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Kyrkan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21568-2026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46148</v>
      </c>
      <c r="E1182" s="1" t="n">
        <v>46222</v>
      </c>
      <c r="F1182" t="inlineStr">
        <is>
          <t>GÄVLEBORGS LÄN</t>
        </is>
      </c>
      <c r="G1182" t="inlineStr">
        <is>
          <t>HUDIKSVALL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27505-2026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46222</v>
      </c>
      <c r="F1183" t="inlineStr">
        <is>
          <t>GÄVLEBORGS LÄN</t>
        </is>
      </c>
      <c r="G1183" t="inlineStr">
        <is>
          <t>HUDIKSVALL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34427-2022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44792</v>
      </c>
      <c r="E1184" s="1" t="n">
        <v>46222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21382-2026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46147</v>
      </c>
      <c r="E1185" s="1" t="n">
        <v>46222</v>
      </c>
      <c r="F1185" t="inlineStr">
        <is>
          <t>GÄVLEBORGS LÄN</t>
        </is>
      </c>
      <c r="G1185" t="inlineStr">
        <is>
          <t>HUDIKSVALL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21557-2026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46148</v>
      </c>
      <c r="E1186" s="1" t="n">
        <v>46222</v>
      </c>
      <c r="F1186" t="inlineStr">
        <is>
          <t>GÄVLEBORGS LÄN</t>
        </is>
      </c>
      <c r="G1186" t="inlineStr">
        <is>
          <t>HUDIKSVALL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21323-2026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46147</v>
      </c>
      <c r="E1187" s="1" t="n">
        <v>46222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Kyrkan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21353-2026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46147</v>
      </c>
      <c r="E1188" s="1" t="n">
        <v>46222</v>
      </c>
      <c r="F1188" t="inlineStr">
        <is>
          <t>GÄVLEBORGS LÄN</t>
        </is>
      </c>
      <c r="G1188" t="inlineStr">
        <is>
          <t>HUDIKSVALL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27706-2026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46222</v>
      </c>
      <c r="F1189" t="inlineStr">
        <is>
          <t>GÄVLEBORGS LÄN</t>
        </is>
      </c>
      <c r="G1189" t="inlineStr">
        <is>
          <t>HUDIKSVALL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17082-2026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46222</v>
      </c>
      <c r="F1190" t="inlineStr">
        <is>
          <t>GÄVLEBORGS LÄN</t>
        </is>
      </c>
      <c r="G1190" t="inlineStr">
        <is>
          <t>HUDIKSVALL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35964-2024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45533</v>
      </c>
      <c r="E1191" s="1" t="n">
        <v>46222</v>
      </c>
      <c r="F1191" t="inlineStr">
        <is>
          <t>GÄVLEBORGS LÄN</t>
        </is>
      </c>
      <c r="G1191" t="inlineStr">
        <is>
          <t>HUDIKSVALL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35985-2024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45533</v>
      </c>
      <c r="E1192" s="1" t="n">
        <v>46222</v>
      </c>
      <c r="F1192" t="inlineStr">
        <is>
          <t>GÄVLEBORGS LÄN</t>
        </is>
      </c>
      <c r="G1192" t="inlineStr">
        <is>
          <t>HUDIKSVALL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27510-2026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46189</v>
      </c>
      <c r="E1193" s="1" t="n">
        <v>46222</v>
      </c>
      <c r="F1193" t="inlineStr">
        <is>
          <t>GÄVLEBORGS LÄN</t>
        </is>
      </c>
      <c r="G1193" t="inlineStr">
        <is>
          <t>HUDIKSVALL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8522-2024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45355</v>
      </c>
      <c r="E1194" s="1" t="n">
        <v>46222</v>
      </c>
      <c r="F1194" t="inlineStr">
        <is>
          <t>GÄVLEBORGS LÄN</t>
        </is>
      </c>
      <c r="G1194" t="inlineStr">
        <is>
          <t>HUDIKSVALL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10108-2024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45364</v>
      </c>
      <c r="E1195" s="1" t="n">
        <v>46222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21792-2026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46150</v>
      </c>
      <c r="E1196" s="1" t="n">
        <v>46222</v>
      </c>
      <c r="F1196" t="inlineStr">
        <is>
          <t>GÄVLEBORGS LÄN</t>
        </is>
      </c>
      <c r="G1196" t="inlineStr">
        <is>
          <t>HUDIKSVALL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21622-2026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46149</v>
      </c>
      <c r="E1197" s="1" t="n">
        <v>46222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19156-2023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45048</v>
      </c>
      <c r="E1198" s="1" t="n">
        <v>46222</v>
      </c>
      <c r="F1198" t="inlineStr">
        <is>
          <t>GÄVLEBORGS LÄN</t>
        </is>
      </c>
      <c r="G1198" t="inlineStr">
        <is>
          <t>HUDIKSVALL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62628-2023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45271</v>
      </c>
      <c r="E1199" s="1" t="n">
        <v>46222</v>
      </c>
      <c r="F1199" t="inlineStr">
        <is>
          <t>GÄVLEBORGS LÄN</t>
        </is>
      </c>
      <c r="G1199" t="inlineStr">
        <is>
          <t>HUDIKSVALL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24238-2025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45797</v>
      </c>
      <c r="E1200" s="1" t="n">
        <v>46222</v>
      </c>
      <c r="F1200" t="inlineStr">
        <is>
          <t>GÄVLEBORGS LÄN</t>
        </is>
      </c>
      <c r="G1200" t="inlineStr">
        <is>
          <t>HUDIKSVALL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27880-2026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46191</v>
      </c>
      <c r="E1201" s="1" t="n">
        <v>46222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27846-2026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46191</v>
      </c>
      <c r="E1202" s="1" t="n">
        <v>46222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27827-2026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46222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6.9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61234-2023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45264</v>
      </c>
      <c r="E1204" s="1" t="n">
        <v>46222</v>
      </c>
      <c r="F1204" t="inlineStr">
        <is>
          <t>GÄVLEBORGS LÄN</t>
        </is>
      </c>
      <c r="G1204" t="inlineStr">
        <is>
          <t>HUDIKSVALL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70258-2021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44536</v>
      </c>
      <c r="E1205" s="1" t="n">
        <v>46222</v>
      </c>
      <c r="F1205" t="inlineStr">
        <is>
          <t>GÄVLEBORGS LÄN</t>
        </is>
      </c>
      <c r="G1205" t="inlineStr">
        <is>
          <t>HUDIKSVALL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32201-2022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44781</v>
      </c>
      <c r="E1206" s="1" t="n">
        <v>46222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63643-2023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45275</v>
      </c>
      <c r="E1207" s="1" t="n">
        <v>46222</v>
      </c>
      <c r="F1207" t="inlineStr">
        <is>
          <t>GÄVLEBORGS LÄN</t>
        </is>
      </c>
      <c r="G1207" t="inlineStr">
        <is>
          <t>HUDIKSVALL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27891-2026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46191</v>
      </c>
      <c r="E1208" s="1" t="n">
        <v>46222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27819-2026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46191</v>
      </c>
      <c r="E1209" s="1" t="n">
        <v>46222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29.5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21789-2026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46222</v>
      </c>
      <c r="F1210" t="inlineStr">
        <is>
          <t>GÄVLEBORGS LÄN</t>
        </is>
      </c>
      <c r="G1210" t="inlineStr">
        <is>
          <t>HUDIKSVALL</t>
        </is>
      </c>
      <c r="I1210" t="n">
        <v>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35026-2024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45527</v>
      </c>
      <c r="E1211" s="1" t="n">
        <v>46222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17919-2026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46122</v>
      </c>
      <c r="E1212" s="1" t="n">
        <v>46222</v>
      </c>
      <c r="F1212" t="inlineStr">
        <is>
          <t>GÄVLEBORGS LÄN</t>
        </is>
      </c>
      <c r="G1212" t="inlineStr">
        <is>
          <t>HUDIKSVALL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14059-2025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45740</v>
      </c>
      <c r="E1213" s="1" t="n">
        <v>46222</v>
      </c>
      <c r="F1213" t="inlineStr">
        <is>
          <t>GÄVLEBORGS LÄN</t>
        </is>
      </c>
      <c r="G1213" t="inlineStr">
        <is>
          <t>HUDIKSVALL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11639-2026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46084</v>
      </c>
      <c r="E1214" s="1" t="n">
        <v>46222</v>
      </c>
      <c r="F1214" t="inlineStr">
        <is>
          <t>GÄVLEBORGS LÄN</t>
        </is>
      </c>
      <c r="G1214" t="inlineStr">
        <is>
          <t>HUDIKSVALL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33968-2024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45523</v>
      </c>
      <c r="E1215" s="1" t="n">
        <v>46222</v>
      </c>
      <c r="F1215" t="inlineStr">
        <is>
          <t>GÄVLEBORGS LÄN</t>
        </is>
      </c>
      <c r="G1215" t="inlineStr">
        <is>
          <t>HUDIKSVALL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1733-2026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46034</v>
      </c>
      <c r="E1216" s="1" t="n">
        <v>46222</v>
      </c>
      <c r="F1216" t="inlineStr">
        <is>
          <t>GÄVLEBORGS LÄN</t>
        </is>
      </c>
      <c r="G1216" t="inlineStr">
        <is>
          <t>HUDIKSVALL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13608-2026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46097</v>
      </c>
      <c r="E1217" s="1" t="n">
        <v>46222</v>
      </c>
      <c r="F1217" t="inlineStr">
        <is>
          <t>GÄVLEBORGS LÄN</t>
        </is>
      </c>
      <c r="G1217" t="inlineStr">
        <is>
          <t>HUDIKSVALL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16112-2026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46108</v>
      </c>
      <c r="E1218" s="1" t="n">
        <v>46222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58723-2022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46222</v>
      </c>
      <c r="F1219" t="inlineStr">
        <is>
          <t>GÄVLEBORGS LÄN</t>
        </is>
      </c>
      <c r="G1219" t="inlineStr">
        <is>
          <t>HUDIKSVALL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37485-2025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45877</v>
      </c>
      <c r="E1220" s="1" t="n">
        <v>46222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28333-2026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46196</v>
      </c>
      <c r="E1221" s="1" t="n">
        <v>46222</v>
      </c>
      <c r="F1221" t="inlineStr">
        <is>
          <t>GÄVLEBORGS LÄN</t>
        </is>
      </c>
      <c r="G1221" t="inlineStr">
        <is>
          <t>HUDIKSVALL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10858-2025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45722</v>
      </c>
      <c r="E1222" s="1" t="n">
        <v>46222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13246-2026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46093</v>
      </c>
      <c r="E1223" s="1" t="n">
        <v>46222</v>
      </c>
      <c r="F1223" t="inlineStr">
        <is>
          <t>GÄVLEBORGS LÄN</t>
        </is>
      </c>
      <c r="G1223" t="inlineStr">
        <is>
          <t>HUDIKSVALL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28075-2026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46222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Kommuner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35201-2024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45530</v>
      </c>
      <c r="E1225" s="1" t="n">
        <v>46222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6312-2026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46222</v>
      </c>
      <c r="F1226" t="inlineStr">
        <is>
          <t>GÄVLEBORGS LÄN</t>
        </is>
      </c>
      <c r="G1226" t="inlineStr">
        <is>
          <t>HUDIKSVALL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12474-2026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46090</v>
      </c>
      <c r="E1227" s="1" t="n">
        <v>46222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Naturvårdsverket</t>
        </is>
      </c>
      <c r="I1227" t="n">
        <v>6.3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63798-2021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44509</v>
      </c>
      <c r="E1228" s="1" t="n">
        <v>46222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18939-2025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45764</v>
      </c>
      <c r="E1229" s="1" t="n">
        <v>46222</v>
      </c>
      <c r="F1229" t="inlineStr">
        <is>
          <t>GÄVLEBORGS LÄN</t>
        </is>
      </c>
      <c r="G1229" t="inlineStr">
        <is>
          <t>HUDIKSVALL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28315-2026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46196</v>
      </c>
      <c r="E1230" s="1" t="n">
        <v>46222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9834-2026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46072</v>
      </c>
      <c r="E1231" s="1" t="n">
        <v>46222</v>
      </c>
      <c r="F1231" t="inlineStr">
        <is>
          <t>GÄVLEBORGS LÄN</t>
        </is>
      </c>
      <c r="G1231" t="inlineStr">
        <is>
          <t>HUDIKSVALL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28071-2026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46195</v>
      </c>
      <c r="E1232" s="1" t="n">
        <v>46222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Kommuner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3296-2026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46041</v>
      </c>
      <c r="E1233" s="1" t="n">
        <v>46222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4471-2026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46045</v>
      </c>
      <c r="E1234" s="1" t="n">
        <v>46222</v>
      </c>
      <c r="F1234" t="inlineStr">
        <is>
          <t>GÄVLEBORGS LÄN</t>
        </is>
      </c>
      <c r="G1234" t="inlineStr">
        <is>
          <t>HUDIKSVALL</t>
        </is>
      </c>
      <c r="I1234" t="n">
        <v>16.1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44687-2024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45574</v>
      </c>
      <c r="E1235" s="1" t="n">
        <v>46222</v>
      </c>
      <c r="F1235" t="inlineStr">
        <is>
          <t>GÄVLEBORGS LÄN</t>
        </is>
      </c>
      <c r="G1235" t="inlineStr">
        <is>
          <t>HUDIKSVALL</t>
        </is>
      </c>
      <c r="I1235" t="n">
        <v>17.3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22427-2026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46154</v>
      </c>
      <c r="E1236" s="1" t="n">
        <v>46222</v>
      </c>
      <c r="F1236" t="inlineStr">
        <is>
          <t>GÄVLEBORGS LÄN</t>
        </is>
      </c>
      <c r="G1236" t="inlineStr">
        <is>
          <t>HUDIKSVALL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24834-2024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45461</v>
      </c>
      <c r="E1237" s="1" t="n">
        <v>46222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22332-2026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46222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36084-2024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45533</v>
      </c>
      <c r="E1239" s="1" t="n">
        <v>46222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18493-2024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45425</v>
      </c>
      <c r="E1240" s="1" t="n">
        <v>46222</v>
      </c>
      <c r="F1240" t="inlineStr">
        <is>
          <t>GÄVLEBORGS LÄN</t>
        </is>
      </c>
      <c r="G1240" t="inlineStr">
        <is>
          <t>HUDIKSVALL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22330-2026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46154</v>
      </c>
      <c r="E1241" s="1" t="n">
        <v>46222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28680-2026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46198</v>
      </c>
      <c r="E1242" s="1" t="n">
        <v>46222</v>
      </c>
      <c r="F1242" t="inlineStr">
        <is>
          <t>GÄVLEBORGS LÄN</t>
        </is>
      </c>
      <c r="G1242" t="inlineStr">
        <is>
          <t>HUDIKSVALL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28798-2026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46198</v>
      </c>
      <c r="E1243" s="1" t="n">
        <v>46222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50898-2023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45218</v>
      </c>
      <c r="E1244" s="1" t="n">
        <v>46222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60796-2023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45260</v>
      </c>
      <c r="E1245" s="1" t="n">
        <v>46222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60801-2023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46222</v>
      </c>
      <c r="F1246" t="inlineStr">
        <is>
          <t>GÄVLEBORGS LÄN</t>
        </is>
      </c>
      <c r="G1246" t="inlineStr">
        <is>
          <t>HUDIKSVALL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47472-2023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45202</v>
      </c>
      <c r="E1247" s="1" t="n">
        <v>46222</v>
      </c>
      <c r="F1247" t="inlineStr">
        <is>
          <t>GÄVLEBORGS LÄN</t>
        </is>
      </c>
      <c r="G1247" t="inlineStr">
        <is>
          <t>HUDIKSVALL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22553-2026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46155</v>
      </c>
      <c r="E1248" s="1" t="n">
        <v>46222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67.5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22455-2026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46155</v>
      </c>
      <c r="E1249" s="1" t="n">
        <v>46222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4.4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28800-2026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46198</v>
      </c>
      <c r="E1250" s="1" t="n">
        <v>46222</v>
      </c>
      <c r="F1250" t="inlineStr">
        <is>
          <t>GÄVLEBORGS LÄN</t>
        </is>
      </c>
      <c r="G1250" t="inlineStr">
        <is>
          <t>HUDIKSVALL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22466-2026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46222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15242-2023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45019</v>
      </c>
      <c r="E1252" s="1" t="n">
        <v>46222</v>
      </c>
      <c r="F1252" t="inlineStr">
        <is>
          <t>GÄVLEBORGS LÄN</t>
        </is>
      </c>
      <c r="G1252" t="inlineStr">
        <is>
          <t>HUDIKSVALL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32959-2024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45517</v>
      </c>
      <c r="E1253" s="1" t="n">
        <v>46222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55434-2022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44887</v>
      </c>
      <c r="E1254" s="1" t="n">
        <v>46222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22673-2026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46222</v>
      </c>
      <c r="F1255" t="inlineStr">
        <is>
          <t>GÄVLEBORGS LÄN</t>
        </is>
      </c>
      <c r="G1255" t="inlineStr">
        <is>
          <t>HUDIKSVALL</t>
        </is>
      </c>
      <c r="I1255" t="n">
        <v>4.3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28539-2026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46222</v>
      </c>
      <c r="F1256" t="inlineStr">
        <is>
          <t>GÄVLEBORGS LÄN</t>
        </is>
      </c>
      <c r="G1256" t="inlineStr">
        <is>
          <t>HUDIKSVALL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40876-2022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44825</v>
      </c>
      <c r="E1257" s="1" t="n">
        <v>46222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56256-2025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46222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28409-2026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46222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15306-2023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45019</v>
      </c>
      <c r="E1260" s="1" t="n">
        <v>46222</v>
      </c>
      <c r="F1260" t="inlineStr">
        <is>
          <t>GÄVLEBORGS LÄN</t>
        </is>
      </c>
      <c r="G1260" t="inlineStr">
        <is>
          <t>HUDIKSVALL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62639-2023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46222</v>
      </c>
      <c r="F1261" t="inlineStr">
        <is>
          <t>GÄVLEBORGS LÄN</t>
        </is>
      </c>
      <c r="G1261" t="inlineStr">
        <is>
          <t>HUDIKSVALL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2232-2022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44578</v>
      </c>
      <c r="E1262" s="1" t="n">
        <v>46222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8.699999999999999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63619-2023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45275</v>
      </c>
      <c r="E1263" s="1" t="n">
        <v>46222</v>
      </c>
      <c r="F1263" t="inlineStr">
        <is>
          <t>GÄVLEBORGS LÄN</t>
        </is>
      </c>
      <c r="G1263" t="inlineStr">
        <is>
          <t>HUDIKSVALL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22783-2026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46157</v>
      </c>
      <c r="E1264" s="1" t="n">
        <v>46222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21805-2024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45442</v>
      </c>
      <c r="E1265" s="1" t="n">
        <v>46222</v>
      </c>
      <c r="F1265" t="inlineStr">
        <is>
          <t>GÄVLEBORGS LÄN</t>
        </is>
      </c>
      <c r="G1265" t="inlineStr">
        <is>
          <t>HUDIKSVALL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22996-2026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46160</v>
      </c>
      <c r="E1266" s="1" t="n">
        <v>46222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24210-2023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45079</v>
      </c>
      <c r="E1267" s="1" t="n">
        <v>46222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15097-2022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44658</v>
      </c>
      <c r="E1268" s="1" t="n">
        <v>46222</v>
      </c>
      <c r="F1268" t="inlineStr">
        <is>
          <t>GÄVLEBORGS LÄN</t>
        </is>
      </c>
      <c r="G1268" t="inlineStr">
        <is>
          <t>HUDIKSVALL</t>
        </is>
      </c>
      <c r="I1268" t="n">
        <v>4.5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20253-2026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46139</v>
      </c>
      <c r="E1269" s="1" t="n">
        <v>46222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20200-2023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45055</v>
      </c>
      <c r="E1270" s="1" t="n">
        <v>46222</v>
      </c>
      <c r="F1270" t="inlineStr">
        <is>
          <t>GÄVLEBORGS LÄN</t>
        </is>
      </c>
      <c r="G1270" t="inlineStr">
        <is>
          <t>HUDIKSVALL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45700-2024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45579</v>
      </c>
      <c r="E1271" s="1" t="n">
        <v>46222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4.1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59118-2022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44904</v>
      </c>
      <c r="E1272" s="1" t="n">
        <v>46222</v>
      </c>
      <c r="F1272" t="inlineStr">
        <is>
          <t>GÄVLEBORGS LÄN</t>
        </is>
      </c>
      <c r="G1272" t="inlineStr">
        <is>
          <t>HUDIKSVALL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14647-2026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46101</v>
      </c>
      <c r="E1273" s="1" t="n">
        <v>46222</v>
      </c>
      <c r="F1273" t="inlineStr">
        <is>
          <t>GÄVLEBORGS LÄN</t>
        </is>
      </c>
      <c r="G1273" t="inlineStr">
        <is>
          <t>HUDIKSVALL</t>
        </is>
      </c>
      <c r="I1273" t="n">
        <v>3.8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60931-2023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45261</v>
      </c>
      <c r="E1274" s="1" t="n">
        <v>46222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40364-2024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45555</v>
      </c>
      <c r="E1275" s="1" t="n">
        <v>46222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46160</v>
      </c>
      <c r="E1276" s="1" t="n">
        <v>46222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22893-2026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46222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Kyrkan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22936-2026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46160</v>
      </c>
      <c r="E1278" s="1" t="n">
        <v>46222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Naturvårdsverket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15859-2023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45022</v>
      </c>
      <c r="E1279" s="1" t="n">
        <v>46222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10375-2023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44987</v>
      </c>
      <c r="E1280" s="1" t="n">
        <v>46222</v>
      </c>
      <c r="F1280" t="inlineStr">
        <is>
          <t>GÄVLEBORGS LÄN</t>
        </is>
      </c>
      <c r="G1280" t="inlineStr">
        <is>
          <t>HUDIKSVALL</t>
        </is>
      </c>
      <c r="I1280" t="n">
        <v>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29341-2026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46202</v>
      </c>
      <c r="E1281" s="1" t="n">
        <v>46222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16995-2024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45412</v>
      </c>
      <c r="E1282" s="1" t="n">
        <v>46222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23067-2026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46161</v>
      </c>
      <c r="E1283" s="1" t="n">
        <v>46222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23070-2026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46161</v>
      </c>
      <c r="E1284" s="1" t="n">
        <v>46222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17.4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29554-2026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46204</v>
      </c>
      <c r="E1285" s="1" t="n">
        <v>46222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9.800000000000001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29574-2026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46204</v>
      </c>
      <c r="E1286" s="1" t="n">
        <v>46222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24092-2023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45079</v>
      </c>
      <c r="E1287" s="1" t="n">
        <v>46222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17164-2023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45034</v>
      </c>
      <c r="E1288" s="1" t="n">
        <v>46222</v>
      </c>
      <c r="F1288" t="inlineStr">
        <is>
          <t>GÄVLEBORGS LÄN</t>
        </is>
      </c>
      <c r="G1288" t="inlineStr">
        <is>
          <t>HUDIKSVALL</t>
        </is>
      </c>
      <c r="I1288" t="n">
        <v>2.8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20858-2026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46222</v>
      </c>
      <c r="F1289" t="inlineStr">
        <is>
          <t>GÄVLEBORGS LÄN</t>
        </is>
      </c>
      <c r="G1289" t="inlineStr">
        <is>
          <t>HUDIKSVALL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18829-2024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45426</v>
      </c>
      <c r="E1290" s="1" t="n">
        <v>46222</v>
      </c>
      <c r="F1290" t="inlineStr">
        <is>
          <t>GÄVLEBORGS LÄN</t>
        </is>
      </c>
      <c r="G1290" t="inlineStr">
        <is>
          <t>HUDIKSVALL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23339-2026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46162</v>
      </c>
      <c r="E1291" s="1" t="n">
        <v>46222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23224-2026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46162</v>
      </c>
      <c r="E1292" s="1" t="n">
        <v>46222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Kyrkan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57199-2022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44895</v>
      </c>
      <c r="E1293" s="1" t="n">
        <v>46222</v>
      </c>
      <c r="F1293" t="inlineStr">
        <is>
          <t>GÄVLEBORGS LÄN</t>
        </is>
      </c>
      <c r="G1293" t="inlineStr">
        <is>
          <t>HUDIKSVALL</t>
        </is>
      </c>
      <c r="I1293" t="n">
        <v>7.2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5191-2025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45691</v>
      </c>
      <c r="E1294" s="1" t="n">
        <v>46222</v>
      </c>
      <c r="F1294" t="inlineStr">
        <is>
          <t>GÄVLEBORGS LÄN</t>
        </is>
      </c>
      <c r="G1294" t="inlineStr">
        <is>
          <t>HUDIKSVALL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11759-2022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44634</v>
      </c>
      <c r="E1295" s="1" t="n">
        <v>46222</v>
      </c>
      <c r="F1295" t="inlineStr">
        <is>
          <t>GÄVLEBORGS LÄN</t>
        </is>
      </c>
      <c r="G1295" t="inlineStr">
        <is>
          <t>HUDIKSVALL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14659-2026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46222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9309-2022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44616</v>
      </c>
      <c r="E1297" s="1" t="n">
        <v>46222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54676-2024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45618</v>
      </c>
      <c r="E1298" s="1" t="n">
        <v>46222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34363-2022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44792</v>
      </c>
      <c r="E1299" s="1" t="n">
        <v>46222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22380-2026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46222</v>
      </c>
      <c r="F1300" t="inlineStr">
        <is>
          <t>GÄVLEBORGS LÄN</t>
        </is>
      </c>
      <c r="G1300" t="inlineStr">
        <is>
          <t>HUDIKSVALL</t>
        </is>
      </c>
      <c r="I1300" t="n">
        <v>4.3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19473-2026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46222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28367-2024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45477</v>
      </c>
      <c r="E1302" s="1" t="n">
        <v>46222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8754-2023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44978</v>
      </c>
      <c r="E1303" s="1" t="n">
        <v>46222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28540-2026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46197</v>
      </c>
      <c r="E1304" s="1" t="n">
        <v>46222</v>
      </c>
      <c r="F1304" t="inlineStr">
        <is>
          <t>GÄVLEBORGS LÄN</t>
        </is>
      </c>
      <c r="G1304" t="inlineStr">
        <is>
          <t>HUDIKSVALL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27475-2023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45097</v>
      </c>
      <c r="E1305" s="1" t="n">
        <v>46222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14.6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23246-2026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46222</v>
      </c>
      <c r="F1306" t="inlineStr">
        <is>
          <t>GÄVLEBORGS LÄN</t>
        </is>
      </c>
      <c r="G1306" t="inlineStr">
        <is>
          <t>HUDIKSVALL</t>
        </is>
      </c>
      <c r="I1306" t="n">
        <v>16.2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23686-2026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46222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Kommuner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29790-2026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46205</v>
      </c>
      <c r="E1308" s="1" t="n">
        <v>46222</v>
      </c>
      <c r="F1308" t="inlineStr">
        <is>
          <t>GÄVLEBORGS LÄN</t>
        </is>
      </c>
      <c r="G1308" t="inlineStr">
        <is>
          <t>HUDIKSVALL</t>
        </is>
      </c>
      <c r="I1308" t="n">
        <v>6.2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29797-2026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46205</v>
      </c>
      <c r="E1309" s="1" t="n">
        <v>46222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23463-2026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46222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Kyrkan</t>
        </is>
      </c>
      <c r="I1310" t="n">
        <v>4.2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2688-2025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45677</v>
      </c>
      <c r="E1311" s="1" t="n">
        <v>46222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5195-2025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45691</v>
      </c>
      <c r="E1312" s="1" t="n">
        <v>46222</v>
      </c>
      <c r="F1312" t="inlineStr">
        <is>
          <t>GÄVLEBORGS LÄN</t>
        </is>
      </c>
      <c r="G1312" t="inlineStr">
        <is>
          <t>HUDIKSVALL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55741-2023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45239</v>
      </c>
      <c r="E1313" s="1" t="n">
        <v>46222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7.1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7662-2023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44972</v>
      </c>
      <c r="E1314" s="1" t="n">
        <v>46222</v>
      </c>
      <c r="F1314" t="inlineStr">
        <is>
          <t>GÄVLEBORGS LÄN</t>
        </is>
      </c>
      <c r="G1314" t="inlineStr">
        <is>
          <t>HUDIKSVALL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19641-2023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45051</v>
      </c>
      <c r="E1315" s="1" t="n">
        <v>46222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29808-2026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46205</v>
      </c>
      <c r="E1316" s="1" t="n">
        <v>46222</v>
      </c>
      <c r="F1316" t="inlineStr">
        <is>
          <t>GÄVLEBORGS LÄN</t>
        </is>
      </c>
      <c r="G1316" t="inlineStr">
        <is>
          <t>HUDIKSVALL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6331-2025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45698</v>
      </c>
      <c r="E1317" s="1" t="n">
        <v>46222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21.6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7485-2025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46222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9.199999999999999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60917-2023</t>
        </is>
      </c>
      <c r="B1319" t="inlineStr">
        <is>
          <t>avverkningsanmälan</t>
        </is>
      </c>
      <c r="C1319" t="inlineStr">
        <is>
          <t>Avverkning för att bevara och utveckla /försöksver</t>
        </is>
      </c>
      <c r="D1319" s="1" t="n">
        <v>45261</v>
      </c>
      <c r="E1319" s="1" t="n">
        <v>46222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43644-2024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45569</v>
      </c>
      <c r="E1320" s="1" t="n">
        <v>46222</v>
      </c>
      <c r="F1320" t="inlineStr">
        <is>
          <t>GÄVLEBORGS LÄN</t>
        </is>
      </c>
      <c r="G1320" t="inlineStr">
        <is>
          <t>HUDIKSVALL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68662-2021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44529</v>
      </c>
      <c r="E1321" s="1" t="n">
        <v>46222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23768-2026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46164</v>
      </c>
      <c r="E1322" s="1" t="n">
        <v>46222</v>
      </c>
      <c r="F1322" t="inlineStr">
        <is>
          <t>GÄVLEBORGS LÄN</t>
        </is>
      </c>
      <c r="G1322" t="inlineStr">
        <is>
          <t>HUDIKSVALL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29801-2026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46205</v>
      </c>
      <c r="E1323" s="1" t="n">
        <v>46222</v>
      </c>
      <c r="F1323" t="inlineStr">
        <is>
          <t>GÄVLEBORGS LÄN</t>
        </is>
      </c>
      <c r="G1323" t="inlineStr">
        <is>
          <t>HUDIKSVALL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13806-2024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45391</v>
      </c>
      <c r="E1324" s="1" t="n">
        <v>46222</v>
      </c>
      <c r="F1324" t="inlineStr">
        <is>
          <t>GÄVLEBORGS LÄN</t>
        </is>
      </c>
      <c r="G1324" t="inlineStr">
        <is>
          <t>HUDIKSVALL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31876-2023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45118</v>
      </c>
      <c r="E1325" s="1" t="n">
        <v>46222</v>
      </c>
      <c r="F1325" t="inlineStr">
        <is>
          <t>GÄVLEBORGS LÄN</t>
        </is>
      </c>
      <c r="G1325" t="inlineStr">
        <is>
          <t>HUDIKSVALL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9135-2023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44980</v>
      </c>
      <c r="E1326" s="1" t="n">
        <v>46222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9172-2023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44980</v>
      </c>
      <c r="E1327" s="1" t="n">
        <v>46222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34664-2022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44795</v>
      </c>
      <c r="E1328" s="1" t="n">
        <v>46222</v>
      </c>
      <c r="F1328" t="inlineStr">
        <is>
          <t>GÄVLEBORGS LÄN</t>
        </is>
      </c>
      <c r="G1328" t="inlineStr">
        <is>
          <t>HUDIKSVALL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33959-2023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45124</v>
      </c>
      <c r="E1329" s="1" t="n">
        <v>46222</v>
      </c>
      <c r="F1329" t="inlineStr">
        <is>
          <t>GÄVLEBORGS LÄN</t>
        </is>
      </c>
      <c r="G1329" t="inlineStr">
        <is>
          <t>HUDIKSVALL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386-2023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44929</v>
      </c>
      <c r="E1330" s="1" t="n">
        <v>46222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51241-2023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45219</v>
      </c>
      <c r="E1331" s="1" t="n">
        <v>46222</v>
      </c>
      <c r="F1331" t="inlineStr">
        <is>
          <t>GÄVLEBORGS LÄN</t>
        </is>
      </c>
      <c r="G1331" t="inlineStr">
        <is>
          <t>HUDIKSVALL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4619-2024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45328</v>
      </c>
      <c r="E1332" s="1" t="n">
        <v>46222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29904-2024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45487</v>
      </c>
      <c r="E1333" s="1" t="n">
        <v>46222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30345-2026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46209</v>
      </c>
      <c r="E1334" s="1" t="n">
        <v>46222</v>
      </c>
      <c r="F1334" t="inlineStr">
        <is>
          <t>GÄVLEBORGS LÄN</t>
        </is>
      </c>
      <c r="G1334" t="inlineStr">
        <is>
          <t>HUDIKSVALL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8441-2023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44977</v>
      </c>
      <c r="E1335" s="1" t="n">
        <v>46222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59522-2022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44907</v>
      </c>
      <c r="E1336" s="1" t="n">
        <v>46222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8752-2023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44978</v>
      </c>
      <c r="E1337" s="1" t="n">
        <v>46222</v>
      </c>
      <c r="F1337" t="inlineStr">
        <is>
          <t>GÄVLEBORGS LÄN</t>
        </is>
      </c>
      <c r="G1337" t="inlineStr">
        <is>
          <t>HUDIKSVALL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59822-2024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45639</v>
      </c>
      <c r="E1338" s="1" t="n">
        <v>46222</v>
      </c>
      <c r="F1338" t="inlineStr">
        <is>
          <t>GÄVLEBORGS LÄN</t>
        </is>
      </c>
      <c r="G1338" t="inlineStr">
        <is>
          <t>HUDIKSVALL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11668-2024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45373</v>
      </c>
      <c r="E1339" s="1" t="n">
        <v>46222</v>
      </c>
      <c r="F1339" t="inlineStr">
        <is>
          <t>GÄVLEBORGS LÄN</t>
        </is>
      </c>
      <c r="G1339" t="inlineStr">
        <is>
          <t>HUDIKSVALL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43665-2024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45569</v>
      </c>
      <c r="E1340" s="1" t="n">
        <v>46222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Kommuner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63045-2023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45272</v>
      </c>
      <c r="E1341" s="1" t="n">
        <v>46222</v>
      </c>
      <c r="F1341" t="inlineStr">
        <is>
          <t>GÄVLEBORGS LÄN</t>
        </is>
      </c>
      <c r="G1341" t="inlineStr">
        <is>
          <t>HUDIKSVALL</t>
        </is>
      </c>
      <c r="I1341" t="n">
        <v>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19484-2023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45050</v>
      </c>
      <c r="E1342" s="1" t="n">
        <v>46222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32632-2024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45513</v>
      </c>
      <c r="E1343" s="1" t="n">
        <v>46222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6.6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30349-2026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46209</v>
      </c>
      <c r="E1344" s="1" t="n">
        <v>46222</v>
      </c>
      <c r="F1344" t="inlineStr">
        <is>
          <t>GÄVLEBORGS LÄN</t>
        </is>
      </c>
      <c r="G1344" t="inlineStr">
        <is>
          <t>HUDIKSVALL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7593-2023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44972</v>
      </c>
      <c r="E1345" s="1" t="n">
        <v>46222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67088-2021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44522</v>
      </c>
      <c r="E1346" s="1" t="n">
        <v>46222</v>
      </c>
      <c r="F1346" t="inlineStr">
        <is>
          <t>GÄVLEBORGS LÄN</t>
        </is>
      </c>
      <c r="G1346" t="inlineStr">
        <is>
          <t>HUDIKSVALL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59759-2022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44908</v>
      </c>
      <c r="E1347" s="1" t="n">
        <v>46222</v>
      </c>
      <c r="F1347" t="inlineStr">
        <is>
          <t>GÄVLEBORGS LÄN</t>
        </is>
      </c>
      <c r="G1347" t="inlineStr">
        <is>
          <t>HUDIKSVALL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41747-2023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45176</v>
      </c>
      <c r="E1348" s="1" t="n">
        <v>46222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29344-2026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46222</v>
      </c>
      <c r="F1349" t="inlineStr">
        <is>
          <t>GÄVLEBORGS LÄN</t>
        </is>
      </c>
      <c r="G1349" t="inlineStr">
        <is>
          <t>HUDIKSVALL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30351-2026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46209</v>
      </c>
      <c r="E1350" s="1" t="n">
        <v>46222</v>
      </c>
      <c r="F1350" t="inlineStr">
        <is>
          <t>GÄVLEBORGS LÄN</t>
        </is>
      </c>
      <c r="G1350" t="inlineStr">
        <is>
          <t>HUDIKSVALL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20711-2023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45058</v>
      </c>
      <c r="E1351" s="1" t="n">
        <v>46222</v>
      </c>
      <c r="F1351" t="inlineStr">
        <is>
          <t>GÄVLEBORGS LÄN</t>
        </is>
      </c>
      <c r="G1351" t="inlineStr">
        <is>
          <t>HUDIKSVALL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30519-2026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46210</v>
      </c>
      <c r="E1352" s="1" t="n">
        <v>46222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19724-2024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45432</v>
      </c>
      <c r="E1353" s="1" t="n">
        <v>46222</v>
      </c>
      <c r="F1353" t="inlineStr">
        <is>
          <t>GÄVLEBORGS LÄN</t>
        </is>
      </c>
      <c r="G1353" t="inlineStr">
        <is>
          <t>HUDIKSVALL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16736-2025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45754</v>
      </c>
      <c r="E1354" s="1" t="n">
        <v>46222</v>
      </c>
      <c r="F1354" t="inlineStr">
        <is>
          <t>GÄVLEBORGS LÄN</t>
        </is>
      </c>
      <c r="G1354" t="inlineStr">
        <is>
          <t>HUDIKSVALL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24033-2024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45456</v>
      </c>
      <c r="E1355" s="1" t="n">
        <v>46222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22.8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4493-2026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46045</v>
      </c>
      <c r="E1356" s="1" t="n">
        <v>46222</v>
      </c>
      <c r="F1356" t="inlineStr">
        <is>
          <t>GÄVLEBORGS LÄN</t>
        </is>
      </c>
      <c r="G1356" t="inlineStr">
        <is>
          <t>HUDIKSVALL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23293-2026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46162</v>
      </c>
      <c r="E1357" s="1" t="n">
        <v>46222</v>
      </c>
      <c r="F1357" t="inlineStr">
        <is>
          <t>GÄVLEBORGS LÄN</t>
        </is>
      </c>
      <c r="G1357" t="inlineStr">
        <is>
          <t>HUDIKSVALL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30348-2026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46209</v>
      </c>
      <c r="E1358" s="1" t="n">
        <v>46222</v>
      </c>
      <c r="F1358" t="inlineStr">
        <is>
          <t>GÄVLEBORGS LÄN</t>
        </is>
      </c>
      <c r="G1358" t="inlineStr">
        <is>
          <t>HUDIKSVALL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14955-2023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45015</v>
      </c>
      <c r="E1359" s="1" t="n">
        <v>46222</v>
      </c>
      <c r="F1359" t="inlineStr">
        <is>
          <t>GÄVLEBORGS LÄN</t>
        </is>
      </c>
      <c r="G1359" t="inlineStr">
        <is>
          <t>HUDIKSVALL</t>
        </is>
      </c>
      <c r="I1359" t="n">
        <v>9.699999999999999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30516-2026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46210</v>
      </c>
      <c r="E1360" s="1" t="n">
        <v>46222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26547-2024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45469</v>
      </c>
      <c r="E1361" s="1" t="n">
        <v>46222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5788-2025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45694</v>
      </c>
      <c r="E1362" s="1" t="n">
        <v>46222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33704-2023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45132</v>
      </c>
      <c r="E1363" s="1" t="n">
        <v>46222</v>
      </c>
      <c r="F1363" t="inlineStr">
        <is>
          <t>GÄVLEBORGS LÄN</t>
        </is>
      </c>
      <c r="G1363" t="inlineStr">
        <is>
          <t>HUDIKSVALL</t>
        </is>
      </c>
      <c r="I1363" t="n">
        <v>7.8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24017-2026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46167</v>
      </c>
      <c r="E1364" s="1" t="n">
        <v>46222</v>
      </c>
      <c r="F1364" t="inlineStr">
        <is>
          <t>GÄVLEBORGS LÄN</t>
        </is>
      </c>
      <c r="G1364" t="inlineStr">
        <is>
          <t>HUDIKSVALL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30491-2026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46210</v>
      </c>
      <c r="E1365" s="1" t="n">
        <v>46222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49713-2022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44862</v>
      </c>
      <c r="E1366" s="1" t="n">
        <v>46222</v>
      </c>
      <c r="F1366" t="inlineStr">
        <is>
          <t>GÄVLEBORGS LÄN</t>
        </is>
      </c>
      <c r="G1366" t="inlineStr">
        <is>
          <t>HUDIKSVALL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23921-2023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45078</v>
      </c>
      <c r="E1367" s="1" t="n">
        <v>46222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8.6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13484-2023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45005</v>
      </c>
      <c r="E1368" s="1" t="n">
        <v>46222</v>
      </c>
      <c r="F1368" t="inlineStr">
        <is>
          <t>GÄVLEBORGS LÄN</t>
        </is>
      </c>
      <c r="G1368" t="inlineStr">
        <is>
          <t>HUDIKSVALL</t>
        </is>
      </c>
      <c r="I1368" t="n">
        <v>4.3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61785-2024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45649</v>
      </c>
      <c r="E1369" s="1" t="n">
        <v>46222</v>
      </c>
      <c r="F1369" t="inlineStr">
        <is>
          <t>GÄVLEBORGS LÄN</t>
        </is>
      </c>
      <c r="G1369" t="inlineStr">
        <is>
          <t>HUDIKSVALL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61792-2024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45649</v>
      </c>
      <c r="E1370" s="1" t="n">
        <v>46222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15233-2023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45019</v>
      </c>
      <c r="E1371" s="1" t="n">
        <v>46222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4.8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34982-2024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45527</v>
      </c>
      <c r="E1372" s="1" t="n">
        <v>46222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55460-2024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45622</v>
      </c>
      <c r="E1373" s="1" t="n">
        <v>46222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47149-2024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45586</v>
      </c>
      <c r="E1374" s="1" t="n">
        <v>46222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24372-2023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45082</v>
      </c>
      <c r="E1375" s="1" t="n">
        <v>46222</v>
      </c>
      <c r="F1375" t="inlineStr">
        <is>
          <t>GÄVLEBORGS LÄN</t>
        </is>
      </c>
      <c r="G1375" t="inlineStr">
        <is>
          <t>HUDIKSVALL</t>
        </is>
      </c>
      <c r="I1375" t="n">
        <v>5.9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5622-2025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45693</v>
      </c>
      <c r="E1376" s="1" t="n">
        <v>46222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21251-2023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45062</v>
      </c>
      <c r="E1377" s="1" t="n">
        <v>46222</v>
      </c>
      <c r="F1377" t="inlineStr">
        <is>
          <t>GÄVLEBORGS LÄN</t>
        </is>
      </c>
      <c r="G1377" t="inlineStr">
        <is>
          <t>HUDIKSVALL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365-2024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45295</v>
      </c>
      <c r="E1378" s="1" t="n">
        <v>46222</v>
      </c>
      <c r="F1378" t="inlineStr">
        <is>
          <t>GÄVLEBORGS LÄN</t>
        </is>
      </c>
      <c r="G1378" t="inlineStr">
        <is>
          <t>HUDIKSVALL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48593-2024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45593</v>
      </c>
      <c r="E1379" s="1" t="n">
        <v>46222</v>
      </c>
      <c r="F1379" t="inlineStr">
        <is>
          <t>GÄVLEBORGS LÄN</t>
        </is>
      </c>
      <c r="G1379" t="inlineStr">
        <is>
          <t>HUDIKSVALL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10148-2026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46076</v>
      </c>
      <c r="E1380" s="1" t="n">
        <v>46222</v>
      </c>
      <c r="F1380" t="inlineStr">
        <is>
          <t>GÄVLEBORGS LÄN</t>
        </is>
      </c>
      <c r="G1380" t="inlineStr">
        <is>
          <t>HUDIKSVALL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2999-2025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45678</v>
      </c>
      <c r="E1381" s="1" t="n">
        <v>46222</v>
      </c>
      <c r="F1381" t="inlineStr">
        <is>
          <t>GÄVLEBORGS LÄN</t>
        </is>
      </c>
      <c r="G1381" t="inlineStr">
        <is>
          <t>HUDIKSVALL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9804-2025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45716</v>
      </c>
      <c r="E1382" s="1" t="n">
        <v>46222</v>
      </c>
      <c r="F1382" t="inlineStr">
        <is>
          <t>GÄVLEBORGS LÄN</t>
        </is>
      </c>
      <c r="G1382" t="inlineStr">
        <is>
          <t>HUDIKSVALL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6985-2025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45701</v>
      </c>
      <c r="E1383" s="1" t="n">
        <v>46222</v>
      </c>
      <c r="F1383" t="inlineStr">
        <is>
          <t>GÄVLEBORGS LÄN</t>
        </is>
      </c>
      <c r="G1383" t="inlineStr">
        <is>
          <t>HUDIKSVALL</t>
        </is>
      </c>
      <c r="I1383" t="n">
        <v>6.7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45221-2023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45191</v>
      </c>
      <c r="E1384" s="1" t="n">
        <v>46222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28853-2024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45478</v>
      </c>
      <c r="E1385" s="1" t="n">
        <v>46222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4062-2025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45684</v>
      </c>
      <c r="E1386" s="1" t="n">
        <v>46222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45725-2023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45195</v>
      </c>
      <c r="E1387" s="1" t="n">
        <v>46222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25187-2025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45800</v>
      </c>
      <c r="E1388" s="1" t="n">
        <v>46222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53.6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60736-2023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45260</v>
      </c>
      <c r="E1389" s="1" t="n">
        <v>46222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21880-2023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45068</v>
      </c>
      <c r="E1390" s="1" t="n">
        <v>46222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19366-2026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46133</v>
      </c>
      <c r="E1391" s="1" t="n">
        <v>46222</v>
      </c>
      <c r="F1391" t="inlineStr">
        <is>
          <t>GÄVLEBORGS LÄN</t>
        </is>
      </c>
      <c r="G1391" t="inlineStr">
        <is>
          <t>HUDIKSVALL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40332-2024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46222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Naturvårdsverket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24853-2026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46174</v>
      </c>
      <c r="E1393" s="1" t="n">
        <v>46222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21539-2026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46222</v>
      </c>
      <c r="F1394" t="inlineStr">
        <is>
          <t>GÄVLEBORGS LÄN</t>
        </is>
      </c>
      <c r="G1394" t="inlineStr">
        <is>
          <t>HUDIKSVALL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7992-2024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45350</v>
      </c>
      <c r="E1395" s="1" t="n">
        <v>46222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56366-2024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46222</v>
      </c>
      <c r="F1396" t="inlineStr">
        <is>
          <t>GÄVLEBORGS LÄN</t>
        </is>
      </c>
      <c r="G1396" t="inlineStr">
        <is>
          <t>HUDIKSVALL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25043-2026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46174</v>
      </c>
      <c r="E1397" s="1" t="n">
        <v>46222</v>
      </c>
      <c r="F1397" t="inlineStr">
        <is>
          <t>GÄVLEBORGS LÄN</t>
        </is>
      </c>
      <c r="G1397" t="inlineStr">
        <is>
          <t>HUDIKSVALL</t>
        </is>
      </c>
      <c r="I1397" t="n">
        <v>9.4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52656-2024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45610</v>
      </c>
      <c r="E1398" s="1" t="n">
        <v>46222</v>
      </c>
      <c r="F1398" t="inlineStr">
        <is>
          <t>GÄVLEBORGS LÄN</t>
        </is>
      </c>
      <c r="G1398" t="inlineStr">
        <is>
          <t>HUDIKSVALL</t>
        </is>
      </c>
      <c r="I1398" t="n">
        <v>15.6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56215-2024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45624</v>
      </c>
      <c r="E1399" s="1" t="n">
        <v>46222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6274-2025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45698</v>
      </c>
      <c r="E1400" s="1" t="n">
        <v>46222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22976-2024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45449</v>
      </c>
      <c r="E1401" s="1" t="n">
        <v>46222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25191-2026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46175</v>
      </c>
      <c r="E1402" s="1" t="n">
        <v>46222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24868-2026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46174</v>
      </c>
      <c r="E1403" s="1" t="n">
        <v>46222</v>
      </c>
      <c r="F1403" t="inlineStr">
        <is>
          <t>GÄVLEBORGS LÄN</t>
        </is>
      </c>
      <c r="G1403" t="inlineStr">
        <is>
          <t>HUDIKSVALL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24863-2026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46222</v>
      </c>
      <c r="F1404" t="inlineStr">
        <is>
          <t>GÄVLEBORGS LÄN</t>
        </is>
      </c>
      <c r="G1404" t="inlineStr">
        <is>
          <t>HUDIKSVALL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33138-2022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44785</v>
      </c>
      <c r="E1405" s="1" t="n">
        <v>46222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54565-2021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44473</v>
      </c>
      <c r="E1406" s="1" t="n">
        <v>46222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12526-2024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45379</v>
      </c>
      <c r="E1407" s="1" t="n">
        <v>46222</v>
      </c>
      <c r="F1407" t="inlineStr">
        <is>
          <t>GÄVLEBORGS LÄN</t>
        </is>
      </c>
      <c r="G1407" t="inlineStr">
        <is>
          <t>HUDIKSVALL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12545-2024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45379</v>
      </c>
      <c r="E1408" s="1" t="n">
        <v>46222</v>
      </c>
      <c r="F1408" t="inlineStr">
        <is>
          <t>GÄVLEBORGS LÄN</t>
        </is>
      </c>
      <c r="G1408" t="inlineStr">
        <is>
          <t>HUDIKSVALL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25590-2026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46177</v>
      </c>
      <c r="E1409" s="1" t="n">
        <v>46222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25311-2026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46176</v>
      </c>
      <c r="E1410" s="1" t="n">
        <v>46222</v>
      </c>
      <c r="F1410" t="inlineStr">
        <is>
          <t>GÄVLEBORGS LÄN</t>
        </is>
      </c>
      <c r="G1410" t="inlineStr">
        <is>
          <t>HUDIKSVALL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56832-2025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45978</v>
      </c>
      <c r="E1411" s="1" t="n">
        <v>46222</v>
      </c>
      <c r="F1411" t="inlineStr">
        <is>
          <t>GÄVLEBORGS LÄN</t>
        </is>
      </c>
      <c r="G1411" t="inlineStr">
        <is>
          <t>HUDIKSVALL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27620-2024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45474</v>
      </c>
      <c r="E1412" s="1" t="n">
        <v>46222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71408-2021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44540</v>
      </c>
      <c r="E1413" s="1" t="n">
        <v>46222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25318-2026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46176</v>
      </c>
      <c r="E1414" s="1" t="n">
        <v>46222</v>
      </c>
      <c r="F1414" t="inlineStr">
        <is>
          <t>GÄVLEBORGS LÄN</t>
        </is>
      </c>
      <c r="G1414" t="inlineStr">
        <is>
          <t>HUDIKSVALL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25573-2026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46222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4.1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60750-2023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45260</v>
      </c>
      <c r="E1416" s="1" t="n">
        <v>46222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10159-2025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45719</v>
      </c>
      <c r="E1417" s="1" t="n">
        <v>46222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Kommuner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18706-2024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45426</v>
      </c>
      <c r="E1418" s="1" t="n">
        <v>46222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9.199999999999999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27785-2026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46222</v>
      </c>
      <c r="F1419" t="inlineStr">
        <is>
          <t>GÄVLEBORGS LÄN</t>
        </is>
      </c>
      <c r="G1419" t="inlineStr">
        <is>
          <t>HUDIKSVALL</t>
        </is>
      </c>
      <c r="I1419" t="n">
        <v>5.9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31435-2026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46220</v>
      </c>
      <c r="E1420" s="1" t="n">
        <v>46222</v>
      </c>
      <c r="F1420" t="inlineStr">
        <is>
          <t>GÄVLEBORGS LÄN</t>
        </is>
      </c>
      <c r="G1420" t="inlineStr">
        <is>
          <t>HUDIKSVALL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34983-2024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45527</v>
      </c>
      <c r="E1421" s="1" t="n">
        <v>46222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38167-2024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45545</v>
      </c>
      <c r="E1422" s="1" t="n">
        <v>46222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65195-2023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45289</v>
      </c>
      <c r="E1423" s="1" t="n">
        <v>46222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2651-2024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45314</v>
      </c>
      <c r="E1424" s="1" t="n">
        <v>46222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2658-2024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45314</v>
      </c>
      <c r="E1425" s="1" t="n">
        <v>46222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58942-2022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44903</v>
      </c>
      <c r="E1426" s="1" t="n">
        <v>46222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12893-2024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45385</v>
      </c>
      <c r="E1427" s="1" t="n">
        <v>46222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43007-2023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45182</v>
      </c>
      <c r="E1428" s="1" t="n">
        <v>46222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12393-2025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45730</v>
      </c>
      <c r="E1429" s="1" t="n">
        <v>46222</v>
      </c>
      <c r="F1429" t="inlineStr">
        <is>
          <t>GÄVLEBORGS LÄN</t>
        </is>
      </c>
      <c r="G1429" t="inlineStr">
        <is>
          <t>HUDIKSVALL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19227-2025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45769</v>
      </c>
      <c r="E1430" s="1" t="n">
        <v>46222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5.3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42239-2023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45180</v>
      </c>
      <c r="E1431" s="1" t="n">
        <v>46222</v>
      </c>
      <c r="F1431" t="inlineStr">
        <is>
          <t>GÄVLEBORGS LÄN</t>
        </is>
      </c>
      <c r="G1431" t="inlineStr">
        <is>
          <t>HUDIKSVALL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54468-2024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45617</v>
      </c>
      <c r="E1432" s="1" t="n">
        <v>46222</v>
      </c>
      <c r="F1432" t="inlineStr">
        <is>
          <t>GÄVLEBORGS LÄN</t>
        </is>
      </c>
      <c r="G1432" t="inlineStr">
        <is>
          <t>HUDIKSVALL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54690-2024</t>
        </is>
      </c>
      <c r="B1433" t="inlineStr">
        <is>
          <t>avverkningsanmälan</t>
        </is>
      </c>
      <c r="C1433" t="inlineStr">
        <is>
          <t>Avverkning för att bevara och utveckla /försöksver</t>
        </is>
      </c>
      <c r="D1433" s="1" t="n">
        <v>45618</v>
      </c>
      <c r="E1433" s="1" t="n">
        <v>46222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62926-2023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45272</v>
      </c>
      <c r="E1434" s="1" t="n">
        <v>46222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56898-2023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45244</v>
      </c>
      <c r="E1435" s="1" t="n">
        <v>46222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20670-2022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44700</v>
      </c>
      <c r="E1436" s="1" t="n">
        <v>46222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32631-2024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46222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31117-2024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45502</v>
      </c>
      <c r="E1438" s="1" t="n">
        <v>46222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31119-2024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45502</v>
      </c>
      <c r="E1439" s="1" t="n">
        <v>46222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3942-2023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44952</v>
      </c>
      <c r="E1440" s="1" t="n">
        <v>46222</v>
      </c>
      <c r="F1440" t="inlineStr">
        <is>
          <t>GÄVLEBORGS LÄN</t>
        </is>
      </c>
      <c r="G1440" t="inlineStr">
        <is>
          <t>HUDIKSVALL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4605-2023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44956</v>
      </c>
      <c r="E1441" s="1" t="n">
        <v>46222</v>
      </c>
      <c r="F1441" t="inlineStr">
        <is>
          <t>GÄVLEBORGS LÄN</t>
        </is>
      </c>
      <c r="G1441" t="inlineStr">
        <is>
          <t>HUDIKSVALL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10190-2023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44986</v>
      </c>
      <c r="E1442" s="1" t="n">
        <v>46222</v>
      </c>
      <c r="F1442" t="inlineStr">
        <is>
          <t>GÄVLEBORGS LÄN</t>
        </is>
      </c>
      <c r="G1442" t="inlineStr">
        <is>
          <t>HUDIKSVALL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1377-2022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44573</v>
      </c>
      <c r="E1443" s="1" t="n">
        <v>46222</v>
      </c>
      <c r="F1443" t="inlineStr">
        <is>
          <t>GÄVLEBORGS LÄN</t>
        </is>
      </c>
      <c r="G1443" t="inlineStr">
        <is>
          <t>HUDIKSVALL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60500-2022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44911</v>
      </c>
      <c r="E1444" s="1" t="n">
        <v>46222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10332-2023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44987</v>
      </c>
      <c r="E1445" s="1" t="n">
        <v>46222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44227-2024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45573</v>
      </c>
      <c r="E1446" s="1" t="n">
        <v>46222</v>
      </c>
      <c r="F1446" t="inlineStr">
        <is>
          <t>GÄVLEBORGS LÄN</t>
        </is>
      </c>
      <c r="G1446" t="inlineStr">
        <is>
          <t>HUDIKSVALL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41191-2024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45559</v>
      </c>
      <c r="E1447" s="1" t="n">
        <v>46222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23657-2023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45077</v>
      </c>
      <c r="E1448" s="1" t="n">
        <v>46222</v>
      </c>
      <c r="F1448" t="inlineStr">
        <is>
          <t>GÄVLEBORGS LÄN</t>
        </is>
      </c>
      <c r="G1448" t="inlineStr">
        <is>
          <t>HUDIKSVALL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1809-2023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44938</v>
      </c>
      <c r="E1449" s="1" t="n">
        <v>46222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10537-2025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45721</v>
      </c>
      <c r="E1450" s="1" t="n">
        <v>46222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55182-2023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45230</v>
      </c>
      <c r="E1451" s="1" t="n">
        <v>46222</v>
      </c>
      <c r="F1451" t="inlineStr">
        <is>
          <t>GÄVLEBORGS LÄN</t>
        </is>
      </c>
      <c r="G1451" t="inlineStr">
        <is>
          <t>HUDIKSVALL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6425-2024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45338</v>
      </c>
      <c r="E1452" s="1" t="n">
        <v>46222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13201-2024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45386</v>
      </c>
      <c r="E1453" s="1" t="n">
        <v>46222</v>
      </c>
      <c r="F1453" t="inlineStr">
        <is>
          <t>GÄVLEBORGS LÄN</t>
        </is>
      </c>
      <c r="G1453" t="inlineStr">
        <is>
          <t>HUDIKSVALL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38670-2023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45162</v>
      </c>
      <c r="E1454" s="1" t="n">
        <v>46222</v>
      </c>
      <c r="F1454" t="inlineStr">
        <is>
          <t>GÄVLEBORGS LÄN</t>
        </is>
      </c>
      <c r="G1454" t="inlineStr">
        <is>
          <t>HUDIKSVALL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56882-2023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45244</v>
      </c>
      <c r="E1455" s="1" t="n">
        <v>46222</v>
      </c>
      <c r="F1455" t="inlineStr">
        <is>
          <t>GÄVLEBORGS LÄN</t>
        </is>
      </c>
      <c r="G1455" t="inlineStr">
        <is>
          <t>HUDIKSVALL</t>
        </is>
      </c>
      <c r="I1455" t="n">
        <v>7.7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11817-2024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46222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6.2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5870-2025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45695</v>
      </c>
      <c r="E1457" s="1" t="n">
        <v>46222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20024-2024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45434</v>
      </c>
      <c r="E1458" s="1" t="n">
        <v>46222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14088-2025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45740</v>
      </c>
      <c r="E1459" s="1" t="n">
        <v>46222</v>
      </c>
      <c r="F1459" t="inlineStr">
        <is>
          <t>GÄVLEBORGS LÄN</t>
        </is>
      </c>
      <c r="G1459" t="inlineStr">
        <is>
          <t>HUDIKSVALL</t>
        </is>
      </c>
      <c r="I1459" t="n">
        <v>12.8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42659-2024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46222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50306-2024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46222</v>
      </c>
      <c r="F1461" t="inlineStr">
        <is>
          <t>GÄVLEBORGS LÄN</t>
        </is>
      </c>
      <c r="G1461" t="inlineStr">
        <is>
          <t>HUDIKSVALL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13490-2024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45387</v>
      </c>
      <c r="E1462" s="1" t="n">
        <v>46222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58473-2024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45635</v>
      </c>
      <c r="E1463" s="1" t="n">
        <v>46222</v>
      </c>
      <c r="F1463" t="inlineStr">
        <is>
          <t>GÄVLEBORGS LÄN</t>
        </is>
      </c>
      <c r="G1463" t="inlineStr">
        <is>
          <t>HUDIKSVALL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60942-2024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45645</v>
      </c>
      <c r="E1464" s="1" t="n">
        <v>46222</v>
      </c>
      <c r="F1464" t="inlineStr">
        <is>
          <t>GÄVLEBORGS LÄN</t>
        </is>
      </c>
      <c r="G1464" t="inlineStr">
        <is>
          <t>HUDIKSVALL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7114-2025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45702</v>
      </c>
      <c r="E1465" s="1" t="n">
        <v>46222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9601-2025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45715</v>
      </c>
      <c r="E1466" s="1" t="n">
        <v>46222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55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46222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20932-2025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45777</v>
      </c>
      <c r="E1468" s="1" t="n">
        <v>46222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21524-2025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45782</v>
      </c>
      <c r="E1469" s="1" t="n">
        <v>46222</v>
      </c>
      <c r="F1469" t="inlineStr">
        <is>
          <t>GÄVLEBORGS LÄN</t>
        </is>
      </c>
      <c r="G1469" t="inlineStr">
        <is>
          <t>HUDIKSVALL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63952-2023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45278</v>
      </c>
      <c r="E1470" s="1" t="n">
        <v>46222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27545-2024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45474</v>
      </c>
      <c r="E1471" s="1" t="n">
        <v>46222</v>
      </c>
      <c r="F1471" t="inlineStr">
        <is>
          <t>GÄVLEBORGS LÄN</t>
        </is>
      </c>
      <c r="G1471" t="inlineStr">
        <is>
          <t>HUDIKSVALL</t>
        </is>
      </c>
      <c r="I1471" t="n">
        <v>9.300000000000001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22148-2025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45785</v>
      </c>
      <c r="E1472" s="1" t="n">
        <v>46222</v>
      </c>
      <c r="F1472" t="inlineStr">
        <is>
          <t>GÄVLEBORGS LÄN</t>
        </is>
      </c>
      <c r="G1472" t="inlineStr">
        <is>
          <t>HUDIKSVALL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22015-2025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45784</v>
      </c>
      <c r="E1473" s="1" t="n">
        <v>46222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14.3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15775-2025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45748</v>
      </c>
      <c r="E1474" s="1" t="n">
        <v>46222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Kommuner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22454-2025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45786</v>
      </c>
      <c r="E1475" s="1" t="n">
        <v>46222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22600-2025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45789</v>
      </c>
      <c r="E1476" s="1" t="n">
        <v>46222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22832-2025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45789</v>
      </c>
      <c r="E1477" s="1" t="n">
        <v>46222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82.3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22611-2025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46222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22579-2025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46222</v>
      </c>
      <c r="F1479" t="inlineStr">
        <is>
          <t>GÄVLEBORGS LÄN</t>
        </is>
      </c>
      <c r="G1479" t="inlineStr">
        <is>
          <t>HUDIKSVALL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22608-2025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46222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21821-2025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45783</v>
      </c>
      <c r="E1481" s="1" t="n">
        <v>46222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44.8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50161-2024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45600</v>
      </c>
      <c r="E1482" s="1" t="n">
        <v>46222</v>
      </c>
      <c r="F1482" t="inlineStr">
        <is>
          <t>GÄVLEBORGS LÄN</t>
        </is>
      </c>
      <c r="G1482" t="inlineStr">
        <is>
          <t>HUDIKSVALL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20208-2025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45772</v>
      </c>
      <c r="E1483" s="1" t="n">
        <v>46222</v>
      </c>
      <c r="F1483" t="inlineStr">
        <is>
          <t>GÄVLEBORGS LÄN</t>
        </is>
      </c>
      <c r="G1483" t="inlineStr">
        <is>
          <t>HUDIKSVALL</t>
        </is>
      </c>
      <c r="I1483" t="n">
        <v>10.1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10427-2025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45720</v>
      </c>
      <c r="E1484" s="1" t="n">
        <v>46222</v>
      </c>
      <c r="F1484" t="inlineStr">
        <is>
          <t>GÄVLEBORGS LÄN</t>
        </is>
      </c>
      <c r="G1484" t="inlineStr">
        <is>
          <t>HUDIKSVALL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1105-2025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45666</v>
      </c>
      <c r="E1485" s="1" t="n">
        <v>46222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64579-2023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45281</v>
      </c>
      <c r="E1486" s="1" t="n">
        <v>46222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47284-2024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45587</v>
      </c>
      <c r="E1487" s="1" t="n">
        <v>46222</v>
      </c>
      <c r="F1487" t="inlineStr">
        <is>
          <t>GÄVLEBORGS LÄN</t>
        </is>
      </c>
      <c r="G1487" t="inlineStr">
        <is>
          <t>HUDIKSVALL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47145-2023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45201</v>
      </c>
      <c r="E1488" s="1" t="n">
        <v>46222</v>
      </c>
      <c r="F1488" t="inlineStr">
        <is>
          <t>GÄVLEBORGS LÄN</t>
        </is>
      </c>
      <c r="G1488" t="inlineStr">
        <is>
          <t>HUDIKSVALL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13267-2025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45735</v>
      </c>
      <c r="E1489" s="1" t="n">
        <v>46222</v>
      </c>
      <c r="F1489" t="inlineStr">
        <is>
          <t>GÄVLEBORGS LÄN</t>
        </is>
      </c>
      <c r="G1489" t="inlineStr">
        <is>
          <t>HUDIKSVALL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4164-2024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45323</v>
      </c>
      <c r="E1490" s="1" t="n">
        <v>46222</v>
      </c>
      <c r="F1490" t="inlineStr">
        <is>
          <t>GÄVLEBORGS LÄN</t>
        </is>
      </c>
      <c r="G1490" t="inlineStr">
        <is>
          <t>HUDIKSVALL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46667-2024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45583</v>
      </c>
      <c r="E1491" s="1" t="n">
        <v>46222</v>
      </c>
      <c r="F1491" t="inlineStr">
        <is>
          <t>GÄVLEBORGS LÄN</t>
        </is>
      </c>
      <c r="G1491" t="inlineStr">
        <is>
          <t>HUDIKSVALL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23701-2025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45793</v>
      </c>
      <c r="E1492" s="1" t="n">
        <v>46222</v>
      </c>
      <c r="F1492" t="inlineStr">
        <is>
          <t>GÄVLEBORGS LÄN</t>
        </is>
      </c>
      <c r="G1492" t="inlineStr">
        <is>
          <t>HUDIKSVALL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53624-2024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45614</v>
      </c>
      <c r="E1493" s="1" t="n">
        <v>46222</v>
      </c>
      <c r="F1493" t="inlineStr">
        <is>
          <t>GÄVLEBORGS LÄN</t>
        </is>
      </c>
      <c r="G1493" t="inlineStr">
        <is>
          <t>HUDIKSVALL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5345-2025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45688</v>
      </c>
      <c r="E1494" s="1" t="n">
        <v>46222</v>
      </c>
      <c r="F1494" t="inlineStr">
        <is>
          <t>GÄVLEBORGS LÄN</t>
        </is>
      </c>
      <c r="G1494" t="inlineStr">
        <is>
          <t>HUDIKSVALL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21927-2024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45443</v>
      </c>
      <c r="E1495" s="1" t="n">
        <v>46222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21940-2024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45443</v>
      </c>
      <c r="E1496" s="1" t="n">
        <v>46222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47700-2024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45588</v>
      </c>
      <c r="E1497" s="1" t="n">
        <v>46222</v>
      </c>
      <c r="F1497" t="inlineStr">
        <is>
          <t>GÄVLEBORGS LÄN</t>
        </is>
      </c>
      <c r="G1497" t="inlineStr">
        <is>
          <t>HUDIKSVALL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24584-2025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45798</v>
      </c>
      <c r="E1498" s="1" t="n">
        <v>46222</v>
      </c>
      <c r="F1498" t="inlineStr">
        <is>
          <t>GÄVLEBORGS LÄN</t>
        </is>
      </c>
      <c r="G1498" t="inlineStr">
        <is>
          <t>HUDIKSVALL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24320-2025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45797</v>
      </c>
      <c r="E1499" s="1" t="n">
        <v>46222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24241-2025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45797</v>
      </c>
      <c r="E1500" s="1" t="n">
        <v>46222</v>
      </c>
      <c r="F1500" t="inlineStr">
        <is>
          <t>GÄVLEBORGS LÄN</t>
        </is>
      </c>
      <c r="G1500" t="inlineStr">
        <is>
          <t>HUDIKSVALL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56820-2023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45244</v>
      </c>
      <c r="E1501" s="1" t="n">
        <v>46222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25148-2025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45800</v>
      </c>
      <c r="E1502" s="1" t="n">
        <v>46222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24999-2025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45799</v>
      </c>
      <c r="E1503" s="1" t="n">
        <v>46222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45803</v>
      </c>
      <c r="E1504" s="1" t="n">
        <v>46222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25551-2025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45803</v>
      </c>
      <c r="E1505" s="1" t="n">
        <v>46222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25673-2025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46222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61478-2023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45264</v>
      </c>
      <c r="E1507" s="1" t="n">
        <v>46222</v>
      </c>
      <c r="F1507" t="inlineStr">
        <is>
          <t>GÄVLEBORGS LÄN</t>
        </is>
      </c>
      <c r="G1507" t="inlineStr">
        <is>
          <t>HUDIKSVALL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46222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46222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46222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46222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46222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46222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46222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  <c r="X1516">
        <f>HYPERLINK("https://klasma.github.io/Logging_2184/knärot/S 4021-2023 karta knärot.png", "S 4021-2023")</f>
        <v/>
      </c>
      <c r="Y1516">
        <f>HYPERLINK("https://klasma.github.io/Logging_2184/klagomål/S 4021-2023 FSC-klagomål.docx", "S 4021-2023")</f>
        <v/>
      </c>
      <c r="Z1516">
        <f>HYPERLINK("https://klasma.github.io/Logging_2184/klagomålsmail/S 4021-2023 FSC-klagomål mail.docx", "S 4021-2023")</f>
        <v/>
      </c>
      <c r="AA1516">
        <f>HYPERLINK("https://klasma.github.io/Logging_2184/tillsyn/S 4021-2023 tillsynsbegäran.docx", "S 4021-2023")</f>
        <v/>
      </c>
      <c r="AB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46222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46222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46222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46222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46222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46222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46222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46222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46222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46222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46222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46222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46222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46222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46222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1971-2026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46222</v>
      </c>
      <c r="F1537" t="inlineStr">
        <is>
          <t>GÄVLEBORGS LÄN</t>
        </is>
      </c>
      <c r="G1537" t="inlineStr">
        <is>
          <t>HUDIKSVALL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46222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46222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2026-07-19T01:35:42Z</dcterms:created>
  <dcterms:modified xmlns:dcterms="http://purl.org/dc/terms/" xmlns:xsi="http://www.w3.org/2001/XMLSchema-instance" xsi:type="dcterms:W3CDTF">2026-07-19T01:35:43Z</dcterms:modified>
</cp:coreProperties>
</file>