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45799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45799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45799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45799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45799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45799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45799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45799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45799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45799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45799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45799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45799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45799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45799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45799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45799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45799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45799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45799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45799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45799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45799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45799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45799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45799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45799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45799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45799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45799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45799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45799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45799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45799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45799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45799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45799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45799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45799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45799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45799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45799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45799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45799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45799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45799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45799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45799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45799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45799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45799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45799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45799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45799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45799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45799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45799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45799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45799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45799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45799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45799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45799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45799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45799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45799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45799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45799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45799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45799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45799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45799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45799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45799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45799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45799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45799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45799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45799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45799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45799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45799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45799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45799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45799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45799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45799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45799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45799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45799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45799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45799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45799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45799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45799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45799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45799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45799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45799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45799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45799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45799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45799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45799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45799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45799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45799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45799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45799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45799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45799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45799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45799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45799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45799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45799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45799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45799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45799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45799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45799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45799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45799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45799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45799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45799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45799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45799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45799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45799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45799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45799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45799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45799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45799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45799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45799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45799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45799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45799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45799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45799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45799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45799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45799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45799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45799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45799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45799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45799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45799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45799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45799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45799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45799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45799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45799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45799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45799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45799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45799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45799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45799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45799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45799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45799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45799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45799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45799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45799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45799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45799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45799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45799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45799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45799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45799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45799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45799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45799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45799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45799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45799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45799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45799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45799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45799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45799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45799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45799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45799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45799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45799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45799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45799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45799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45799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45799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45799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45799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45799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45799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45799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45799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45799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45799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45799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45799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45799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45799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45799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45799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45799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45799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45799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45799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45799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45799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45799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45799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45799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45799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45799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45799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45799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45799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45799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45799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45799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45799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45799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45799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45799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45799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45799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45799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45799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45799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45799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45799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45799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45799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45799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45799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45799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45799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45799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45799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45799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45799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45799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45799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45799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45799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45799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45799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45799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45799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45799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45799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45799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45799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45799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45799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45799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45799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45799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45799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45799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45799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45799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45799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45799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45799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45799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45799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45799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45799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45799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45799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45799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45799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45799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45799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45799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45799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45799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45799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45799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45799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45799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45799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45799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45799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45799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45799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45799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45799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45799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45799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45799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45799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45799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45799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45799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45799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45799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45799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45799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45799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45799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45799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45799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45799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45799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45799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45799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45799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45799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45799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45799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45799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45799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45799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45799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45799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45799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45799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45799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45799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45799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45799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45799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45799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45799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45799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45799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45799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45799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45799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45799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45799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45799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45799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45799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45799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45799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45799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45799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45799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45799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45799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45799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45799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45799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45799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45799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45799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45799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45799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45799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45799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45799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45799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45799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45799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45799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45799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45799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45799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45799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45799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45799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45799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45799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45799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45799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45799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45799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45799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45799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45799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45799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45799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45799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45799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45799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45799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45799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45799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45799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45799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45799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45799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45799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45799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45799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45799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45799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45799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45799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45799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45799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45799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45799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45799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45799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45799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45799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45799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45799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45799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45799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45799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45799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45799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45799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45799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45799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45799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45799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45799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45799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45799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45799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45799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45799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45799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45799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45799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45799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45799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45799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45799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45799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45799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45799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45799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45799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45799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45799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45799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45799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45799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45799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45799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45799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45799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45799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45799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45799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45799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45799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45799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45799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45799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45799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45799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45799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45799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45799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45799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45799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45799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45799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45799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45799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45799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45799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45799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45799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45799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45799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45799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45799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45799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45799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45799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45799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45799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45799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45799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45799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45799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45799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45799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45799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45799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45799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45799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45799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45799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45799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45799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45799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45799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45799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45799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45799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45799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45799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45799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45799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45799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45799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45799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45799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45799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45799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45799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45799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45799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45799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45799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45799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45799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45799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45799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45799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45799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45799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45799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45799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45799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45799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45799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45799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45799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45799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45799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45799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45799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45799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45799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45799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45799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45799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45799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45799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45799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45799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45799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45799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45799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45799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45799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45799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45799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45799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45799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45799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45799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45799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45799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45799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45799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45799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45799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45799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45799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45799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45799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45799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45799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45799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45799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45799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45799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45799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45799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45799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45799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45799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45799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45799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45799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45799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45799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45799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45799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45799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45799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45799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45799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45799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45799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45799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45799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45799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45799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45799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45799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45799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45799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45799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45799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45799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45799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45799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45799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45799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45799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45799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45799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45799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45799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45799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45799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45799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45799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45799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45799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45799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45799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45799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45799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45799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45799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45799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45799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45799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45799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45799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45799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45799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45799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45799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45799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45799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45799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45799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45799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45799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45799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45799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45799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45799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45799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45799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45799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45799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45799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45799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45799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45799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45799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45799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45799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45799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45799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45799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45799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45799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45799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45799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45799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45799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45799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45799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45799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45799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45799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45799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45799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45799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45799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45799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45799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45799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45799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45799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45799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45799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45799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45799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45799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45799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45799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45799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45799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45799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45799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45799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45799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45799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45799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45799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45799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45799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45799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45799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45799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45799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45799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45799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45799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45799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45799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45799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45799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45799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45799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45799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45799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45799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45799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45799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45799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45799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45799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45799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45799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45799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45799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45799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45799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45799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45799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45799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45799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45799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45799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45799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45799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45799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45799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45799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45799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45799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45799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45799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45799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45799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45799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45799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45799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45799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45799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45799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45799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45799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45799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45799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45799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45799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45799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45799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45799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45799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45799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45799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45799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45799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45799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45799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45799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45799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45799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45799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45799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45799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45799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45799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45799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45799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45799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45799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45799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45799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45799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45799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45799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45799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45799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45799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45799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45799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45799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45799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45799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45799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45799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45799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45799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45799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45799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45799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45799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45799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45799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45799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45799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45799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45799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45799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45799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45799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45799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45799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45799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45799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45799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45799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45799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45799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45799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45799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45799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45799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45799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45799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45799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45799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45799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45799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45799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45799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45799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45799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45799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45799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45799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45799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45799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45799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45799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45799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45799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45799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45799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45799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45799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45799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45799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45799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45799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45799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45799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45799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45799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45799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45799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45799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45799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45799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45799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45799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45799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45799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45799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45799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45799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45799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45799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45799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45799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45799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45799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45799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45799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45799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45799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45799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45799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45799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45799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45799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45799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45799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45799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45799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45799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45799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45799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45799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45799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45799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45799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45799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45799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45799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45799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45799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45799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45799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45799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45799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45799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45799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45799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45799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45799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45799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45799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45799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45799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45799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45799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45799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45799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45799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45799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45799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45799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45799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45799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45799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45799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45799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45799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45799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45799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45799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45799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45799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45799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45799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45799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45799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45799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45799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45799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45799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45799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45799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45799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45799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45799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45799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45799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45799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45799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45799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45799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45799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45799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45799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45799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45799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45799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45799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45799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45799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45799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45799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45799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45799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45799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45799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45799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45799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45799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45799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45799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45799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45799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45799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45799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45799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45799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45799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45799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45799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45799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45799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45799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45799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45799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45799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45799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45799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45799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45799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45799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45799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45799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45799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45799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45799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45799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45799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45799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45799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45799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45799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45799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45799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45799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45799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45799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45799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45799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45799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45799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45799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45799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45799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45799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45799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45799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45799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45799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45799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45799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45799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45799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45799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45799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45799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45799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45799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45799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45799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45799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45799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45799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45799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45799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45799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45799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45799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45799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45799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45799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45799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45799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45799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45799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45799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45799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45799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45799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45799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45799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45799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45799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45799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45799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45799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45799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45799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45799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45799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45799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45799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45799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45799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45799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45799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45799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45799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45799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45799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45799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45799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45799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45799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45799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45799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45799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45799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45799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45799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45799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45799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45799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45799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45799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45799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45799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45799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45799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45799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45799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45799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45799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45799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45799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45799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45799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45799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45799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45799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45799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45799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45799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45799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45799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45799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45799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45799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45799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45799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45799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45799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45799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45799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45799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45799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45799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45799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45799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45799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45799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45799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45799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45799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45799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45799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45799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45799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45799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45799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45799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45799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45799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45799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45799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45799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45799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45799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45799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45799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45799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45799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45799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45799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45799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45799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45799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45799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45799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45799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45799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45799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45799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45799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45799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45799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45799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45799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45799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45799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45799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45799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45799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45799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45799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45799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45799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45799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45799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45799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45799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45799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45799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45799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45799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45799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45799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45799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45799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45799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45799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45799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45799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45799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45799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45799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45799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45799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45799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45799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45799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45799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45799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45799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45799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45799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45799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45799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45799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45799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45799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45799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45799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45799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45799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45799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45799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45799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45799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45799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45799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45799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45799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45799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45799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45799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45799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45799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45799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45799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45799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45799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45799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45799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45799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45799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45799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45799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45799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45799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45799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45799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45799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45799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45799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45799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45799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45799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45799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45799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45799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45799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45799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45799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45799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45799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45799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45799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45799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45799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45799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45799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45799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45799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45799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45799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45799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45799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45799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45799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45799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45799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45799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45799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45799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45799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45799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45799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45799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45799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45799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45799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45799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45799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45799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45799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45799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45799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45799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45799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45799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45799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45799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45799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45799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45799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45799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45799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45799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45799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45799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45799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45799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45799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45799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45799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45799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45799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45799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45799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45799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45799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45799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45799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45799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45799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45799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45799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45799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45799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45799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45799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45799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45799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45799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45799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45799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45799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45799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45799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45799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45799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45799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45799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45799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45799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45799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45799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45799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45799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45799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45799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45799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45799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45799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45799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45799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45799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45799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45799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45799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45799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45799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45799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45799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45799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45799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45799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45799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45799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45799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45799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45799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45799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45799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45799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45799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45799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45799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45799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45799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45799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45799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45799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45799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45799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45799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45799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45799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45799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45799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45799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45799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45799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45799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45799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45799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45799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45799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45799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45799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45799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45799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45799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45799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45799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45799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45799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45799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45799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45799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45799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45799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45799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45799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45799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45799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45799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45799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45799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45799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45799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45799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45799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45799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45799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45799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45799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45799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45799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45799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45799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45799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45799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45799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45799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45799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45799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45799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45799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45799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45799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45799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45799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45799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45799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45799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45799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45799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45799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45799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45799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45799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45799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45799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45799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45799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45799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45799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45799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45799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45799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45799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45799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45799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45799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45799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45799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45799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45799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45799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45799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45799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45799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45799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45799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45799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45799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45799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45799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45799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45799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45799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45799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45799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45799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45799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45799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45799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45799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45799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45799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45799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45799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45799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45799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45799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45799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45799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45799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45799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45799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45799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45799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45799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45799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45799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45799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45799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45799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45799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45799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45799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45799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45799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45799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45799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45799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45799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45799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45799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45799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45799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45799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45799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45799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45799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45799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45799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45799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45799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45799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45799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45799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45799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45799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45799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45799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45799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45799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45799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45799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45799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45799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45799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45799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45799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45799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45799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45799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45799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45799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45799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45799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45799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45799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45799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45799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45799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45799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45799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45799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45799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45799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45799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45799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45799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45799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45799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45799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45799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45799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45799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45799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45799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45799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45799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45799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45799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45799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45799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45799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45799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45799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45799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45799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45799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45799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45799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45799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45799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45799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45799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45799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45799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45799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45799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45799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45799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45799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45799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45799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45799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45799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45799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45799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45799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45799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45799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45799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45799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45799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45799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45799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45799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45799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45799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45799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45799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45799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45799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45799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45799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45799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45799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45799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45799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45799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45799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45799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45799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45799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45799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45799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45799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45799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45799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45799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45799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45799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45799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45799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45799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45799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45799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45799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45799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45799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45799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45799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45799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45799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45799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45799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45799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45799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45799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45799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45799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45799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45799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45799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45799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45799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45799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45799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45799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45799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45799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45799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45799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45799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45799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45799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45799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45799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45799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45799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45799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45799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45799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45799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45799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45799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45799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45799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45799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45799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45799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45799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45799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45799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45799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45799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45799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45799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45799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45799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45799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45799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45799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45799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45799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45799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45799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45799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45799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45799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45799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45799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45799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45799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45799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45799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45799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45799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45799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45799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45799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45799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45799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45799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45799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45799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45799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45799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45799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45799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45799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45799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45799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45799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45799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45799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45799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45799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45799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45799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45799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45799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45799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45799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45799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45799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45799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45799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45799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45799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45799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45799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45799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45799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45799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45799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45799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45799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45799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45799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45799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45799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45799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45799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45799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45799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45799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45799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45799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45799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45799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45799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45799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45799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45799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45799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45799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45799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45799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45799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45799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45799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45799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45799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45799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45799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45799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45799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45799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45799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45799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45799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45799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45799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45799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45799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45799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45799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45799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45799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45799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45799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45799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45799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45799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45799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45799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45799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45799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45799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45799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45799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45799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45799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45799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45799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45799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45799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45799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45799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45799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45799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45799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45799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45799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45799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45799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45799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45799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45799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45799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45799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45799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45799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45799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45799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45799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45799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45799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45799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45799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45799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45799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45799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45799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45799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45799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45799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45799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45799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45799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45799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45799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45799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45799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45799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45799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45799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45799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45799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45799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45799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45799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45799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45799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45799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45799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45799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45799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45799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45799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45799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45799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45799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45799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45799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45799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45799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45799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45799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45799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45799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45799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45799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45799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45799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45799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45799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45799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45799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45799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45799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45799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45799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45799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45799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45799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45799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45799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45799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45799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45799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45799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45799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45799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45799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45799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45799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45799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45799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45799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45799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45799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45799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45799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45799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45799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45799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45799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45799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45799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45799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45799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45799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45799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45799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45799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45799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45799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45799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45799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45799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45799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45799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45799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45799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45799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45799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45799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45799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45799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45799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45799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45799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45799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45799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45799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45799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45799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45799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45799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45799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45799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45799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45799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45799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45799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45799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45799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45799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45799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45799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45799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45799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45799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45799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45799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45799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45799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45799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45799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45799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45799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45799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45799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45799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45799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45799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45799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45799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45799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45799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45799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45799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45799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45799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45799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45799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45799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45799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45799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45799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45799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45799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45799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45799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45799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45799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45799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45799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45799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45799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45799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45799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45799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45799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45799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45799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45799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45799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45799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45799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45799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45799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45799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45799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45799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45799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45799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45799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45799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45799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45799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45799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45799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45799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45799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45799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45799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45799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45799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45799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45799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45799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45799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45799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45799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45799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45799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45799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45799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45799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45799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45799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45799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45799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45799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45799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45799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45799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45799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45799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45799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45799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45799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45799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45799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45799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45799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45799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45799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45799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45799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45799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45799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45799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45799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45799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45799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45799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45799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45799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45799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45799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45799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45799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45799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45799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45799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45799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45799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45799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45799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45799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45799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45799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45799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45799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45799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45799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45799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45799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45799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45799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45799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45799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45799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45799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45799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45799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45799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45799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45799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45799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45799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45799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45799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45799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45799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45799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45799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45799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45799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45799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45799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45799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45799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45799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45799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45799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45799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45799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45799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45799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45799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45799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45799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45799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45799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45799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45799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45799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45799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45799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45799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45799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45799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45799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45799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45799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45799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45799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45799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45799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45799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45799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45799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45799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45799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45799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45799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45799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45799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45799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45799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45799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45799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45799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45799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45799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45799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45799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45799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45799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45799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45799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45799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45799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45799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45799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45799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45799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45799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45799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45799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45799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45799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45799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45799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45799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45799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45799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45799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45799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45799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45799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45799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45799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45799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45799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45799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45799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45799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45799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45799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45799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45799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45799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45799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45799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45799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45799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45799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45799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45799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45799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45799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45799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45799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45799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45799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45799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45799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45799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45799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45799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45799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45799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45799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45799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45799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45799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45799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45799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45799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45799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45799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45799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45799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45799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45799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45799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45799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45799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45799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45799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45799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45799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45799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45799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45799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45799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45799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45799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45799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45799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45799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45799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45799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45799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45799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45799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45799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45799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45799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45799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45799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45799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45799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45799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45799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45799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45799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45799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45799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45799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45799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45799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45799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45799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45799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45799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45799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45799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45799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45799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45799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45799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45799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45799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45799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45799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45799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45799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45799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45799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45799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45799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45799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45799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45799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45799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45799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45799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45799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45799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19605-2025</t>
        </is>
      </c>
      <c r="B2290" s="1" t="n">
        <v>45770</v>
      </c>
      <c r="C2290" s="1" t="n">
        <v>45799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45799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45799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45799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19887-2025</t>
        </is>
      </c>
      <c r="B2294" s="1" t="n">
        <v>45771</v>
      </c>
      <c r="C2294" s="1" t="n">
        <v>45799</v>
      </c>
      <c r="D2294" t="inlineStr">
        <is>
          <t>GÄVLEBORGS LÄN</t>
        </is>
      </c>
      <c r="E2294" t="inlineStr">
        <is>
          <t>HUDIKSVALL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19886-2025</t>
        </is>
      </c>
      <c r="B2295" s="1" t="n">
        <v>45771</v>
      </c>
      <c r="C2295" s="1" t="n">
        <v>45799</v>
      </c>
      <c r="D2295" t="inlineStr">
        <is>
          <t>GÄVLEBORGS LÄN</t>
        </is>
      </c>
      <c r="E2295" t="inlineStr">
        <is>
          <t>HUDIKSVALL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19894-2025</t>
        </is>
      </c>
      <c r="B2296" s="1" t="n">
        <v>45771</v>
      </c>
      <c r="C2296" s="1" t="n">
        <v>45799</v>
      </c>
      <c r="D2296" t="inlineStr">
        <is>
          <t>GÄVLEBORGS LÄN</t>
        </is>
      </c>
      <c r="E2296" t="inlineStr">
        <is>
          <t>HUDIKSVALL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19768-2025</t>
        </is>
      </c>
      <c r="B2297" s="1" t="n">
        <v>45771</v>
      </c>
      <c r="C2297" s="1" t="n">
        <v>45799</v>
      </c>
      <c r="D2297" t="inlineStr">
        <is>
          <t>GÄVLEBORGS LÄN</t>
        </is>
      </c>
      <c r="E2297" t="inlineStr">
        <is>
          <t>HUDIKSVALL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19942-2025</t>
        </is>
      </c>
      <c r="B2298" s="1" t="n">
        <v>45771</v>
      </c>
      <c r="C2298" s="1" t="n">
        <v>45799</v>
      </c>
      <c r="D2298" t="inlineStr">
        <is>
          <t>GÄVLEBORGS LÄN</t>
        </is>
      </c>
      <c r="E2298" t="inlineStr">
        <is>
          <t>HUDIKSVALL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45799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20043-2025</t>
        </is>
      </c>
      <c r="B2300" s="1" t="n">
        <v>45772</v>
      </c>
      <c r="C2300" s="1" t="n">
        <v>45799</v>
      </c>
      <c r="D2300" t="inlineStr">
        <is>
          <t>GÄVLEBORGS LÄN</t>
        </is>
      </c>
      <c r="E2300" t="inlineStr">
        <is>
          <t>HUDIKSVALL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45799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20639-2025</t>
        </is>
      </c>
      <c r="B2302" s="1" t="n">
        <v>45776</v>
      </c>
      <c r="C2302" s="1" t="n">
        <v>45799</v>
      </c>
      <c r="D2302" t="inlineStr">
        <is>
          <t>GÄVLEBORGS LÄN</t>
        </is>
      </c>
      <c r="E2302" t="inlineStr">
        <is>
          <t>HUDIKSVALL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45799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45799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20819-2025</t>
        </is>
      </c>
      <c r="B2305" s="1" t="n">
        <v>45776</v>
      </c>
      <c r="C2305" s="1" t="n">
        <v>45799</v>
      </c>
      <c r="D2305" t="inlineStr">
        <is>
          <t>GÄVLEBORGS LÄN</t>
        </is>
      </c>
      <c r="E2305" t="inlineStr">
        <is>
          <t>HUDIKSVALL</t>
        </is>
      </c>
      <c r="G2305" t="n">
        <v>10.3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45799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45799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45799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45799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21505-2025</t>
        </is>
      </c>
      <c r="B2310" s="1" t="n">
        <v>45782</v>
      </c>
      <c r="C2310" s="1" t="n">
        <v>45799</v>
      </c>
      <c r="D2310" t="inlineStr">
        <is>
          <t>GÄVLEBORGS LÄN</t>
        </is>
      </c>
      <c r="E2310" t="inlineStr">
        <is>
          <t>HUDIKSVALL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45799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21524-2025</t>
        </is>
      </c>
      <c r="B2312" s="1" t="n">
        <v>45782</v>
      </c>
      <c r="C2312" s="1" t="n">
        <v>45799</v>
      </c>
      <c r="D2312" t="inlineStr">
        <is>
          <t>GÄVLEBORGS LÄN</t>
        </is>
      </c>
      <c r="E2312" t="inlineStr">
        <is>
          <t>HUDIKSVALL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45799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45799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45799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45799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45799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45799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45799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45799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45799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45799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45799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22611-2025</t>
        </is>
      </c>
      <c r="B2324" s="1" t="n">
        <v>45789</v>
      </c>
      <c r="C2324" s="1" t="n">
        <v>45799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45799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45799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45799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22903-2025</t>
        </is>
      </c>
      <c r="B2328" s="1" t="n">
        <v>45790</v>
      </c>
      <c r="C2328" s="1" t="n">
        <v>45799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22916-2025</t>
        </is>
      </c>
      <c r="B2329" s="1" t="n">
        <v>45790</v>
      </c>
      <c r="C2329" s="1" t="n">
        <v>45799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22935-2025</t>
        </is>
      </c>
      <c r="B2330" s="1" t="n">
        <v>45790</v>
      </c>
      <c r="C2330" s="1" t="n">
        <v>45799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23014-2025</t>
        </is>
      </c>
      <c r="B2331" s="1" t="n">
        <v>45790</v>
      </c>
      <c r="C2331" s="1" t="n">
        <v>45799</v>
      </c>
      <c r="D2331" t="inlineStr">
        <is>
          <t>GÄVLEBORGS LÄN</t>
        </is>
      </c>
      <c r="E2331" t="inlineStr">
        <is>
          <t>HUDIKSVALL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22859-2025</t>
        </is>
      </c>
      <c r="B2332" s="1" t="n">
        <v>45790</v>
      </c>
      <c r="C2332" s="1" t="n">
        <v>45799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  <c r="U2332">
        <f>HYPERLINK("https://klasma.github.io/Logging_212184/knärot/A 22859-2025 karta knärot.png", "A 22859-2025")</f>
        <v/>
      </c>
      <c r="V2332">
        <f>HYPERLINK("https://klasma.github.io/Logging_212184/klagomål/A 22859-2025 FSC-klagomål.docx", "A 22859-2025")</f>
        <v/>
      </c>
      <c r="W2332">
        <f>HYPERLINK("https://klasma.github.io/Logging_212184/klagomålsmail/A 22859-2025 FSC-klagomål mail.docx", "A 22859-2025")</f>
        <v/>
      </c>
      <c r="X2332">
        <f>HYPERLINK("https://klasma.github.io/Logging_212184/tillsyn/A 22859-2025 tillsynsbegäran.docx", "A 22859-2025")</f>
        <v/>
      </c>
      <c r="Y2332">
        <f>HYPERLINK("https://klasma.github.io/Logging_212184/tillsynsmail/A 22859-2025 tillsynsbegäran mail.docx", "A 22859-2025")</f>
        <v/>
      </c>
    </row>
    <row r="2333" ht="15" customHeight="1">
      <c r="A2333" t="inlineStr">
        <is>
          <t>A 23663-2025</t>
        </is>
      </c>
      <c r="B2333" s="1" t="n">
        <v>45792</v>
      </c>
      <c r="C2333" s="1" t="n">
        <v>45799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45799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24006-2025</t>
        </is>
      </c>
      <c r="B2335" s="1" t="n">
        <v>45796</v>
      </c>
      <c r="C2335" s="1" t="n">
        <v>45799</v>
      </c>
      <c r="D2335" t="inlineStr">
        <is>
          <t>GÄVLEBORGS LÄN</t>
        </is>
      </c>
      <c r="E2335" t="inlineStr">
        <is>
          <t>HUDIKSVALL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45799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24241-2025</t>
        </is>
      </c>
      <c r="B2337" s="1" t="n">
        <v>45797</v>
      </c>
      <c r="C2337" s="1" t="n">
        <v>45799</v>
      </c>
      <c r="D2337" t="inlineStr">
        <is>
          <t>GÄVLEBORGS LÄN</t>
        </is>
      </c>
      <c r="E2337" t="inlineStr">
        <is>
          <t>HUDIKSVALL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45799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24330-2025</t>
        </is>
      </c>
      <c r="B2339" s="1" t="n">
        <v>45797</v>
      </c>
      <c r="C2339" s="1" t="n">
        <v>45799</v>
      </c>
      <c r="D2339" t="inlineStr">
        <is>
          <t>GÄVLEBORGS LÄN</t>
        </is>
      </c>
      <c r="E2339" t="inlineStr">
        <is>
          <t>HUDIKSVALL</t>
        </is>
      </c>
      <c r="F2339" t="inlineStr">
        <is>
          <t>Kommuner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24320-2025</t>
        </is>
      </c>
      <c r="B2340" s="1" t="n">
        <v>45797</v>
      </c>
      <c r="C2340" s="1" t="n">
        <v>45799</v>
      </c>
      <c r="D2340" t="inlineStr">
        <is>
          <t>GÄVLEBORGS LÄN</t>
        </is>
      </c>
      <c r="E2340" t="inlineStr">
        <is>
          <t>HUDIKSVALL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45799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24239-2025</t>
        </is>
      </c>
      <c r="B2342" s="1" t="n">
        <v>45797</v>
      </c>
      <c r="C2342" s="1" t="n">
        <v>45799</v>
      </c>
      <c r="D2342" t="inlineStr">
        <is>
          <t>GÄVLEBORGS LÄN</t>
        </is>
      </c>
      <c r="E2342" t="inlineStr">
        <is>
          <t>HUDIKSVALL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24240-2025</t>
        </is>
      </c>
      <c r="B2343" s="1" t="n">
        <v>45797</v>
      </c>
      <c r="C2343" s="1" t="n">
        <v>45799</v>
      </c>
      <c r="D2343" t="inlineStr">
        <is>
          <t>GÄVLEBORGS LÄN</t>
        </is>
      </c>
      <c r="E2343" t="inlineStr">
        <is>
          <t>HUDIKSVALL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45799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>
      <c r="A2345" t="inlineStr">
        <is>
          <t>A 24584-2025</t>
        </is>
      </c>
      <c r="B2345" s="1" t="n">
        <v>45798</v>
      </c>
      <c r="C2345" s="1" t="n">
        <v>45799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2025-05-22T17:07:56Z</dcterms:created>
  <dcterms:modified xmlns:dcterms="http://purl.org/dc/terms/" xmlns:xsi="http://www.w3.org/2001/XMLSchema-instance" xsi:type="dcterms:W3CDTF">2025-05-22T17:07:58Z</dcterms:modified>
</cp:coreProperties>
</file>