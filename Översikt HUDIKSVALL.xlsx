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13021-2022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44643</v>
      </c>
      <c r="E2" s="1" t="n">
        <v>46307</v>
      </c>
      <c r="F2" t="inlineStr">
        <is>
          <t>GÄVLEBORGS LÄN</t>
        </is>
      </c>
      <c r="G2" t="inlineStr">
        <is>
          <t>HUDIKSVALL</t>
        </is>
      </c>
      <c r="I2" t="n">
        <v>8.1</v>
      </c>
      <c r="J2" t="n">
        <v>5</v>
      </c>
      <c r="K2" t="n">
        <v>6</v>
      </c>
      <c r="L2" t="n">
        <v>11</v>
      </c>
      <c r="M2" t="n">
        <v>2</v>
      </c>
      <c r="N2" t="n">
        <v>2</v>
      </c>
      <c r="O2" t="n">
        <v>0</v>
      </c>
      <c r="P2" t="n">
        <v>0</v>
      </c>
      <c r="Q2" t="n">
        <v>15</v>
      </c>
      <c r="R2" t="n">
        <v>4</v>
      </c>
      <c r="S2" t="n">
        <v>22</v>
      </c>
      <c r="T2" t="n">
        <v>49</v>
      </c>
      <c r="U2" t="n">
        <v>32</v>
      </c>
      <c r="V2" s="2" t="inlineStr">
        <is>
          <t>Bombmurkla
Brödtaggsvamp
Kejsarskivling
Porslinsblå spindling
Dofttaggsvamp
Fjällig taggsvamp s.str.
Gultoppig fingersvamp
Kattfotslav
Kryddspindling
Skarp dropptaggsvamp
Skogssvingel
Talltita
Tretåig hackspett
Ullticka
Vedskivlav
Guldkremla
Gulnande spindling
Rödgul trumpetsvamp
Svavelriska
Tvåblad
Zontaggsvamp
Fläcknycklar</t>
        </is>
      </c>
      <c r="W2">
        <f>HYPERLINK("https://klasma.github.io/Logging_2184/artfynd/A 13021-2022 artfynd.xlsx", "A 13021-2022")</f>
        <v/>
      </c>
      <c r="X2">
        <f>HYPERLINK("https://klasma.github.io/Logging_2184/kartor/A 13021-2022 karta.png", "A 13021-2022")</f>
        <v/>
      </c>
      <c r="Y2">
        <f>HYPERLINK("https://klasma.github.io/Logging_2184/kartor_geotiff/A 13021-2022 georefererad karta.tif", "A 13021-2022")</f>
        <v/>
      </c>
      <c r="AA2">
        <f>HYPERLINK("https://klasma.github.io/Logging_2184/klagomål/A 13021-2022 FSC-klagomål.docx", "A 13021-2022")</f>
        <v/>
      </c>
      <c r="AB2">
        <f>HYPERLINK("https://klasma.github.io/Logging_2184/klagomålsmail/A 13021-2022 FSC-klagomål mail.docx", "A 13021-2022")</f>
        <v/>
      </c>
      <c r="AC2">
        <f>HYPERLINK("https://klasma.github.io/Logging_2184/tillsyn/A 13021-2022 tillsynsbegäran.docx", "A 13021-2022")</f>
        <v/>
      </c>
      <c r="AD2">
        <f>HYPERLINK("https://klasma.github.io/Logging_2184/tillsynsmail/A 13021-2022 tillsynsbegäran mail.docx", "A 13021-2022")</f>
        <v/>
      </c>
      <c r="AE2">
        <f>HYPERLINK("https://klasma.github.io/Logging_2184/fåglar/A 13021-2022 prioriterade fågelarter.docx", "A 13021-2022")</f>
        <v/>
      </c>
    </row>
    <row r="3" ht="15" customHeight="1">
      <c r="A3" t="inlineStr">
        <is>
          <t>A 37576-2025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45880</v>
      </c>
      <c r="E3" s="1" t="n">
        <v>46307</v>
      </c>
      <c r="F3" t="inlineStr">
        <is>
          <t>GÄVLEBORGS LÄN</t>
        </is>
      </c>
      <c r="G3" t="inlineStr">
        <is>
          <t>HUDIKSVALL</t>
        </is>
      </c>
      <c r="I3" t="n">
        <v>8</v>
      </c>
      <c r="J3" t="n">
        <v>3</v>
      </c>
      <c r="K3" t="n">
        <v>5</v>
      </c>
      <c r="L3" t="n">
        <v>9</v>
      </c>
      <c r="M3" t="n">
        <v>4</v>
      </c>
      <c r="N3" t="n">
        <v>0</v>
      </c>
      <c r="O3" t="n">
        <v>0</v>
      </c>
      <c r="P3" t="n">
        <v>0</v>
      </c>
      <c r="Q3" t="n">
        <v>13</v>
      </c>
      <c r="R3" t="n">
        <v>4</v>
      </c>
      <c r="S3" t="n">
        <v>22</v>
      </c>
      <c r="T3" t="n">
        <v>33</v>
      </c>
      <c r="U3" t="n">
        <v>32</v>
      </c>
      <c r="V3" s="2" t="inlineStr">
        <is>
          <t>Aspgelélav
Asptagging
Garnlav
Knärot
Aspskinn
Dvärgbägarlav
Kandelabersvamp
Lunglav
Skarp dropptaggsvamp
Talltita
Ullticka
Veckticka
Vågticka
Björksplintborre
Grönpyrola
Mindre märgborre
Rävticka
Skinnlav
Kransmossa
Linnea
Spillkråka
Timmerticka</t>
        </is>
      </c>
      <c r="W3">
        <f>HYPERLINK("https://klasma.github.io/Logging_2184/artfynd/A 37576-2025 artfynd.xlsx", "A 37576-2025")</f>
        <v/>
      </c>
      <c r="X3">
        <f>HYPERLINK("https://klasma.github.io/Logging_2184/kartor/A 37576-2025 karta.png", "A 37576-2025")</f>
        <v/>
      </c>
      <c r="Y3">
        <f>HYPERLINK("https://klasma.github.io/Logging_2184/kartor_geotiff/A 37576-2025 georefererad karta.tif", "A 37576-2025")</f>
        <v/>
      </c>
      <c r="Z3">
        <f>HYPERLINK("https://klasma.github.io/Logging_2184/knärot/A 37576-2025 karta knärot.png", "A 37576-2025")</f>
        <v/>
      </c>
      <c r="AA3">
        <f>HYPERLINK("https://klasma.github.io/Logging_2184/klagomål/A 37576-2025 FSC-klagomål.docx", "A 37576-2025")</f>
        <v/>
      </c>
      <c r="AB3">
        <f>HYPERLINK("https://klasma.github.io/Logging_2184/klagomålsmail/A 37576-2025 FSC-klagomål mail.docx", "A 37576-2025")</f>
        <v/>
      </c>
      <c r="AC3">
        <f>HYPERLINK("https://klasma.github.io/Logging_2184/tillsyn/A 37576-2025 tillsynsbegäran.docx", "A 37576-2025")</f>
        <v/>
      </c>
      <c r="AD3">
        <f>HYPERLINK("https://klasma.github.io/Logging_2184/tillsynsmail/A 37576-2025 tillsynsbegäran mail.docx", "A 37576-2025")</f>
        <v/>
      </c>
      <c r="AE3">
        <f>HYPERLINK("https://klasma.github.io/Logging_2184/fåglar/A 37576-2025 prioriterade fågelarter.docx", "A 37576-2025")</f>
        <v/>
      </c>
    </row>
    <row r="4" ht="15" customHeight="1">
      <c r="A4" t="inlineStr">
        <is>
          <t>A 8671-2022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44613</v>
      </c>
      <c r="E4" s="1" t="n">
        <v>46307</v>
      </c>
      <c r="F4" t="inlineStr">
        <is>
          <t>GÄVLEBORGS LÄN</t>
        </is>
      </c>
      <c r="G4" t="inlineStr">
        <is>
          <t>HUDIKSVALL</t>
        </is>
      </c>
      <c r="I4" t="n">
        <v>13.7</v>
      </c>
      <c r="J4" t="n">
        <v>0</v>
      </c>
      <c r="K4" t="n">
        <v>4</v>
      </c>
      <c r="L4" t="n">
        <v>9</v>
      </c>
      <c r="M4" t="n">
        <v>3</v>
      </c>
      <c r="N4" t="n">
        <v>0</v>
      </c>
      <c r="O4" t="n">
        <v>0</v>
      </c>
      <c r="P4" t="n">
        <v>0</v>
      </c>
      <c r="Q4" t="n">
        <v>12</v>
      </c>
      <c r="R4" t="n">
        <v>3</v>
      </c>
      <c r="S4" t="n">
        <v>16</v>
      </c>
      <c r="T4" t="n">
        <v>33</v>
      </c>
      <c r="U4" t="n">
        <v>20</v>
      </c>
      <c r="V4" s="2" t="inlineStr">
        <is>
          <t>Aspgelélav
Garnlav
Gränsticka
Doftskinn
Kattfotslav
Kortskaftad ärgspik
Lunglav
Rosenticka
Rynkskinn
Småflikig brosklav
Tallticka
Ullticka
Barkticka
Korallblylav
Stor aspticka
Trådticka</t>
        </is>
      </c>
      <c r="W4">
        <f>HYPERLINK("https://klasma.github.io/Logging_2184/artfynd/A 8671-2022 artfynd.xlsx", "A 8671-2022")</f>
        <v/>
      </c>
      <c r="X4">
        <f>HYPERLINK("https://klasma.github.io/Logging_2184/kartor/A 8671-2022 karta.png", "A 8671-2022")</f>
        <v/>
      </c>
      <c r="Y4">
        <f>HYPERLINK("https://klasma.github.io/Logging_2184/kartor_geotiff/A 8671-2022 georefererad karta.tif", "A 8671-2022")</f>
        <v/>
      </c>
      <c r="AA4">
        <f>HYPERLINK("https://klasma.github.io/Logging_2184/klagomål/A 8671-2022 FSC-klagomål.docx", "A 8671-2022")</f>
        <v/>
      </c>
      <c r="AB4">
        <f>HYPERLINK("https://klasma.github.io/Logging_2184/klagomålsmail/A 8671-2022 FSC-klagomål mail.docx", "A 8671-2022")</f>
        <v/>
      </c>
      <c r="AC4">
        <f>HYPERLINK("https://klasma.github.io/Logging_2184/tillsyn/A 8671-2022 tillsynsbegäran.docx", "A 8671-2022")</f>
        <v/>
      </c>
      <c r="AD4">
        <f>HYPERLINK("https://klasma.github.io/Logging_2184/tillsynsmail/A 8671-2022 tillsynsbegäran mail.docx", "A 8671-2022")</f>
        <v/>
      </c>
    </row>
    <row r="5" ht="15" customHeight="1">
      <c r="A5" t="inlineStr">
        <is>
          <t>A 57608-2022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44897</v>
      </c>
      <c r="E5" s="1" t="n">
        <v>46307</v>
      </c>
      <c r="F5" t="inlineStr">
        <is>
          <t>GÄVLEBORGS LÄN</t>
        </is>
      </c>
      <c r="G5" t="inlineStr">
        <is>
          <t>HUDIKSVALL</t>
        </is>
      </c>
      <c r="H5" t="inlineStr">
        <is>
          <t>Naturvårdsverket</t>
        </is>
      </c>
      <c r="I5" t="n">
        <v>18.5</v>
      </c>
      <c r="J5" t="n">
        <v>3</v>
      </c>
      <c r="K5" t="n">
        <v>3</v>
      </c>
      <c r="L5" t="n">
        <v>7</v>
      </c>
      <c r="M5" t="n">
        <v>3</v>
      </c>
      <c r="N5" t="n">
        <v>0</v>
      </c>
      <c r="O5" t="n">
        <v>0</v>
      </c>
      <c r="P5" t="n">
        <v>0</v>
      </c>
      <c r="Q5" t="n">
        <v>10</v>
      </c>
      <c r="R5" t="n">
        <v>3</v>
      </c>
      <c r="S5" t="n">
        <v>15</v>
      </c>
      <c r="T5" t="n">
        <v>21</v>
      </c>
      <c r="U5" t="n">
        <v>6</v>
      </c>
      <c r="V5" s="2" t="inlineStr">
        <is>
          <t>Aspgelélav
Garnlav
Knärot
Blanksvart spiklav
Blågrå svartspik
Kattfotslav
Lunglav
Ullticka
Violettgrå tagellav
Vitgrynig nållav
Korallblylav
Skinnlav
Stor aspticka
Blåsippa
Fläcknycklar</t>
        </is>
      </c>
      <c r="W5">
        <f>HYPERLINK("https://klasma.github.io/Logging_2184/artfynd/A 57608-2022 artfynd.xlsx", "A 57608-2022")</f>
        <v/>
      </c>
      <c r="X5">
        <f>HYPERLINK("https://klasma.github.io/Logging_2184/kartor/A 57608-2022 karta.png", "A 57608-2022")</f>
        <v/>
      </c>
      <c r="Y5">
        <f>HYPERLINK("https://klasma.github.io/Logging_2184/kartor_geotiff/A 57608-2022 georefererad karta.tif", "A 57608-2022")</f>
        <v/>
      </c>
      <c r="Z5">
        <f>HYPERLINK("https://klasma.github.io/Logging_2184/knärot/A 57608-2022 karta knärot.png", "A 57608-2022")</f>
        <v/>
      </c>
      <c r="AA5">
        <f>HYPERLINK("https://klasma.github.io/Logging_2184/klagomål/A 57608-2022 FSC-klagomål.docx", "A 57608-2022")</f>
        <v/>
      </c>
      <c r="AB5">
        <f>HYPERLINK("https://klasma.github.io/Logging_2184/klagomålsmail/A 57608-2022 FSC-klagomål mail.docx", "A 57608-2022")</f>
        <v/>
      </c>
      <c r="AC5">
        <f>HYPERLINK("https://klasma.github.io/Logging_2184/tillsyn/A 57608-2022 tillsynsbegäran.docx", "A 57608-2022")</f>
        <v/>
      </c>
      <c r="AD5">
        <f>HYPERLINK("https://klasma.github.io/Logging_2184/tillsynsmail/A 57608-2022 tillsynsbegäran mail.docx", "A 57608-2022")</f>
        <v/>
      </c>
    </row>
    <row r="6" ht="15" customHeight="1">
      <c r="A6" t="inlineStr">
        <is>
          <t>A 57608-2022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44897</v>
      </c>
      <c r="E6" s="1" t="n">
        <v>46307</v>
      </c>
      <c r="F6" t="inlineStr">
        <is>
          <t>GÄVLEBORGS LÄN</t>
        </is>
      </c>
      <c r="G6" t="inlineStr">
        <is>
          <t>HUDIKSVALL</t>
        </is>
      </c>
      <c r="H6" t="inlineStr">
        <is>
          <t>Naturvårdsverket</t>
        </is>
      </c>
      <c r="I6" t="n">
        <v>18.5</v>
      </c>
      <c r="J6" t="n">
        <v>3</v>
      </c>
      <c r="K6" t="n">
        <v>3</v>
      </c>
      <c r="L6" t="n">
        <v>7</v>
      </c>
      <c r="M6" t="n">
        <v>3</v>
      </c>
      <c r="N6" t="n">
        <v>0</v>
      </c>
      <c r="O6" t="n">
        <v>0</v>
      </c>
      <c r="P6" t="n">
        <v>0</v>
      </c>
      <c r="Q6" t="n">
        <v>10</v>
      </c>
      <c r="R6" t="n">
        <v>3</v>
      </c>
      <c r="S6" t="n">
        <v>15</v>
      </c>
      <c r="T6" t="n">
        <v>21</v>
      </c>
      <c r="U6" t="n">
        <v>6</v>
      </c>
      <c r="V6" s="2" t="inlineStr">
        <is>
          <t>Aspgelélav
Garnlav
Knärot
Blanksvart spiklav
Blågrå svartspik
Kattfotslav
Lunglav
Ullticka
Violettgrå tagellav
Vitgrynig nållav
Korallblylav
Skinnlav
Stor aspticka
Blåsippa
Fläcknycklar</t>
        </is>
      </c>
      <c r="W6">
        <f>HYPERLINK("https://klasma.github.io/Logging_2184/artfynd/A 57608-2022 artfynd.xlsx", "A 57608-2022")</f>
        <v/>
      </c>
      <c r="X6">
        <f>HYPERLINK("https://klasma.github.io/Logging_2184/kartor/A 57608-2022 karta.png", "A 57608-2022")</f>
        <v/>
      </c>
      <c r="Y6">
        <f>HYPERLINK("https://klasma.github.io/Logging_2184/kartor_geotiff/A 57608-2022 georefererad karta.tif", "A 57608-2022")</f>
        <v/>
      </c>
      <c r="Z6">
        <f>HYPERLINK("https://klasma.github.io/Logging_2184/knärot/A 57608-2022 karta knärot.png", "A 57608-2022")</f>
        <v/>
      </c>
      <c r="AA6">
        <f>HYPERLINK("https://klasma.github.io/Logging_2184/klagomål/A 57608-2022 FSC-klagomål.docx", "A 57608-2022")</f>
        <v/>
      </c>
      <c r="AB6">
        <f>HYPERLINK("https://klasma.github.io/Logging_2184/klagomålsmail/A 57608-2022 FSC-klagomål mail.docx", "A 57608-2022")</f>
        <v/>
      </c>
      <c r="AC6">
        <f>HYPERLINK("https://klasma.github.io/Logging_2184/tillsyn/A 57608-2022 tillsynsbegäran.docx", "A 57608-2022")</f>
        <v/>
      </c>
      <c r="AD6">
        <f>HYPERLINK("https://klasma.github.io/Logging_2184/tillsynsmail/A 57608-2022 tillsynsbegäran mail.docx", "A 57608-2022")</f>
        <v/>
      </c>
    </row>
    <row r="7" ht="15" customHeight="1">
      <c r="A7" t="inlineStr">
        <is>
          <t>S 10124-2021</t>
        </is>
      </c>
      <c r="B7" t="inlineStr">
        <is>
          <t>samrådsanmälan</t>
        </is>
      </c>
      <c r="C7" t="inlineStr">
        <is>
          <t>Skogsgödsling</t>
        </is>
      </c>
      <c r="D7" s="1" t="n">
        <v>44538</v>
      </c>
      <c r="E7" s="1" t="n">
        <v>46307</v>
      </c>
      <c r="F7" t="inlineStr">
        <is>
          <t>GÄVLEBORGS LÄN</t>
        </is>
      </c>
      <c r="G7" t="inlineStr">
        <is>
          <t>HUDIKSVALL</t>
        </is>
      </c>
      <c r="H7" t="inlineStr">
        <is>
          <t>Holmen skog AB</t>
        </is>
      </c>
      <c r="I7" t="n">
        <v>2052</v>
      </c>
      <c r="J7" t="n">
        <v>7</v>
      </c>
      <c r="K7" t="n">
        <v>3</v>
      </c>
      <c r="L7" t="n">
        <v>5</v>
      </c>
      <c r="M7" t="n">
        <v>2</v>
      </c>
      <c r="N7" t="n">
        <v>0</v>
      </c>
      <c r="O7" t="n">
        <v>0</v>
      </c>
      <c r="P7" t="n">
        <v>0</v>
      </c>
      <c r="Q7" t="n">
        <v>7</v>
      </c>
      <c r="R7" t="n">
        <v>2</v>
      </c>
      <c r="S7" t="n">
        <v>15</v>
      </c>
      <c r="T7" t="n">
        <v>25</v>
      </c>
      <c r="U7" t="n">
        <v>15</v>
      </c>
      <c r="V7" s="2" t="inlineStr">
        <is>
          <t>Garnlav
Knärot
Kortskaftad ärgspik
Lunglav
Talltita
Violettgrå tagellav
Vitgrynig nållav
Barkkornlav
Vedticka
Vågbandad barkbock
Gråspett
Tjäder
Fjällvråk
Fläcknycklar
Revlummer</t>
        </is>
      </c>
      <c r="W7">
        <f>HYPERLINK("https://klasma.github.io/Logging_2184/artfynd/S 10124-2021 artfynd.xlsx", "S 10124-2021")</f>
        <v/>
      </c>
      <c r="X7">
        <f>HYPERLINK("https://klasma.github.io/Logging_2184/kartor/S 10124-2021 karta.png", "S 10124-2021")</f>
        <v/>
      </c>
      <c r="Y7">
        <f>HYPERLINK("https://klasma.github.io/Logging_2184/kartor_geotiff/S 10124-2021 georefererad karta.tif", "S 10124-2021")</f>
        <v/>
      </c>
      <c r="Z7">
        <f>HYPERLINK("https://klasma.github.io/Logging_2184/knärot/S 10124-2021 karta knärot.png", "S 10124-2021")</f>
        <v/>
      </c>
      <c r="AA7">
        <f>HYPERLINK("https://klasma.github.io/Logging_2184/klagomål/S 10124-2021 FSC-klagomål.docx", "S 10124-2021")</f>
        <v/>
      </c>
      <c r="AB7">
        <f>HYPERLINK("https://klasma.github.io/Logging_2184/klagomålsmail/S 10124-2021 FSC-klagomål mail.docx", "S 10124-2021")</f>
        <v/>
      </c>
      <c r="AC7">
        <f>HYPERLINK("https://klasma.github.io/Logging_2184/tillsyn/S 10124-2021 tillsynsbegäran.docx", "S 10124-2021")</f>
        <v/>
      </c>
      <c r="AD7">
        <f>HYPERLINK("https://klasma.github.io/Logging_2184/tillsynsmail/S 10124-2021 tillsynsbegäran mail.docx", "S 10124-2021")</f>
        <v/>
      </c>
      <c r="AE7">
        <f>HYPERLINK("https://klasma.github.io/Logging_2184/fåglar/S 10124-2021 prioriterade fågelarter.docx", "S 10124-2021")</f>
        <v/>
      </c>
    </row>
    <row r="8" ht="15" customHeight="1">
      <c r="A8" t="inlineStr">
        <is>
          <t>A 19521-2023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45050</v>
      </c>
      <c r="E8" s="1" t="n">
        <v>46307</v>
      </c>
      <c r="F8" t="inlineStr">
        <is>
          <t>GÄVLEBORGS LÄN</t>
        </is>
      </c>
      <c r="G8" t="inlineStr">
        <is>
          <t>HUDIKSVALL</t>
        </is>
      </c>
      <c r="H8" t="inlineStr">
        <is>
          <t>Holmen skog AB</t>
        </is>
      </c>
      <c r="I8" t="n">
        <v>9.300000000000001</v>
      </c>
      <c r="J8" t="n">
        <v>4</v>
      </c>
      <c r="K8" t="n">
        <v>4</v>
      </c>
      <c r="L8" t="n">
        <v>5</v>
      </c>
      <c r="M8" t="n">
        <v>1</v>
      </c>
      <c r="N8" t="n">
        <v>0</v>
      </c>
      <c r="O8" t="n">
        <v>0</v>
      </c>
      <c r="P8" t="n">
        <v>0</v>
      </c>
      <c r="Q8" t="n">
        <v>6</v>
      </c>
      <c r="R8" t="n">
        <v>1</v>
      </c>
      <c r="S8" t="n">
        <v>14</v>
      </c>
      <c r="T8" t="n">
        <v>22</v>
      </c>
      <c r="U8" t="n">
        <v>0</v>
      </c>
      <c r="V8" s="2" t="inlineStr">
        <is>
          <t>Garnlav
Kolflarnlav
Lunglav
Mörk kolflarnlav
Violmussling
Vitgrynig nållav
Bollvitmossa
Bronshjon
Nästlav
Vågbandad barkbock
Järpe
Tjäder
Vanlig groda
Revlummer</t>
        </is>
      </c>
      <c r="W8">
        <f>HYPERLINK("https://klasma.github.io/Logging_2184/artfynd/A 19521-2023 artfynd.xlsx", "A 19521-2023")</f>
        <v/>
      </c>
      <c r="X8">
        <f>HYPERLINK("https://klasma.github.io/Logging_2184/kartor/A 19521-2023 karta.png", "A 19521-2023")</f>
        <v/>
      </c>
      <c r="Y8">
        <f>HYPERLINK("https://klasma.github.io/Logging_2184/kartor_geotiff/A 19521-2023 georefererad karta.tif", "A 19521-2023")</f>
        <v/>
      </c>
      <c r="AA8">
        <f>HYPERLINK("https://klasma.github.io/Logging_2184/klagomål/A 19521-2023 FSC-klagomål.docx", "A 19521-2023")</f>
        <v/>
      </c>
      <c r="AB8">
        <f>HYPERLINK("https://klasma.github.io/Logging_2184/klagomålsmail/A 19521-2023 FSC-klagomål mail.docx", "A 19521-2023")</f>
        <v/>
      </c>
      <c r="AC8">
        <f>HYPERLINK("https://klasma.github.io/Logging_2184/tillsyn/A 19521-2023 tillsynsbegäran.docx", "A 19521-2023")</f>
        <v/>
      </c>
      <c r="AD8">
        <f>HYPERLINK("https://klasma.github.io/Logging_2184/tillsynsmail/A 19521-2023 tillsynsbegäran mail.docx", "A 19521-2023")</f>
        <v/>
      </c>
      <c r="AE8">
        <f>HYPERLINK("https://klasma.github.io/Logging_2184/fåglar/A 19521-2023 prioriterade fågelarter.docx", "A 19521-2023")</f>
        <v/>
      </c>
    </row>
    <row r="9" ht="15" customHeight="1">
      <c r="A9" t="inlineStr">
        <is>
          <t>A 42012-2026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46303</v>
      </c>
      <c r="E9" s="1" t="n">
        <v>46307</v>
      </c>
      <c r="F9" t="inlineStr">
        <is>
          <t>GÄVLEBORGS LÄN</t>
        </is>
      </c>
      <c r="G9" t="inlineStr">
        <is>
          <t>HUDIKSVALL</t>
        </is>
      </c>
      <c r="H9" t="inlineStr">
        <is>
          <t>Holmen skog AB</t>
        </is>
      </c>
      <c r="I9" t="n">
        <v>45</v>
      </c>
      <c r="J9" t="n">
        <v>5</v>
      </c>
      <c r="K9" t="n">
        <v>5</v>
      </c>
      <c r="L9" t="n">
        <v>3</v>
      </c>
      <c r="M9" t="n">
        <v>1</v>
      </c>
      <c r="N9" t="n">
        <v>0</v>
      </c>
      <c r="O9" t="n">
        <v>0</v>
      </c>
      <c r="P9" t="n">
        <v>0</v>
      </c>
      <c r="Q9" t="n">
        <v>4</v>
      </c>
      <c r="R9" t="n">
        <v>1</v>
      </c>
      <c r="S9" t="n">
        <v>11</v>
      </c>
      <c r="T9" t="n">
        <v>13</v>
      </c>
      <c r="U9" t="n">
        <v>0</v>
      </c>
      <c r="V9" s="2" t="inlineStr">
        <is>
          <t>Garnlav
Gammelgransskål
Storgröe
Vitgrynig nållav
Grov husmossa
Korallrot
Spindelblomster
Tvåblad
Ögonpyrola
Fläcknycklar
Revlummer</t>
        </is>
      </c>
      <c r="W9">
        <f>HYPERLINK("https://klasma.github.io/Logging_2184/artfynd/A 42012-2026 artfynd.xlsx", "A 42012-2026")</f>
        <v/>
      </c>
      <c r="X9">
        <f>HYPERLINK("https://klasma.github.io/Logging_2184/kartor/A 42012-2026 karta.png", "A 42012-2026")</f>
        <v/>
      </c>
      <c r="Y9">
        <f>HYPERLINK("https://klasma.github.io/Logging_2184/kartor_geotiff/A 42012-2026 georefererad karta.tif", "A 42012-2026")</f>
        <v/>
      </c>
      <c r="Z9">
        <f>HYPERLINK("https://klasma.github.io/Logging_2184/knärot/A 42012-2026 karta knärot.png", "A 42012-2026")</f>
        <v/>
      </c>
      <c r="AA9">
        <f>HYPERLINK("https://klasma.github.io/Logging_2184/klagomål/A 42012-2026 FSC-klagomål.docx", "A 42012-2026")</f>
        <v/>
      </c>
      <c r="AB9">
        <f>HYPERLINK("https://klasma.github.io/Logging_2184/klagomålsmail/A 42012-2026 FSC-klagomål mail.docx", "A 42012-2026")</f>
        <v/>
      </c>
      <c r="AC9">
        <f>HYPERLINK("https://klasma.github.io/Logging_2184/tillsyn/A 42012-2026 tillsynsbegäran.docx", "A 42012-2026")</f>
        <v/>
      </c>
      <c r="AD9">
        <f>HYPERLINK("https://klasma.github.io/Logging_2184/tillsynsmail/A 42012-2026 tillsynsbegäran mail.docx", "A 42012-2026")</f>
        <v/>
      </c>
    </row>
    <row r="10" ht="15" customHeight="1">
      <c r="A10" t="inlineStr">
        <is>
          <t>S 22-2023</t>
        </is>
      </c>
      <c r="B10" t="inlineStr">
        <is>
          <t>samrådsanmälan</t>
        </is>
      </c>
      <c r="C10" t="inlineStr">
        <is>
          <t>Skogsgödsling</t>
        </is>
      </c>
      <c r="D10" s="1" t="n">
        <v>44904</v>
      </c>
      <c r="E10" s="1" t="n">
        <v>46307</v>
      </c>
      <c r="F10" t="inlineStr">
        <is>
          <t>GÄVLEBORGS LÄN</t>
        </is>
      </c>
      <c r="G10" t="inlineStr">
        <is>
          <t>HUDIKSVALL</t>
        </is>
      </c>
      <c r="H10" t="inlineStr">
        <is>
          <t>Holmen skog AB</t>
        </is>
      </c>
      <c r="I10" t="n">
        <v>2582.8</v>
      </c>
      <c r="J10" t="n">
        <v>7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9</v>
      </c>
      <c r="T10" t="n">
        <v>15</v>
      </c>
      <c r="U10" t="n">
        <v>4</v>
      </c>
      <c r="V10" s="2" t="inlineStr">
        <is>
          <t>Knärot
Lunglav
Talltita
Plattlummer
Stuplav
Gråspett
Tjäder
Fläcknycklar
Revlummer</t>
        </is>
      </c>
      <c r="W10">
        <f>HYPERLINK("https://klasma.github.io/Logging_2184/artfynd/S 22-2023 artfynd.xlsx", "S 22-2023")</f>
        <v/>
      </c>
      <c r="X10">
        <f>HYPERLINK("https://klasma.github.io/Logging_2184/kartor/S 22-2023 karta.png", "S 22-2023")</f>
        <v/>
      </c>
      <c r="Y10">
        <f>HYPERLINK("https://klasma.github.io/Logging_2184/kartor_geotiff/S 22-2023 georefererad karta.tif", "S 22-2023")</f>
        <v/>
      </c>
      <c r="Z10">
        <f>HYPERLINK("https://klasma.github.io/Logging_2184/knärot/S 22-2023 karta knärot.png", "S 22-2023")</f>
        <v/>
      </c>
      <c r="AA10">
        <f>HYPERLINK("https://klasma.github.io/Logging_2184/klagomål/S 22-2023 FSC-klagomål.docx", "S 22-2023")</f>
        <v/>
      </c>
      <c r="AB10">
        <f>HYPERLINK("https://klasma.github.io/Logging_2184/klagomålsmail/S 22-2023 FSC-klagomål mail.docx", "S 22-2023")</f>
        <v/>
      </c>
      <c r="AC10">
        <f>HYPERLINK("https://klasma.github.io/Logging_2184/tillsyn/S 22-2023 tillsynsbegäran.docx", "S 22-2023")</f>
        <v/>
      </c>
      <c r="AD10">
        <f>HYPERLINK("https://klasma.github.io/Logging_2184/tillsynsmail/S 22-2023 tillsynsbegäran mail.docx", "S 22-2023")</f>
        <v/>
      </c>
      <c r="AE10">
        <f>HYPERLINK("https://klasma.github.io/Logging_2184/fåglar/S 22-2023 prioriterade fågelarter.docx", "S 22-2023")</f>
        <v/>
      </c>
    </row>
    <row r="11" ht="15" customHeight="1">
      <c r="A11" t="inlineStr">
        <is>
          <t>S 3426-2025</t>
        </is>
      </c>
      <c r="B11" t="inlineStr">
        <is>
          <t>samrådsanmälan</t>
        </is>
      </c>
      <c r="C11" t="inlineStr">
        <is>
          <t>Skogsgödsling</t>
        </is>
      </c>
      <c r="D11" s="1" t="n">
        <v>45995</v>
      </c>
      <c r="E11" s="1" t="n">
        <v>46307</v>
      </c>
      <c r="F11" t="inlineStr">
        <is>
          <t>GÄVLEBORGS LÄN</t>
        </is>
      </c>
      <c r="G11" t="inlineStr">
        <is>
          <t>HUDIKSVALL</t>
        </is>
      </c>
      <c r="H11" t="inlineStr">
        <is>
          <t>Holmen skog AB</t>
        </is>
      </c>
      <c r="I11" t="n">
        <v>521.8</v>
      </c>
      <c r="J11" t="n">
        <v>5</v>
      </c>
      <c r="K11" t="n">
        <v>4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9</v>
      </c>
      <c r="T11" t="n">
        <v>10</v>
      </c>
      <c r="U11" t="n">
        <v>0</v>
      </c>
      <c r="V11" s="2" t="inlineStr">
        <is>
          <t>Igelkott
Lunglav
Plattlummer
Spindelblomster
Stuplav
Ögonpyrola
Blåsippa
Nattviol
Revlummer</t>
        </is>
      </c>
      <c r="W11">
        <f>HYPERLINK("https://klasma.github.io/Logging_2184/artfynd/S 3426-2025 artfynd.xlsx", "S 3426-2025")</f>
        <v/>
      </c>
      <c r="X11">
        <f>HYPERLINK("https://klasma.github.io/Logging_2184/kartor/S 3426-2025 karta.png", "S 3426-2025")</f>
        <v/>
      </c>
      <c r="Y11">
        <f>HYPERLINK("https://klasma.github.io/Logging_2184/kartor_geotiff/S 3426-2025 georefererad karta.tif", "S 3426-2025")</f>
        <v/>
      </c>
      <c r="AA11">
        <f>HYPERLINK("https://klasma.github.io/Logging_2184/klagomål/S 3426-2025 FSC-klagomål.docx", "S 3426-2025")</f>
        <v/>
      </c>
      <c r="AB11">
        <f>HYPERLINK("https://klasma.github.io/Logging_2184/klagomålsmail/S 3426-2025 FSC-klagomål mail.docx", "S 3426-2025")</f>
        <v/>
      </c>
      <c r="AC11">
        <f>HYPERLINK("https://klasma.github.io/Logging_2184/tillsyn/S 3426-2025 tillsynsbegäran.docx", "S 3426-2025")</f>
        <v/>
      </c>
      <c r="AD11">
        <f>HYPERLINK("https://klasma.github.io/Logging_2184/tillsynsmail/S 3426-2025 tillsynsbegäran mail.docx", "S 3426-2025")</f>
        <v/>
      </c>
    </row>
    <row r="12" ht="15" customHeight="1">
      <c r="A12" t="inlineStr">
        <is>
          <t>A 42489-2025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45905</v>
      </c>
      <c r="E12" s="1" t="n">
        <v>46307</v>
      </c>
      <c r="F12" t="inlineStr">
        <is>
          <t>GÄVLEBORGS LÄN</t>
        </is>
      </c>
      <c r="G12" t="inlineStr">
        <is>
          <t>HUDIKSVALL</t>
        </is>
      </c>
      <c r="I12" t="n">
        <v>1.5</v>
      </c>
      <c r="J12" t="n">
        <v>0</v>
      </c>
      <c r="K12" t="n">
        <v>1</v>
      </c>
      <c r="L12" t="n">
        <v>4</v>
      </c>
      <c r="M12" t="n">
        <v>1</v>
      </c>
      <c r="N12" t="n">
        <v>2</v>
      </c>
      <c r="O12" t="n">
        <v>0</v>
      </c>
      <c r="P12" t="n">
        <v>0</v>
      </c>
      <c r="Q12" t="n">
        <v>7</v>
      </c>
      <c r="R12" t="n">
        <v>3</v>
      </c>
      <c r="S12" t="n">
        <v>8</v>
      </c>
      <c r="T12" t="n">
        <v>19</v>
      </c>
      <c r="U12" t="n">
        <v>2</v>
      </c>
      <c r="V12" s="2" t="inlineStr">
        <is>
          <t>Koppartaggsvamp
Raggtaggsvamp
Ulltickeporing
Fjällig taggsvamp s.str.
Skarp dropptaggsvamp
Sotvaxskivling
Ullticka
Zontaggsvamp</t>
        </is>
      </c>
      <c r="W12">
        <f>HYPERLINK("https://klasma.github.io/Logging_2184/artfynd/A 42489-2025 artfynd.xlsx", "A 42489-2025")</f>
        <v/>
      </c>
      <c r="X12">
        <f>HYPERLINK("https://klasma.github.io/Logging_2184/kartor/A 42489-2025 karta.png", "A 42489-2025")</f>
        <v/>
      </c>
      <c r="Y12">
        <f>HYPERLINK("https://klasma.github.io/Logging_2184/kartor_geotiff/A 42489-2025 georefererad karta.tif", "A 42489-2025")</f>
        <v/>
      </c>
      <c r="AA12">
        <f>HYPERLINK("https://klasma.github.io/Logging_2184/klagomål/A 42489-2025 FSC-klagomål.docx", "A 42489-2025")</f>
        <v/>
      </c>
      <c r="AB12">
        <f>HYPERLINK("https://klasma.github.io/Logging_2184/klagomålsmail/A 42489-2025 FSC-klagomål mail.docx", "A 42489-2025")</f>
        <v/>
      </c>
      <c r="AC12">
        <f>HYPERLINK("https://klasma.github.io/Logging_2184/tillsyn/A 42489-2025 tillsynsbegäran.docx", "A 42489-2025")</f>
        <v/>
      </c>
      <c r="AD12">
        <f>HYPERLINK("https://klasma.github.io/Logging_2184/tillsynsmail/A 42489-2025 tillsynsbegäran mail.docx", "A 42489-2025")</f>
        <v/>
      </c>
    </row>
    <row r="13" ht="15" customHeight="1">
      <c r="A13" t="inlineStr">
        <is>
          <t>A 13505-2026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46094</v>
      </c>
      <c r="E13" s="1" t="n">
        <v>46307</v>
      </c>
      <c r="F13" t="inlineStr">
        <is>
          <t>GÄVLEBORGS LÄN</t>
        </is>
      </c>
      <c r="G13" t="inlineStr">
        <is>
          <t>HUDIKSVALL</t>
        </is>
      </c>
      <c r="H13" t="inlineStr">
        <is>
          <t>Holmen skog AB</t>
        </is>
      </c>
      <c r="I13" t="n">
        <v>11.7</v>
      </c>
      <c r="J13" t="n">
        <v>3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1</v>
      </c>
      <c r="S13" t="n">
        <v>8</v>
      </c>
      <c r="T13" t="n">
        <v>9</v>
      </c>
      <c r="U13" t="n">
        <v>1</v>
      </c>
      <c r="V13" s="2" t="inlineStr">
        <is>
          <t>Skogsalm
Skogssvingel
Strutbräken
Tibast
Ögonpyrola
Blåsippa
Lopplummer (aggregat)
Revlummer</t>
        </is>
      </c>
      <c r="W13">
        <f>HYPERLINK("https://klasma.github.io/Logging_2184/artfynd/A 13505-2026 artfynd.xlsx", "A 13505-2026")</f>
        <v/>
      </c>
      <c r="X13">
        <f>HYPERLINK("https://klasma.github.io/Logging_2184/kartor/A 13505-2026 karta.png", "A 13505-2026")</f>
        <v/>
      </c>
      <c r="Y13">
        <f>HYPERLINK("https://klasma.github.io/Logging_2184/kartor_geotiff/A 13505-2026 georefererad karta.tif", "A 13505-2026")</f>
        <v/>
      </c>
      <c r="AA13">
        <f>HYPERLINK("https://klasma.github.io/Logging_2184/klagomål/A 13505-2026 FSC-klagomål.docx", "A 13505-2026")</f>
        <v/>
      </c>
      <c r="AB13">
        <f>HYPERLINK("https://klasma.github.io/Logging_2184/klagomålsmail/A 13505-2026 FSC-klagomål mail.docx", "A 13505-2026")</f>
        <v/>
      </c>
      <c r="AC13">
        <f>HYPERLINK("https://klasma.github.io/Logging_2184/tillsyn/A 13505-2026 tillsynsbegäran.docx", "A 13505-2026")</f>
        <v/>
      </c>
      <c r="AD13">
        <f>HYPERLINK("https://klasma.github.io/Logging_2184/tillsynsmail/A 13505-2026 tillsynsbegäran mail.docx", "A 13505-2026")</f>
        <v/>
      </c>
    </row>
    <row r="14" ht="15" customHeight="1">
      <c r="A14" t="inlineStr">
        <is>
          <t>A 55253-2022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44887</v>
      </c>
      <c r="E14" s="1" t="n">
        <v>46307</v>
      </c>
      <c r="F14" t="inlineStr">
        <is>
          <t>GÄVLEBORGS LÄN</t>
        </is>
      </c>
      <c r="G14" t="inlineStr">
        <is>
          <t>HUDIKSVALL</t>
        </is>
      </c>
      <c r="H14" t="inlineStr">
        <is>
          <t>Holmen skog AB</t>
        </is>
      </c>
      <c r="I14" t="n">
        <v>5.1</v>
      </c>
      <c r="J14" t="n">
        <v>2</v>
      </c>
      <c r="K14" t="n">
        <v>0</v>
      </c>
      <c r="L14" t="n">
        <v>5</v>
      </c>
      <c r="M14" t="n">
        <v>2</v>
      </c>
      <c r="N14" t="n">
        <v>0</v>
      </c>
      <c r="O14" t="n">
        <v>0</v>
      </c>
      <c r="P14" t="n">
        <v>0</v>
      </c>
      <c r="Q14" t="n">
        <v>7</v>
      </c>
      <c r="R14" t="n">
        <v>2</v>
      </c>
      <c r="S14" t="n">
        <v>7</v>
      </c>
      <c r="T14" t="n">
        <v>8</v>
      </c>
      <c r="U14" t="n">
        <v>8</v>
      </c>
      <c r="V14" s="2" t="inlineStr">
        <is>
          <t>Garnlav
Knärot
Bivråk
Rosenticka
Rynkskinn
Ullticka
Vedtrappmossa</t>
        </is>
      </c>
      <c r="W14">
        <f>HYPERLINK("https://klasma.github.io/Logging_2184/artfynd/A 55253-2022 artfynd.xlsx", "A 55253-2022")</f>
        <v/>
      </c>
      <c r="X14">
        <f>HYPERLINK("https://klasma.github.io/Logging_2184/kartor/A 55253-2022 karta.png", "A 55253-2022")</f>
        <v/>
      </c>
      <c r="Y14">
        <f>HYPERLINK("https://klasma.github.io/Logging_2184/kartor_geotiff/A 55253-2022 georefererad karta.tif", "A 55253-2022")</f>
        <v/>
      </c>
      <c r="Z14">
        <f>HYPERLINK("https://klasma.github.io/Logging_2184/knärot/A 55253-2022 karta knärot.png", "A 55253-2022")</f>
        <v/>
      </c>
      <c r="AA14">
        <f>HYPERLINK("https://klasma.github.io/Logging_2184/klagomål/A 55253-2022 FSC-klagomål.docx", "A 55253-2022")</f>
        <v/>
      </c>
      <c r="AB14">
        <f>HYPERLINK("https://klasma.github.io/Logging_2184/klagomålsmail/A 55253-2022 FSC-klagomål mail.docx", "A 55253-2022")</f>
        <v/>
      </c>
      <c r="AC14">
        <f>HYPERLINK("https://klasma.github.io/Logging_2184/tillsyn/A 55253-2022 tillsynsbegäran.docx", "A 55253-2022")</f>
        <v/>
      </c>
      <c r="AD14">
        <f>HYPERLINK("https://klasma.github.io/Logging_2184/tillsynsmail/A 55253-2022 tillsynsbegäran mail.docx", "A 55253-2022")</f>
        <v/>
      </c>
      <c r="AE14">
        <f>HYPERLINK("https://klasma.github.io/Logging_2184/fåglar/A 55253-2022 prioriterade fågelarter.docx", "A 55253-2022")</f>
        <v/>
      </c>
    </row>
    <row r="15" ht="15" customHeight="1">
      <c r="A15" t="inlineStr">
        <is>
          <t>S 116-2025</t>
        </is>
      </c>
      <c r="B15" t="inlineStr">
        <is>
          <t>samrådsanmälan</t>
        </is>
      </c>
      <c r="C15" t="inlineStr">
        <is>
          <t>Skogsgödsling</t>
        </is>
      </c>
      <c r="D15" s="1" t="n">
        <v>45670</v>
      </c>
      <c r="E15" s="1" t="n">
        <v>46307</v>
      </c>
      <c r="F15" t="inlineStr">
        <is>
          <t>GÄVLEBORGS LÄN</t>
        </is>
      </c>
      <c r="G15" t="inlineStr">
        <is>
          <t>HUDIKSVALL</t>
        </is>
      </c>
      <c r="H15" t="inlineStr">
        <is>
          <t>Holmen skog AB</t>
        </is>
      </c>
      <c r="I15" t="n">
        <v>99.3</v>
      </c>
      <c r="J15" t="n">
        <v>3</v>
      </c>
      <c r="K15" t="n">
        <v>2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7</v>
      </c>
      <c r="T15" t="n">
        <v>8</v>
      </c>
      <c r="U15" t="n">
        <v>4</v>
      </c>
      <c r="V15" s="2" t="inlineStr">
        <is>
          <t>Knärot
Dropptaggsvamp
Ullticka
Robust tickgnagare
Skinnlav
Nattviol
Revlummer</t>
        </is>
      </c>
      <c r="W15">
        <f>HYPERLINK("https://klasma.github.io/Logging_2184/artfynd/S 116-2025 artfynd.xlsx", "S 116-2025")</f>
        <v/>
      </c>
      <c r="X15">
        <f>HYPERLINK("https://klasma.github.io/Logging_2184/kartor/S 116-2025 karta.png", "S 116-2025")</f>
        <v/>
      </c>
      <c r="Y15">
        <f>HYPERLINK("https://klasma.github.io/Logging_2184/kartor_geotiff/S 116-2025 georefererad karta.tif", "S 116-2025")</f>
        <v/>
      </c>
      <c r="Z15">
        <f>HYPERLINK("https://klasma.github.io/Logging_2184/knärot/S 116-2025 karta knärot.png", "S 116-2025")</f>
        <v/>
      </c>
      <c r="AA15">
        <f>HYPERLINK("https://klasma.github.io/Logging_2184/klagomål/S 116-2025 FSC-klagomål.docx", "S 116-2025")</f>
        <v/>
      </c>
      <c r="AB15">
        <f>HYPERLINK("https://klasma.github.io/Logging_2184/klagomålsmail/S 116-2025 FSC-klagomål mail.docx", "S 116-2025")</f>
        <v/>
      </c>
      <c r="AC15">
        <f>HYPERLINK("https://klasma.github.io/Logging_2184/tillsyn/S 116-2025 tillsynsbegäran.docx", "S 116-2025")</f>
        <v/>
      </c>
      <c r="AD15">
        <f>HYPERLINK("https://klasma.github.io/Logging_2184/tillsynsmail/S 116-2025 tillsynsbegäran mail.docx", "S 116-2025")</f>
        <v/>
      </c>
    </row>
    <row r="16" ht="15" customHeight="1">
      <c r="A16" t="inlineStr">
        <is>
          <t>S 114-2025</t>
        </is>
      </c>
      <c r="B16" t="inlineStr">
        <is>
          <t>samrådsanmälan</t>
        </is>
      </c>
      <c r="C16" t="inlineStr">
        <is>
          <t>Skogsgödsling</t>
        </is>
      </c>
      <c r="D16" s="1" t="n">
        <v>45670</v>
      </c>
      <c r="E16" s="1" t="n">
        <v>46307</v>
      </c>
      <c r="F16" t="inlineStr">
        <is>
          <t>GÄVLEBORGS LÄN</t>
        </is>
      </c>
      <c r="G16" t="inlineStr">
        <is>
          <t>HUDIKSVALL</t>
        </is>
      </c>
      <c r="H16" t="inlineStr">
        <is>
          <t>Holmen skog AB</t>
        </is>
      </c>
      <c r="I16" t="n">
        <v>128</v>
      </c>
      <c r="J16" t="n">
        <v>3</v>
      </c>
      <c r="K16" t="n">
        <v>1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1</v>
      </c>
      <c r="S16" t="n">
        <v>7</v>
      </c>
      <c r="T16" t="n">
        <v>10</v>
      </c>
      <c r="U16" t="n">
        <v>0</v>
      </c>
      <c r="V16" s="2" t="inlineStr">
        <is>
          <t>Pärluggla
Gammelgransskål
Lunglav
Rynkskinn
Skinnlav
Tjäder
Revlummer</t>
        </is>
      </c>
      <c r="W16">
        <f>HYPERLINK("https://klasma.github.io/Logging_2184/artfynd/S 114-2025 artfynd.xlsx", "S 114-2025")</f>
        <v/>
      </c>
      <c r="X16">
        <f>HYPERLINK("https://klasma.github.io/Logging_2184/kartor/S 114-2025 karta.png", "S 114-2025")</f>
        <v/>
      </c>
      <c r="Y16">
        <f>HYPERLINK("https://klasma.github.io/Logging_2184/kartor_geotiff/S 114-2025 georefererad karta.tif", "S 114-2025")</f>
        <v/>
      </c>
      <c r="AA16">
        <f>HYPERLINK("https://klasma.github.io/Logging_2184/klagomål/S 114-2025 FSC-klagomål.docx", "S 114-2025")</f>
        <v/>
      </c>
      <c r="AB16">
        <f>HYPERLINK("https://klasma.github.io/Logging_2184/klagomålsmail/S 114-2025 FSC-klagomål mail.docx", "S 114-2025")</f>
        <v/>
      </c>
      <c r="AC16">
        <f>HYPERLINK("https://klasma.github.io/Logging_2184/tillsyn/S 114-2025 tillsynsbegäran.docx", "S 114-2025")</f>
        <v/>
      </c>
      <c r="AD16">
        <f>HYPERLINK("https://klasma.github.io/Logging_2184/tillsynsmail/S 114-2025 tillsynsbegäran mail.docx", "S 114-2025")</f>
        <v/>
      </c>
      <c r="AE16">
        <f>HYPERLINK("https://klasma.github.io/Logging_2184/fåglar/S 114-2025 prioriterade fågelarter.docx", "S 114-2025")</f>
        <v/>
      </c>
    </row>
    <row r="17" ht="15" customHeight="1">
      <c r="A17" t="inlineStr">
        <is>
          <t>S 3427-2025</t>
        </is>
      </c>
      <c r="B17" t="inlineStr">
        <is>
          <t>samrådsanmälan</t>
        </is>
      </c>
      <c r="C17" t="inlineStr">
        <is>
          <t>Skogsgödsling</t>
        </is>
      </c>
      <c r="D17" s="1" t="n">
        <v>45995</v>
      </c>
      <c r="E17" s="1" t="n">
        <v>46307</v>
      </c>
      <c r="F17" t="inlineStr">
        <is>
          <t>GÄVLEBORGS LÄN</t>
        </is>
      </c>
      <c r="G17" t="inlineStr">
        <is>
          <t>HUDIKSVALL</t>
        </is>
      </c>
      <c r="H17" t="inlineStr">
        <is>
          <t>Holmen skog AB</t>
        </is>
      </c>
      <c r="I17" t="n">
        <v>81.2</v>
      </c>
      <c r="J17" t="n">
        <v>3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7</v>
      </c>
      <c r="T17" t="n">
        <v>10</v>
      </c>
      <c r="U17" t="n">
        <v>1</v>
      </c>
      <c r="V17" s="2" t="inlineStr">
        <is>
          <t>Garnlav
Lunglav
Vedflamlav
Nästlav
Orre
Fläcknycklar
Revlummer</t>
        </is>
      </c>
      <c r="W17">
        <f>HYPERLINK("https://klasma.github.io/Logging_2184/artfynd/S 3427-2025 artfynd.xlsx", "S 3427-2025")</f>
        <v/>
      </c>
      <c r="X17">
        <f>HYPERLINK("https://klasma.github.io/Logging_2184/kartor/S 3427-2025 karta.png", "S 3427-2025")</f>
        <v/>
      </c>
      <c r="Y17">
        <f>HYPERLINK("https://klasma.github.io/Logging_2184/kartor_geotiff/S 3427-2025 georefererad karta.tif", "S 3427-2025")</f>
        <v/>
      </c>
      <c r="AA17">
        <f>HYPERLINK("https://klasma.github.io/Logging_2184/klagomål/S 3427-2025 FSC-klagomål.docx", "S 3427-2025")</f>
        <v/>
      </c>
      <c r="AB17">
        <f>HYPERLINK("https://klasma.github.io/Logging_2184/klagomålsmail/S 3427-2025 FSC-klagomål mail.docx", "S 3427-2025")</f>
        <v/>
      </c>
      <c r="AC17">
        <f>HYPERLINK("https://klasma.github.io/Logging_2184/tillsyn/S 3427-2025 tillsynsbegäran.docx", "S 3427-2025")</f>
        <v/>
      </c>
      <c r="AD17">
        <f>HYPERLINK("https://klasma.github.io/Logging_2184/tillsynsmail/S 3427-2025 tillsynsbegäran mail.docx", "S 3427-2025")</f>
        <v/>
      </c>
      <c r="AE17">
        <f>HYPERLINK("https://klasma.github.io/Logging_2184/fåglar/S 3427-2025 prioriterade fågelarter.docx", "S 3427-2025")</f>
        <v/>
      </c>
    </row>
    <row r="18" ht="15" customHeight="1">
      <c r="A18" t="inlineStr">
        <is>
          <t>A 35985-2022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44802</v>
      </c>
      <c r="E18" s="1" t="n">
        <v>46307</v>
      </c>
      <c r="F18" t="inlineStr">
        <is>
          <t>GÄVLEBORGS LÄN</t>
        </is>
      </c>
      <c r="G18" t="inlineStr">
        <is>
          <t>HUDIKSVALL</t>
        </is>
      </c>
      <c r="H18" t="inlineStr">
        <is>
          <t>Holmen skog AB</t>
        </is>
      </c>
      <c r="I18" t="n">
        <v>9.1</v>
      </c>
      <c r="J18" t="n">
        <v>1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6</v>
      </c>
      <c r="U18" t="n">
        <v>6</v>
      </c>
      <c r="V18" s="2" t="inlineStr">
        <is>
          <t>Myskmåra
Strutbräken
Svart trolldruva
Tibast
Underviol
Blåsippa</t>
        </is>
      </c>
      <c r="W18">
        <f>HYPERLINK("https://klasma.github.io/Logging_2184/artfynd/A 35985-2022 artfynd.xlsx", "A 35985-2022")</f>
        <v/>
      </c>
      <c r="X18">
        <f>HYPERLINK("https://klasma.github.io/Logging_2184/kartor/A 35985-2022 karta.png", "A 35985-2022")</f>
        <v/>
      </c>
      <c r="Y18">
        <f>HYPERLINK("https://klasma.github.io/Logging_2184/kartor_geotiff/A 35985-2022 georefererad karta.tif", "A 35985-2022")</f>
        <v/>
      </c>
      <c r="AA18">
        <f>HYPERLINK("https://klasma.github.io/Logging_2184/klagomål/A 35985-2022 FSC-klagomål.docx", "A 35985-2022")</f>
        <v/>
      </c>
      <c r="AB18">
        <f>HYPERLINK("https://klasma.github.io/Logging_2184/klagomålsmail/A 35985-2022 FSC-klagomål mail.docx", "A 35985-2022")</f>
        <v/>
      </c>
      <c r="AC18">
        <f>HYPERLINK("https://klasma.github.io/Logging_2184/tillsyn/A 35985-2022 tillsynsbegäran.docx", "A 35985-2022")</f>
        <v/>
      </c>
      <c r="AD18">
        <f>HYPERLINK("https://klasma.github.io/Logging_2184/tillsynsmail/A 35985-2022 tillsynsbegäran mail.docx", "A 35985-2022")</f>
        <v/>
      </c>
    </row>
    <row r="19" ht="15" customHeight="1">
      <c r="A19" t="inlineStr">
        <is>
          <t>A 7229-2022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44606</v>
      </c>
      <c r="E19" s="1" t="n">
        <v>46307</v>
      </c>
      <c r="F19" t="inlineStr">
        <is>
          <t>GÄVLEBORGS LÄN</t>
        </is>
      </c>
      <c r="G19" t="inlineStr">
        <is>
          <t>HUDIKSVALL</t>
        </is>
      </c>
      <c r="H19" t="inlineStr">
        <is>
          <t>Holmen skog AB</t>
        </is>
      </c>
      <c r="I19" t="n">
        <v>1.4</v>
      </c>
      <c r="J19" t="n">
        <v>1</v>
      </c>
      <c r="K19" t="n">
        <v>2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7</v>
      </c>
      <c r="U19" t="n">
        <v>0</v>
      </c>
      <c r="V19" s="2" t="inlineStr">
        <is>
          <t>Blanksvart spiklav
Ullticka
Violettgrå tagellav
Bronshjon
Vedticka
Revlummer</t>
        </is>
      </c>
      <c r="W19">
        <f>HYPERLINK("https://klasma.github.io/Logging_2184/artfynd/A 7229-2022 artfynd.xlsx", "A 7229-2022")</f>
        <v/>
      </c>
      <c r="X19">
        <f>HYPERLINK("https://klasma.github.io/Logging_2184/kartor/A 7229-2022 karta.png", "A 7229-2022")</f>
        <v/>
      </c>
      <c r="Y19">
        <f>HYPERLINK("https://klasma.github.io/Logging_2184/kartor_geotiff/A 7229-2022 georefererad karta.tif", "A 7229-2022")</f>
        <v/>
      </c>
      <c r="AA19">
        <f>HYPERLINK("https://klasma.github.io/Logging_2184/klagomål/A 7229-2022 FSC-klagomål.docx", "A 7229-2022")</f>
        <v/>
      </c>
      <c r="AB19">
        <f>HYPERLINK("https://klasma.github.io/Logging_2184/klagomålsmail/A 7229-2022 FSC-klagomål mail.docx", "A 7229-2022")</f>
        <v/>
      </c>
      <c r="AC19">
        <f>HYPERLINK("https://klasma.github.io/Logging_2184/tillsyn/A 7229-2022 tillsynsbegäran.docx", "A 7229-2022")</f>
        <v/>
      </c>
      <c r="AD19">
        <f>HYPERLINK("https://klasma.github.io/Logging_2184/tillsynsmail/A 7229-2022 tillsynsbegäran mail.docx", "A 7229-2022")</f>
        <v/>
      </c>
    </row>
    <row r="20" ht="15" customHeight="1">
      <c r="A20" t="inlineStr">
        <is>
          <t>A 45153-2023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45191</v>
      </c>
      <c r="E20" s="1" t="n">
        <v>46307</v>
      </c>
      <c r="F20" t="inlineStr">
        <is>
          <t>GÄVLEBORGS LÄN</t>
        </is>
      </c>
      <c r="G20" t="inlineStr">
        <is>
          <t>HUDIKSVALL</t>
        </is>
      </c>
      <c r="I20" t="n">
        <v>0.6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6</v>
      </c>
      <c r="U20" t="n">
        <v>5</v>
      </c>
      <c r="V20" s="2" t="inlineStr">
        <is>
          <t>Sparvuggla
Vitgrynig nållav
Rödgul trumpetsvamp
Tibast
Slaguggla
Skogsödla</t>
        </is>
      </c>
      <c r="W20">
        <f>HYPERLINK("https://klasma.github.io/Logging_2184/artfynd/A 45153-2023 artfynd.xlsx", "A 45153-2023")</f>
        <v/>
      </c>
      <c r="X20">
        <f>HYPERLINK("https://klasma.github.io/Logging_2184/kartor/A 45153-2023 karta.png", "A 45153-2023")</f>
        <v/>
      </c>
      <c r="Y20">
        <f>HYPERLINK("https://klasma.github.io/Logging_2184/kartor_geotiff/A 45153-2023 georefererad karta.tif", "A 45153-2023")</f>
        <v/>
      </c>
      <c r="AA20">
        <f>HYPERLINK("https://klasma.github.io/Logging_2184/klagomål/A 45153-2023 FSC-klagomål.docx", "A 45153-2023")</f>
        <v/>
      </c>
      <c r="AB20">
        <f>HYPERLINK("https://klasma.github.io/Logging_2184/klagomålsmail/A 45153-2023 FSC-klagomål mail.docx", "A 45153-2023")</f>
        <v/>
      </c>
      <c r="AC20">
        <f>HYPERLINK("https://klasma.github.io/Logging_2184/tillsyn/A 45153-2023 tillsynsbegäran.docx", "A 45153-2023")</f>
        <v/>
      </c>
      <c r="AD20">
        <f>HYPERLINK("https://klasma.github.io/Logging_2184/tillsynsmail/A 45153-2023 tillsynsbegäran mail.docx", "A 45153-2023")</f>
        <v/>
      </c>
      <c r="AE20">
        <f>HYPERLINK("https://klasma.github.io/Logging_2184/fåglar/A 45153-2023 prioriterade fågelarter.docx", "A 45153-2023")</f>
        <v/>
      </c>
    </row>
    <row r="21" ht="15" customHeight="1">
      <c r="A21" t="inlineStr">
        <is>
          <t>A 19432-2025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45769</v>
      </c>
      <c r="E21" s="1" t="n">
        <v>46307</v>
      </c>
      <c r="F21" t="inlineStr">
        <is>
          <t>GÄVLEBORGS LÄN</t>
        </is>
      </c>
      <c r="G21" t="inlineStr">
        <is>
          <t>HUDIKSVALL</t>
        </is>
      </c>
      <c r="H21" t="inlineStr">
        <is>
          <t>Holmen skog AB</t>
        </is>
      </c>
      <c r="I21" t="n">
        <v>10.4</v>
      </c>
      <c r="J21" t="n">
        <v>1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6</v>
      </c>
      <c r="U21" t="n">
        <v>6</v>
      </c>
      <c r="V21" s="2" t="inlineStr">
        <is>
          <t>Myskmåra
Strutbräken
Svart trolldruva
Tibast
Underviol
Blåsippa</t>
        </is>
      </c>
      <c r="W21">
        <f>HYPERLINK("https://klasma.github.io/Logging_2184/artfynd/A 19432-2025 artfynd.xlsx", "A 19432-2025")</f>
        <v/>
      </c>
      <c r="X21">
        <f>HYPERLINK("https://klasma.github.io/Logging_2184/kartor/A 19432-2025 karta.png", "A 19432-2025")</f>
        <v/>
      </c>
      <c r="Y21">
        <f>HYPERLINK("https://klasma.github.io/Logging_2184/kartor_geotiff/A 19432-2025 georefererad karta.tif", "A 19432-2025")</f>
        <v/>
      </c>
      <c r="AA21">
        <f>HYPERLINK("https://klasma.github.io/Logging_2184/klagomål/A 19432-2025 FSC-klagomål.docx", "A 19432-2025")</f>
        <v/>
      </c>
      <c r="AB21">
        <f>HYPERLINK("https://klasma.github.io/Logging_2184/klagomålsmail/A 19432-2025 FSC-klagomål mail.docx", "A 19432-2025")</f>
        <v/>
      </c>
      <c r="AC21">
        <f>HYPERLINK("https://klasma.github.io/Logging_2184/tillsyn/A 19432-2025 tillsynsbegäran.docx", "A 19432-2025")</f>
        <v/>
      </c>
      <c r="AD21">
        <f>HYPERLINK("https://klasma.github.io/Logging_2184/tillsynsmail/A 19432-2025 tillsynsbegäran mail.docx", "A 19432-2025")</f>
        <v/>
      </c>
    </row>
    <row r="22" ht="15" customHeight="1">
      <c r="A22" t="inlineStr">
        <is>
          <t>S 120-2025</t>
        </is>
      </c>
      <c r="B22" t="inlineStr">
        <is>
          <t>samrådsanmälan</t>
        </is>
      </c>
      <c r="C22" t="inlineStr">
        <is>
          <t>Skogsgödsling</t>
        </is>
      </c>
      <c r="D22" s="1" t="n">
        <v>45670</v>
      </c>
      <c r="E22" s="1" t="n">
        <v>46307</v>
      </c>
      <c r="F22" t="inlineStr">
        <is>
          <t>GÄVLEBORGS LÄN</t>
        </is>
      </c>
      <c r="G22" t="inlineStr">
        <is>
          <t>HUDIKSVALL</t>
        </is>
      </c>
      <c r="H22" t="inlineStr">
        <is>
          <t>Holmen skog AB</t>
        </is>
      </c>
      <c r="I22" t="n">
        <v>47.2</v>
      </c>
      <c r="J22" t="n">
        <v>3</v>
      </c>
      <c r="K22" t="n">
        <v>0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6</v>
      </c>
      <c r="T22" t="n">
        <v>11</v>
      </c>
      <c r="U22" t="n">
        <v>10</v>
      </c>
      <c r="V22" s="2" t="inlineStr">
        <is>
          <t>Knärot
Ulltickeporing
Enkelbeckasin
Ullticka
Blåsippa
Kärrfibbla</t>
        </is>
      </c>
      <c r="W22">
        <f>HYPERLINK("https://klasma.github.io/Logging_2184/artfynd/S 120-2025 artfynd.xlsx", "S 120-2025")</f>
        <v/>
      </c>
      <c r="X22">
        <f>HYPERLINK("https://klasma.github.io/Logging_2184/kartor/S 120-2025 karta.png", "S 120-2025")</f>
        <v/>
      </c>
      <c r="Y22">
        <f>HYPERLINK("https://klasma.github.io/Logging_2184/kartor_geotiff/S 120-2025 georefererad karta.tif", "S 120-2025")</f>
        <v/>
      </c>
      <c r="Z22">
        <f>HYPERLINK("https://klasma.github.io/Logging_2184/knärot/S 120-2025 karta knärot.png", "S 120-2025")</f>
        <v/>
      </c>
      <c r="AA22">
        <f>HYPERLINK("https://klasma.github.io/Logging_2184/klagomål/S 120-2025 FSC-klagomål.docx", "S 120-2025")</f>
        <v/>
      </c>
      <c r="AB22">
        <f>HYPERLINK("https://klasma.github.io/Logging_2184/klagomålsmail/S 120-2025 FSC-klagomål mail.docx", "S 120-2025")</f>
        <v/>
      </c>
      <c r="AC22">
        <f>HYPERLINK("https://klasma.github.io/Logging_2184/tillsyn/S 120-2025 tillsynsbegäran.docx", "S 120-2025")</f>
        <v/>
      </c>
      <c r="AD22">
        <f>HYPERLINK("https://klasma.github.io/Logging_2184/tillsynsmail/S 120-2025 tillsynsbegäran mail.docx", "S 120-2025")</f>
        <v/>
      </c>
      <c r="AE22">
        <f>HYPERLINK("https://klasma.github.io/Logging_2184/fåglar/S 120-2025 prioriterade fågelarter.docx", "S 120-2025")</f>
        <v/>
      </c>
    </row>
    <row r="23" ht="15" customHeight="1">
      <c r="A23" t="inlineStr">
        <is>
          <t>S 2563-2026</t>
        </is>
      </c>
      <c r="B23" t="inlineStr">
        <is>
          <t>samrådsanmälan</t>
        </is>
      </c>
      <c r="C23" t="inlineStr">
        <is>
          <t>Annan skogsbruksåtgärd</t>
        </is>
      </c>
      <c r="D23" s="1" t="n">
        <v>46294</v>
      </c>
      <c r="E23" s="1" t="n">
        <v>46307</v>
      </c>
      <c r="F23" t="inlineStr">
        <is>
          <t>GÄVLEBORGS LÄN</t>
        </is>
      </c>
      <c r="G23" t="inlineStr">
        <is>
          <t>HUDIKSVALL</t>
        </is>
      </c>
      <c r="I23" t="n">
        <v>1.4</v>
      </c>
      <c r="J23" t="n">
        <v>0</v>
      </c>
      <c r="K23" t="n">
        <v>2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6</v>
      </c>
      <c r="T23" t="n">
        <v>15</v>
      </c>
      <c r="U23" t="n">
        <v>0</v>
      </c>
      <c r="V23" s="2" t="inlineStr">
        <is>
          <t>Garnlav
Kattfotslav
Ullticka
Violettgrå tagellav
Barkkornlav
Mörk husmossa</t>
        </is>
      </c>
      <c r="W23">
        <f>HYPERLINK("https://klasma.github.io/Logging_2184/artfynd/S 2563-2026 artfynd.xlsx", "S 2563-2026")</f>
        <v/>
      </c>
      <c r="X23">
        <f>HYPERLINK("https://klasma.github.io/Logging_2184/kartor/S 2563-2026 karta.png", "S 2563-2026")</f>
        <v/>
      </c>
      <c r="Y23">
        <f>HYPERLINK("https://klasma.github.io/Logging_2184/kartor_geotiff/S 2563-2026 georefererad karta.tif", "S 2563-2026")</f>
        <v/>
      </c>
      <c r="AA23">
        <f>HYPERLINK("https://klasma.github.io/Logging_2184/klagomål/S 2563-2026 FSC-klagomål.docx", "S 2563-2026")</f>
        <v/>
      </c>
      <c r="AB23">
        <f>HYPERLINK("https://klasma.github.io/Logging_2184/klagomålsmail/S 2563-2026 FSC-klagomål mail.docx", "S 2563-2026")</f>
        <v/>
      </c>
      <c r="AC23">
        <f>HYPERLINK("https://klasma.github.io/Logging_2184/tillsyn/S 2563-2026 tillsynsbegäran.docx", "S 2563-2026")</f>
        <v/>
      </c>
      <c r="AD23">
        <f>HYPERLINK("https://klasma.github.io/Logging_2184/tillsynsmail/S 2563-2026 tillsynsbegäran mail.docx", "S 2563-2026")</f>
        <v/>
      </c>
    </row>
    <row r="24" ht="15" customHeight="1">
      <c r="A24" t="inlineStr">
        <is>
          <t>A 41151-2025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45898</v>
      </c>
      <c r="E24" s="1" t="n">
        <v>46307</v>
      </c>
      <c r="F24" t="inlineStr">
        <is>
          <t>GÄVLEBORGS LÄN</t>
        </is>
      </c>
      <c r="G24" t="inlineStr">
        <is>
          <t>HUDIKSVALL</t>
        </is>
      </c>
      <c r="I24" t="n">
        <v>1.3</v>
      </c>
      <c r="J24" t="n">
        <v>5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5</v>
      </c>
      <c r="U24" t="n">
        <v>0</v>
      </c>
      <c r="V24" s="2" t="inlineStr">
        <is>
          <t>Ladusvala
Skrattmås
Kråka
Sångsvan
Trana</t>
        </is>
      </c>
      <c r="W24">
        <f>HYPERLINK("https://klasma.github.io/Logging_2184/artfynd/A 41151-2025 artfynd.xlsx", "A 41151-2025")</f>
        <v/>
      </c>
      <c r="X24">
        <f>HYPERLINK("https://klasma.github.io/Logging_2184/kartor/A 41151-2025 karta.png", "A 41151-2025")</f>
        <v/>
      </c>
      <c r="Y24">
        <f>HYPERLINK("https://klasma.github.io/Logging_2184/kartor_geotiff/A 41151-2025 georefererad karta.tif", "A 41151-2025")</f>
        <v/>
      </c>
      <c r="AA24">
        <f>HYPERLINK("https://klasma.github.io/Logging_2184/klagomål/A 41151-2025 FSC-klagomål.docx", "A 41151-2025")</f>
        <v/>
      </c>
      <c r="AB24">
        <f>HYPERLINK("https://klasma.github.io/Logging_2184/klagomålsmail/A 41151-2025 FSC-klagomål mail.docx", "A 41151-2025")</f>
        <v/>
      </c>
      <c r="AC24">
        <f>HYPERLINK("https://klasma.github.io/Logging_2184/tillsyn/A 41151-2025 tillsynsbegäran.docx", "A 41151-2025")</f>
        <v/>
      </c>
      <c r="AD24">
        <f>HYPERLINK("https://klasma.github.io/Logging_2184/tillsynsmail/A 41151-2025 tillsynsbegäran mail.docx", "A 41151-2025")</f>
        <v/>
      </c>
      <c r="AE24">
        <f>HYPERLINK("https://klasma.github.io/Logging_2184/fåglar/A 41151-2025 prioriterade fågelarter.docx", "A 41151-2025")</f>
        <v/>
      </c>
    </row>
    <row r="25" ht="15" customHeight="1">
      <c r="A25" t="inlineStr">
        <is>
          <t>A 43647-2025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45912</v>
      </c>
      <c r="E25" s="1" t="n">
        <v>46307</v>
      </c>
      <c r="F25" t="inlineStr">
        <is>
          <t>GÄVLEBORGS LÄN</t>
        </is>
      </c>
      <c r="G25" t="inlineStr">
        <is>
          <t>HUDIKSVALL</t>
        </is>
      </c>
      <c r="I25" t="n">
        <v>3</v>
      </c>
      <c r="J25" t="n">
        <v>0</v>
      </c>
      <c r="K25" t="n">
        <v>1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5</v>
      </c>
      <c r="T25" t="n">
        <v>9</v>
      </c>
      <c r="U25" t="n">
        <v>0</v>
      </c>
      <c r="V25" s="2" t="inlineStr">
        <is>
          <t>Kattfotslav
Rosenticka
Tallticka
Ullticka
Vedticka</t>
        </is>
      </c>
      <c r="W25">
        <f>HYPERLINK("https://klasma.github.io/Logging_2184/artfynd/A 43647-2025 artfynd.xlsx", "A 43647-2025")</f>
        <v/>
      </c>
      <c r="X25">
        <f>HYPERLINK("https://klasma.github.io/Logging_2184/kartor/A 43647-2025 karta.png", "A 43647-2025")</f>
        <v/>
      </c>
      <c r="Y25">
        <f>HYPERLINK("https://klasma.github.io/Logging_2184/kartor_geotiff/A 43647-2025 georefererad karta.tif", "A 43647-2025")</f>
        <v/>
      </c>
      <c r="AA25">
        <f>HYPERLINK("https://klasma.github.io/Logging_2184/klagomål/A 43647-2025 FSC-klagomål.docx", "A 43647-2025")</f>
        <v/>
      </c>
      <c r="AB25">
        <f>HYPERLINK("https://klasma.github.io/Logging_2184/klagomålsmail/A 43647-2025 FSC-klagomål mail.docx", "A 43647-2025")</f>
        <v/>
      </c>
      <c r="AC25">
        <f>HYPERLINK("https://klasma.github.io/Logging_2184/tillsyn/A 43647-2025 tillsynsbegäran.docx", "A 43647-2025")</f>
        <v/>
      </c>
      <c r="AD25">
        <f>HYPERLINK("https://klasma.github.io/Logging_2184/tillsynsmail/A 43647-2025 tillsynsbegäran mail.docx", "A 43647-2025")</f>
        <v/>
      </c>
    </row>
    <row r="26" ht="15" customHeight="1">
      <c r="A26" t="inlineStr">
        <is>
          <t>A 49799-2023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45212</v>
      </c>
      <c r="E26" s="1" t="n">
        <v>46307</v>
      </c>
      <c r="F26" t="inlineStr">
        <is>
          <t>GÄVLEBORGS LÄN</t>
        </is>
      </c>
      <c r="G26" t="inlineStr">
        <is>
          <t>HUDIKSVALL</t>
        </is>
      </c>
      <c r="I26" t="n">
        <v>4</v>
      </c>
      <c r="J26" t="n">
        <v>0</v>
      </c>
      <c r="K26" t="n">
        <v>1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5</v>
      </c>
      <c r="T26" t="n">
        <v>7</v>
      </c>
      <c r="U26" t="n">
        <v>0</v>
      </c>
      <c r="V26" s="2" t="inlineStr">
        <is>
          <t>Rosenticka
Ullticka
Violettgrå tagellav
Vitgrynig nållav
Vedticka</t>
        </is>
      </c>
      <c r="W26">
        <f>HYPERLINK("https://klasma.github.io/Logging_2184/artfynd/A 49799-2023 artfynd.xlsx", "A 49799-2023")</f>
        <v/>
      </c>
      <c r="X26">
        <f>HYPERLINK("https://klasma.github.io/Logging_2184/kartor/A 49799-2023 karta.png", "A 49799-2023")</f>
        <v/>
      </c>
      <c r="Y26">
        <f>HYPERLINK("https://klasma.github.io/Logging_2184/kartor_geotiff/A 49799-2023 georefererad karta.tif", "A 49799-2023")</f>
        <v/>
      </c>
      <c r="AA26">
        <f>HYPERLINK("https://klasma.github.io/Logging_2184/klagomål/A 49799-2023 FSC-klagomål.docx", "A 49799-2023")</f>
        <v/>
      </c>
      <c r="AB26">
        <f>HYPERLINK("https://klasma.github.io/Logging_2184/klagomålsmail/A 49799-2023 FSC-klagomål mail.docx", "A 49799-2023")</f>
        <v/>
      </c>
      <c r="AC26">
        <f>HYPERLINK("https://klasma.github.io/Logging_2184/tillsyn/A 49799-2023 tillsynsbegäran.docx", "A 49799-2023")</f>
        <v/>
      </c>
      <c r="AD26">
        <f>HYPERLINK("https://klasma.github.io/Logging_2184/tillsynsmail/A 49799-2023 tillsynsbegäran mail.docx", "A 49799-2023")</f>
        <v/>
      </c>
    </row>
    <row r="27" ht="15" customHeight="1">
      <c r="A27" t="inlineStr">
        <is>
          <t>A 37207-2025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45875</v>
      </c>
      <c r="E27" s="1" t="n">
        <v>46307</v>
      </c>
      <c r="F27" t="inlineStr">
        <is>
          <t>GÄVLEBORGS LÄN</t>
        </is>
      </c>
      <c r="G27" t="inlineStr">
        <is>
          <t>HUDIKSVALL</t>
        </is>
      </c>
      <c r="I27" t="n">
        <v>5</v>
      </c>
      <c r="J27" t="n">
        <v>1</v>
      </c>
      <c r="K27" t="n">
        <v>2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5</v>
      </c>
      <c r="T27" t="n">
        <v>5</v>
      </c>
      <c r="U27" t="n">
        <v>5</v>
      </c>
      <c r="V27" s="2" t="inlineStr">
        <is>
          <t>Rynkskinn
Tallticka
Talltita
Bronshjon
Jättesvampmal</t>
        </is>
      </c>
      <c r="W27">
        <f>HYPERLINK("https://klasma.github.io/Logging_2184/artfynd/A 37207-2025 artfynd.xlsx", "A 37207-2025")</f>
        <v/>
      </c>
      <c r="X27">
        <f>HYPERLINK("https://klasma.github.io/Logging_2184/kartor/A 37207-2025 karta.png", "A 37207-2025")</f>
        <v/>
      </c>
      <c r="Y27">
        <f>HYPERLINK("https://klasma.github.io/Logging_2184/kartor_geotiff/A 37207-2025 georefererad karta.tif", "A 37207-2025")</f>
        <v/>
      </c>
      <c r="AA27">
        <f>HYPERLINK("https://klasma.github.io/Logging_2184/klagomål/A 37207-2025 FSC-klagomål.docx", "A 37207-2025")</f>
        <v/>
      </c>
      <c r="AB27">
        <f>HYPERLINK("https://klasma.github.io/Logging_2184/klagomålsmail/A 37207-2025 FSC-klagomål mail.docx", "A 37207-2025")</f>
        <v/>
      </c>
      <c r="AC27">
        <f>HYPERLINK("https://klasma.github.io/Logging_2184/tillsyn/A 37207-2025 tillsynsbegäran.docx", "A 37207-2025")</f>
        <v/>
      </c>
      <c r="AD27">
        <f>HYPERLINK("https://klasma.github.io/Logging_2184/tillsynsmail/A 37207-2025 tillsynsbegäran mail.docx", "A 37207-2025")</f>
        <v/>
      </c>
      <c r="AE27">
        <f>HYPERLINK("https://klasma.github.io/Logging_2184/fåglar/A 37207-2025 prioriterade fågelarter.docx", "A 37207-2025")</f>
        <v/>
      </c>
    </row>
    <row r="28" ht="15" customHeight="1">
      <c r="A28" t="inlineStr">
        <is>
          <t>A 29582-2026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46204</v>
      </c>
      <c r="E28" s="1" t="n">
        <v>46307</v>
      </c>
      <c r="F28" t="inlineStr">
        <is>
          <t>GÄVLEBORGS LÄN</t>
        </is>
      </c>
      <c r="G28" t="inlineStr">
        <is>
          <t>HUDIKSVALL</t>
        </is>
      </c>
      <c r="H28" t="inlineStr">
        <is>
          <t>Holmen skog AB</t>
        </is>
      </c>
      <c r="I28" t="n">
        <v>21.3</v>
      </c>
      <c r="J28" t="n">
        <v>1</v>
      </c>
      <c r="K28" t="n">
        <v>0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4</v>
      </c>
      <c r="R28" t="n">
        <v>1</v>
      </c>
      <c r="S28" t="n">
        <v>5</v>
      </c>
      <c r="T28" t="n">
        <v>10</v>
      </c>
      <c r="U28" t="n">
        <v>0</v>
      </c>
      <c r="V28" s="2" t="inlineStr">
        <is>
          <t>Garnlav
Gammelgransskål
Violettgrå tagellav
Vitgrynig nållav
Järpe</t>
        </is>
      </c>
      <c r="W28">
        <f>HYPERLINK("https://klasma.github.io/Logging_2184/artfynd/A 29582-2026 artfynd.xlsx", "A 29582-2026")</f>
        <v/>
      </c>
      <c r="X28">
        <f>HYPERLINK("https://klasma.github.io/Logging_2184/kartor/A 29582-2026 karta.png", "A 29582-2026")</f>
        <v/>
      </c>
      <c r="Y28">
        <f>HYPERLINK("https://klasma.github.io/Logging_2184/kartor_geotiff/A 29582-2026 georefererad karta.tif", "A 29582-2026")</f>
        <v/>
      </c>
      <c r="AA28">
        <f>HYPERLINK("https://klasma.github.io/Logging_2184/klagomål/A 29582-2026 FSC-klagomål.docx", "A 29582-2026")</f>
        <v/>
      </c>
      <c r="AB28">
        <f>HYPERLINK("https://klasma.github.io/Logging_2184/klagomålsmail/A 29582-2026 FSC-klagomål mail.docx", "A 29582-2026")</f>
        <v/>
      </c>
      <c r="AC28">
        <f>HYPERLINK("https://klasma.github.io/Logging_2184/tillsyn/A 29582-2026 tillsynsbegäran.docx", "A 29582-2026")</f>
        <v/>
      </c>
      <c r="AD28">
        <f>HYPERLINK("https://klasma.github.io/Logging_2184/tillsynsmail/A 29582-2026 tillsynsbegäran mail.docx", "A 29582-2026")</f>
        <v/>
      </c>
      <c r="AE28">
        <f>HYPERLINK("https://klasma.github.io/Logging_2184/fåglar/A 29582-2026 prioriterade fågelarter.docx", "A 29582-2026")</f>
        <v/>
      </c>
    </row>
    <row r="29" ht="15" customHeight="1">
      <c r="A29" t="inlineStr">
        <is>
          <t>A 35201-2026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46260</v>
      </c>
      <c r="E29" s="1" t="n">
        <v>46307</v>
      </c>
      <c r="F29" t="inlineStr">
        <is>
          <t>GÄVLEBORGS LÄN</t>
        </is>
      </c>
      <c r="G29" t="inlineStr">
        <is>
          <t>HUDIKSVALL</t>
        </is>
      </c>
      <c r="H29" t="inlineStr">
        <is>
          <t>Holmen skog AB</t>
        </is>
      </c>
      <c r="I29" t="n">
        <v>7.5</v>
      </c>
      <c r="J29" t="n">
        <v>1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5</v>
      </c>
      <c r="T29" t="n">
        <v>5</v>
      </c>
      <c r="U29" t="n">
        <v>0</v>
      </c>
      <c r="V29" s="2" t="inlineStr">
        <is>
          <t>Gullpudra
Skogsbräsma
Strutbräken
Svart trolldruva
Lopplummer (aggregat)</t>
        </is>
      </c>
      <c r="W29">
        <f>HYPERLINK("https://klasma.github.io/Logging_2184/artfynd/A 35201-2026 artfynd.xlsx", "A 35201-2026")</f>
        <v/>
      </c>
      <c r="X29">
        <f>HYPERLINK("https://klasma.github.io/Logging_2184/kartor/A 35201-2026 karta.png", "A 35201-2026")</f>
        <v/>
      </c>
      <c r="Y29">
        <f>HYPERLINK("https://klasma.github.io/Logging_2184/kartor_geotiff/A 35201-2026 georefererad karta.tif", "A 35201-2026")</f>
        <v/>
      </c>
      <c r="AA29">
        <f>HYPERLINK("https://klasma.github.io/Logging_2184/klagomål/A 35201-2026 FSC-klagomål.docx", "A 35201-2026")</f>
        <v/>
      </c>
      <c r="AB29">
        <f>HYPERLINK("https://klasma.github.io/Logging_2184/klagomålsmail/A 35201-2026 FSC-klagomål mail.docx", "A 35201-2026")</f>
        <v/>
      </c>
      <c r="AC29">
        <f>HYPERLINK("https://klasma.github.io/Logging_2184/tillsyn/A 35201-2026 tillsynsbegäran.docx", "A 35201-2026")</f>
        <v/>
      </c>
      <c r="AD29">
        <f>HYPERLINK("https://klasma.github.io/Logging_2184/tillsynsmail/A 35201-2026 tillsynsbegäran mail.docx", "A 35201-2026")</f>
        <v/>
      </c>
    </row>
    <row r="30" ht="15" customHeight="1">
      <c r="A30" t="inlineStr">
        <is>
          <t>A 5500-2024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45334</v>
      </c>
      <c r="E30" s="1" t="n">
        <v>46307</v>
      </c>
      <c r="F30" t="inlineStr">
        <is>
          <t>GÄVLEBORGS LÄN</t>
        </is>
      </c>
      <c r="G30" t="inlineStr">
        <is>
          <t>HUDIKSVALL</t>
        </is>
      </c>
      <c r="H30" t="inlineStr">
        <is>
          <t>Holmen skog AB</t>
        </is>
      </c>
      <c r="I30" t="n">
        <v>5</v>
      </c>
      <c r="J30" t="n">
        <v>0</v>
      </c>
      <c r="K30" t="n">
        <v>0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4</v>
      </c>
      <c r="R30" t="n">
        <v>1</v>
      </c>
      <c r="S30" t="n">
        <v>4</v>
      </c>
      <c r="T30" t="n">
        <v>4</v>
      </c>
      <c r="U30" t="n">
        <v>4</v>
      </c>
      <c r="V30" s="2" t="inlineStr">
        <is>
          <t>Garnlav
Dropptaggsvamp
Mörk kolflarnlav
Rosenticka</t>
        </is>
      </c>
      <c r="W30">
        <f>HYPERLINK("https://klasma.github.io/Logging_2184/artfynd/A 5500-2024 artfynd.xlsx", "A 5500-2024")</f>
        <v/>
      </c>
      <c r="X30">
        <f>HYPERLINK("https://klasma.github.io/Logging_2184/kartor/A 5500-2024 karta.png", "A 5500-2024")</f>
        <v/>
      </c>
      <c r="Y30">
        <f>HYPERLINK("https://klasma.github.io/Logging_2184/kartor_geotiff/A 5500-2024 georefererad karta.tif", "A 5500-2024")</f>
        <v/>
      </c>
      <c r="AA30">
        <f>HYPERLINK("https://klasma.github.io/Logging_2184/klagomål/A 5500-2024 FSC-klagomål.docx", "A 5500-2024")</f>
        <v/>
      </c>
      <c r="AB30">
        <f>HYPERLINK("https://klasma.github.io/Logging_2184/klagomålsmail/A 5500-2024 FSC-klagomål mail.docx", "A 5500-2024")</f>
        <v/>
      </c>
      <c r="AC30">
        <f>HYPERLINK("https://klasma.github.io/Logging_2184/tillsyn/A 5500-2024 tillsynsbegäran.docx", "A 5500-2024")</f>
        <v/>
      </c>
      <c r="AD30">
        <f>HYPERLINK("https://klasma.github.io/Logging_2184/tillsynsmail/A 5500-2024 tillsynsbegäran mail.docx", "A 5500-2024")</f>
        <v/>
      </c>
    </row>
    <row r="31" ht="15" customHeight="1">
      <c r="A31" t="inlineStr">
        <is>
          <t>A 42606-2025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45905</v>
      </c>
      <c r="E31" s="1" t="n">
        <v>46307</v>
      </c>
      <c r="F31" t="inlineStr">
        <is>
          <t>GÄVLEBORGS LÄN</t>
        </is>
      </c>
      <c r="G31" t="inlineStr">
        <is>
          <t>HUDIKSVALL</t>
        </is>
      </c>
      <c r="H31" t="inlineStr">
        <is>
          <t>Holmen skog AB</t>
        </is>
      </c>
      <c r="I31" t="n">
        <v>2.9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4</v>
      </c>
      <c r="U31" t="n">
        <v>4</v>
      </c>
      <c r="V31" s="2" t="inlineStr">
        <is>
          <t>Strutbräken
Lundarv
Ormbär
Torta</t>
        </is>
      </c>
      <c r="W31">
        <f>HYPERLINK("https://klasma.github.io/Logging_2184/artfynd/A 42606-2025 artfynd.xlsx", "A 42606-2025")</f>
        <v/>
      </c>
      <c r="X31">
        <f>HYPERLINK("https://klasma.github.io/Logging_2184/kartor/A 42606-2025 karta.png", "A 42606-2025")</f>
        <v/>
      </c>
      <c r="Y31">
        <f>HYPERLINK("https://klasma.github.io/Logging_2184/kartor_geotiff/A 42606-2025 georefererad karta.tif", "A 42606-2025")</f>
        <v/>
      </c>
      <c r="AA31">
        <f>HYPERLINK("https://klasma.github.io/Logging_2184/klagomål/A 42606-2025 FSC-klagomål.docx", "A 42606-2025")</f>
        <v/>
      </c>
      <c r="AB31">
        <f>HYPERLINK("https://klasma.github.io/Logging_2184/klagomålsmail/A 42606-2025 FSC-klagomål mail.docx", "A 42606-2025")</f>
        <v/>
      </c>
      <c r="AC31">
        <f>HYPERLINK("https://klasma.github.io/Logging_2184/tillsyn/A 42606-2025 tillsynsbegäran.docx", "A 42606-2025")</f>
        <v/>
      </c>
      <c r="AD31">
        <f>HYPERLINK("https://klasma.github.io/Logging_2184/tillsynsmail/A 42606-2025 tillsynsbegäran mail.docx", "A 42606-2025")</f>
        <v/>
      </c>
    </row>
    <row r="32" ht="15" customHeight="1">
      <c r="A32" t="inlineStr">
        <is>
          <t>A 36196-2023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45149</v>
      </c>
      <c r="E32" s="1" t="n">
        <v>46307</v>
      </c>
      <c r="F32" t="inlineStr">
        <is>
          <t>GÄVLEBORGS LÄN</t>
        </is>
      </c>
      <c r="G32" t="inlineStr">
        <is>
          <t>HUDIKSVALL</t>
        </is>
      </c>
      <c r="H32" t="inlineStr">
        <is>
          <t>Holmen skog AB</t>
        </is>
      </c>
      <c r="I32" t="n">
        <v>11.8</v>
      </c>
      <c r="J32" t="n">
        <v>1</v>
      </c>
      <c r="K32" t="n">
        <v>1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4</v>
      </c>
      <c r="T32" t="n">
        <v>19</v>
      </c>
      <c r="U32" t="n">
        <v>19</v>
      </c>
      <c r="V32" s="2" t="inlineStr">
        <is>
          <t>Knärot
Rosenticka
Ullticka
Stor aspticka</t>
        </is>
      </c>
      <c r="W32">
        <f>HYPERLINK("https://klasma.github.io/Logging_2184/artfynd/A 36196-2023 artfynd.xlsx", "A 36196-2023")</f>
        <v/>
      </c>
      <c r="X32">
        <f>HYPERLINK("https://klasma.github.io/Logging_2184/kartor/A 36196-2023 karta.png", "A 36196-2023")</f>
        <v/>
      </c>
      <c r="Y32">
        <f>HYPERLINK("https://klasma.github.io/Logging_2184/kartor_geotiff/A 36196-2023 georefererad karta.tif", "A 36196-2023")</f>
        <v/>
      </c>
      <c r="Z32">
        <f>HYPERLINK("https://klasma.github.io/Logging_2184/knärot/A 36196-2023 karta knärot.png", "A 36196-2023")</f>
        <v/>
      </c>
      <c r="AA32">
        <f>HYPERLINK("https://klasma.github.io/Logging_2184/klagomål/A 36196-2023 FSC-klagomål.docx", "A 36196-2023")</f>
        <v/>
      </c>
      <c r="AB32">
        <f>HYPERLINK("https://klasma.github.io/Logging_2184/klagomålsmail/A 36196-2023 FSC-klagomål mail.docx", "A 36196-2023")</f>
        <v/>
      </c>
      <c r="AC32">
        <f>HYPERLINK("https://klasma.github.io/Logging_2184/tillsyn/A 36196-2023 tillsynsbegäran.docx", "A 36196-2023")</f>
        <v/>
      </c>
      <c r="AD32">
        <f>HYPERLINK("https://klasma.github.io/Logging_2184/tillsynsmail/A 36196-2023 tillsynsbegäran mail.docx", "A 36196-2023")</f>
        <v/>
      </c>
    </row>
    <row r="33" ht="15" customHeight="1">
      <c r="A33" t="inlineStr">
        <is>
          <t>A 32157-2025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45835</v>
      </c>
      <c r="E33" s="1" t="n">
        <v>46307</v>
      </c>
      <c r="F33" t="inlineStr">
        <is>
          <t>GÄVLEBORGS LÄN</t>
        </is>
      </c>
      <c r="G33" t="inlineStr">
        <is>
          <t>HUDIKSVALL</t>
        </is>
      </c>
      <c r="I33" t="n">
        <v>4.5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4</v>
      </c>
      <c r="T33" t="n">
        <v>7</v>
      </c>
      <c r="U33" t="n">
        <v>0</v>
      </c>
      <c r="V33" s="2" t="inlineStr">
        <is>
          <t>Knärot
Ullticka
Fläcknycklar
Nattviol</t>
        </is>
      </c>
      <c r="W33">
        <f>HYPERLINK("https://klasma.github.io/Logging_2184/artfynd/A 32157-2025 artfynd.xlsx", "A 32157-2025")</f>
        <v/>
      </c>
      <c r="X33">
        <f>HYPERLINK("https://klasma.github.io/Logging_2184/kartor/A 32157-2025 karta.png", "A 32157-2025")</f>
        <v/>
      </c>
      <c r="Y33">
        <f>HYPERLINK("https://klasma.github.io/Logging_2184/kartor_geotiff/A 32157-2025 georefererad karta.tif", "A 32157-2025")</f>
        <v/>
      </c>
      <c r="Z33">
        <f>HYPERLINK("https://klasma.github.io/Logging_2184/knärot/A 32157-2025 karta knärot.png", "A 32157-2025")</f>
        <v/>
      </c>
      <c r="AA33">
        <f>HYPERLINK("https://klasma.github.io/Logging_2184/klagomål/A 32157-2025 FSC-klagomål.docx", "A 32157-2025")</f>
        <v/>
      </c>
      <c r="AB33">
        <f>HYPERLINK("https://klasma.github.io/Logging_2184/klagomålsmail/A 32157-2025 FSC-klagomål mail.docx", "A 32157-2025")</f>
        <v/>
      </c>
      <c r="AC33">
        <f>HYPERLINK("https://klasma.github.io/Logging_2184/tillsyn/A 32157-2025 tillsynsbegäran.docx", "A 32157-2025")</f>
        <v/>
      </c>
      <c r="AD33">
        <f>HYPERLINK("https://klasma.github.io/Logging_2184/tillsynsmail/A 32157-2025 tillsynsbegäran mail.docx", "A 32157-2025")</f>
        <v/>
      </c>
    </row>
    <row r="34" ht="15" customHeight="1">
      <c r="A34" t="inlineStr">
        <is>
          <t>A 55280-2022</t>
        </is>
      </c>
      <c r="B34" t="inlineStr">
        <is>
          <t>avverkningsanmälan</t>
        </is>
      </c>
      <c r="C34" t="inlineStr">
        <is>
          <t>Avverkning för att bevara och utveckla /försöksver</t>
        </is>
      </c>
      <c r="D34" s="1" t="n">
        <v>44887</v>
      </c>
      <c r="E34" s="1" t="n">
        <v>46307</v>
      </c>
      <c r="F34" t="inlineStr">
        <is>
          <t>GÄVLEBORGS LÄN</t>
        </is>
      </c>
      <c r="G34" t="inlineStr">
        <is>
          <t>HUDIKSVALL</t>
        </is>
      </c>
      <c r="H34" t="inlineStr">
        <is>
          <t>Holmen skog AB</t>
        </is>
      </c>
      <c r="I34" t="n">
        <v>3.3</v>
      </c>
      <c r="J34" t="n">
        <v>0</v>
      </c>
      <c r="K34" t="n">
        <v>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</v>
      </c>
      <c r="T34" t="n">
        <v>5</v>
      </c>
      <c r="U34" t="n">
        <v>5</v>
      </c>
      <c r="V34" s="2" t="inlineStr">
        <is>
          <t>Ullticka
Veckticka
Vedtrappmossa
Korallblylav</t>
        </is>
      </c>
      <c r="W34">
        <f>HYPERLINK("https://klasma.github.io/Logging_2184/artfynd/A 55280-2022 artfynd.xlsx", "A 55280-2022")</f>
        <v/>
      </c>
      <c r="X34">
        <f>HYPERLINK("https://klasma.github.io/Logging_2184/kartor/A 55280-2022 karta.png", "A 55280-2022")</f>
        <v/>
      </c>
      <c r="Y34">
        <f>HYPERLINK("https://klasma.github.io/Logging_2184/kartor_geotiff/A 55280-2022 georefererad karta.tif", "A 55280-2022")</f>
        <v/>
      </c>
      <c r="AA34">
        <f>HYPERLINK("https://klasma.github.io/Logging_2184/klagomål/A 55280-2022 FSC-klagomål.docx", "A 55280-2022")</f>
        <v/>
      </c>
      <c r="AB34">
        <f>HYPERLINK("https://klasma.github.io/Logging_2184/klagomålsmail/A 55280-2022 FSC-klagomål mail.docx", "A 55280-2022")</f>
        <v/>
      </c>
      <c r="AC34">
        <f>HYPERLINK("https://klasma.github.io/Logging_2184/tillsyn/A 55280-2022 tillsynsbegäran.docx", "A 55280-2022")</f>
        <v/>
      </c>
      <c r="AD34">
        <f>HYPERLINK("https://klasma.github.io/Logging_2184/tillsynsmail/A 55280-2022 tillsynsbegäran mail.docx", "A 55280-2022")</f>
        <v/>
      </c>
    </row>
    <row r="35" ht="15" customHeight="1">
      <c r="A35" t="inlineStr">
        <is>
          <t>A 18222-2026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46126</v>
      </c>
      <c r="E35" s="1" t="n">
        <v>46307</v>
      </c>
      <c r="F35" t="inlineStr">
        <is>
          <t>GÄVLEBORGS LÄN</t>
        </is>
      </c>
      <c r="G35" t="inlineStr">
        <is>
          <t>HUDIKSVALL</t>
        </is>
      </c>
      <c r="I35" t="n">
        <v>3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4</v>
      </c>
      <c r="T35" t="n">
        <v>6</v>
      </c>
      <c r="U35" t="n">
        <v>0</v>
      </c>
      <c r="V35" s="2" t="inlineStr">
        <is>
          <t>Ringlav
Mattlummer
Fläcknycklar
Revlummer</t>
        </is>
      </c>
      <c r="W35">
        <f>HYPERLINK("https://klasma.github.io/Logging_2184/artfynd/A 18222-2026 artfynd.xlsx", "A 18222-2026")</f>
        <v/>
      </c>
      <c r="X35">
        <f>HYPERLINK("https://klasma.github.io/Logging_2184/kartor/A 18222-2026 karta.png", "A 18222-2026")</f>
        <v/>
      </c>
      <c r="Y35">
        <f>HYPERLINK("https://klasma.github.io/Logging_2184/kartor_geotiff/A 18222-2026 georefererad karta.tif", "A 18222-2026")</f>
        <v/>
      </c>
      <c r="AA35">
        <f>HYPERLINK("https://klasma.github.io/Logging_2184/klagomål/A 18222-2026 FSC-klagomål.docx", "A 18222-2026")</f>
        <v/>
      </c>
      <c r="AB35">
        <f>HYPERLINK("https://klasma.github.io/Logging_2184/klagomålsmail/A 18222-2026 FSC-klagomål mail.docx", "A 18222-2026")</f>
        <v/>
      </c>
      <c r="AC35">
        <f>HYPERLINK("https://klasma.github.io/Logging_2184/tillsyn/A 18222-2026 tillsynsbegäran.docx", "A 18222-2026")</f>
        <v/>
      </c>
      <c r="AD35">
        <f>HYPERLINK("https://klasma.github.io/Logging_2184/tillsynsmail/A 18222-2026 tillsynsbegäran mail.docx", "A 18222-2026")</f>
        <v/>
      </c>
    </row>
    <row r="36" ht="15" customHeight="1">
      <c r="A36" t="inlineStr">
        <is>
          <t>A 12920-2026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46092</v>
      </c>
      <c r="E36" s="1" t="n">
        <v>46307</v>
      </c>
      <c r="F36" t="inlineStr">
        <is>
          <t>GÄVLEBORGS LÄN</t>
        </is>
      </c>
      <c r="G36" t="inlineStr">
        <is>
          <t>HUDIKSVALL</t>
        </is>
      </c>
      <c r="I36" t="n">
        <v>18.1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5</v>
      </c>
      <c r="U36" t="n">
        <v>0</v>
      </c>
      <c r="V36" s="2" t="inlineStr">
        <is>
          <t>Lunglav
Ullticka
Korallblylav
Vedticka</t>
        </is>
      </c>
      <c r="W36">
        <f>HYPERLINK("https://klasma.github.io/Logging_2184/artfynd/A 12920-2026 artfynd.xlsx", "A 12920-2026")</f>
        <v/>
      </c>
      <c r="X36">
        <f>HYPERLINK("https://klasma.github.io/Logging_2184/kartor/A 12920-2026 karta.png", "A 12920-2026")</f>
        <v/>
      </c>
      <c r="Y36">
        <f>HYPERLINK("https://klasma.github.io/Logging_2184/kartor_geotiff/A 12920-2026 georefererad karta.tif", "A 12920-2026")</f>
        <v/>
      </c>
      <c r="AA36">
        <f>HYPERLINK("https://klasma.github.io/Logging_2184/klagomål/A 12920-2026 FSC-klagomål.docx", "A 12920-2026")</f>
        <v/>
      </c>
      <c r="AB36">
        <f>HYPERLINK("https://klasma.github.io/Logging_2184/klagomålsmail/A 12920-2026 FSC-klagomål mail.docx", "A 12920-2026")</f>
        <v/>
      </c>
      <c r="AC36">
        <f>HYPERLINK("https://klasma.github.io/Logging_2184/tillsyn/A 12920-2026 tillsynsbegäran.docx", "A 12920-2026")</f>
        <v/>
      </c>
      <c r="AD36">
        <f>HYPERLINK("https://klasma.github.io/Logging_2184/tillsynsmail/A 12920-2026 tillsynsbegäran mail.docx", "A 12920-2026")</f>
        <v/>
      </c>
    </row>
    <row r="37" ht="15" customHeight="1">
      <c r="A37" t="inlineStr">
        <is>
          <t>A 4344-2026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46045</v>
      </c>
      <c r="E37" s="1" t="n">
        <v>46307</v>
      </c>
      <c r="F37" t="inlineStr">
        <is>
          <t>GÄVLEBORGS LÄN</t>
        </is>
      </c>
      <c r="G37" t="inlineStr">
        <is>
          <t>HUDIKSVALL</t>
        </is>
      </c>
      <c r="I37" t="n">
        <v>11.7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4</v>
      </c>
      <c r="T37" t="n">
        <v>6</v>
      </c>
      <c r="U37" t="n">
        <v>0</v>
      </c>
      <c r="V37" s="2" t="inlineStr">
        <is>
          <t>Dvärgbägarlav
Motaggsvamp
Reliktbock
Spillkråka</t>
        </is>
      </c>
      <c r="W37">
        <f>HYPERLINK("https://klasma.github.io/Logging_2184/artfynd/A 4344-2026 artfynd.xlsx", "A 4344-2026")</f>
        <v/>
      </c>
      <c r="X37">
        <f>HYPERLINK("https://klasma.github.io/Logging_2184/kartor/A 4344-2026 karta.png", "A 4344-2026")</f>
        <v/>
      </c>
      <c r="Y37">
        <f>HYPERLINK("https://klasma.github.io/Logging_2184/kartor_geotiff/A 4344-2026 georefererad karta.tif", "A 4344-2026")</f>
        <v/>
      </c>
      <c r="AA37">
        <f>HYPERLINK("https://klasma.github.io/Logging_2184/klagomål/A 4344-2026 FSC-klagomål.docx", "A 4344-2026")</f>
        <v/>
      </c>
      <c r="AB37">
        <f>HYPERLINK("https://klasma.github.io/Logging_2184/klagomålsmail/A 4344-2026 FSC-klagomål mail.docx", "A 4344-2026")</f>
        <v/>
      </c>
      <c r="AC37">
        <f>HYPERLINK("https://klasma.github.io/Logging_2184/tillsyn/A 4344-2026 tillsynsbegäran.docx", "A 4344-2026")</f>
        <v/>
      </c>
      <c r="AD37">
        <f>HYPERLINK("https://klasma.github.io/Logging_2184/tillsynsmail/A 4344-2026 tillsynsbegäran mail.docx", "A 4344-2026")</f>
        <v/>
      </c>
      <c r="AE37">
        <f>HYPERLINK("https://klasma.github.io/Logging_2184/fåglar/A 4344-2026 prioriterade fågelarter.docx", "A 4344-2026")</f>
        <v/>
      </c>
    </row>
    <row r="38" ht="15" customHeight="1">
      <c r="A38" t="inlineStr">
        <is>
          <t>A 8376-2026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46064</v>
      </c>
      <c r="E38" s="1" t="n">
        <v>46307</v>
      </c>
      <c r="F38" t="inlineStr">
        <is>
          <t>GÄVLEBORGS LÄN</t>
        </is>
      </c>
      <c r="G38" t="inlineStr">
        <is>
          <t>HUDIKSVALL</t>
        </is>
      </c>
      <c r="I38" t="n">
        <v>32.4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4</v>
      </c>
      <c r="U38" t="n">
        <v>0</v>
      </c>
      <c r="V38" s="2" t="inlineStr">
        <is>
          <t>Ullticka
Skogsknipprot
Stor aspticka
Fläcknycklar</t>
        </is>
      </c>
      <c r="W38">
        <f>HYPERLINK("https://klasma.github.io/Logging_2184/artfynd/A 8376-2026 artfynd.xlsx", "A 8376-2026")</f>
        <v/>
      </c>
      <c r="X38">
        <f>HYPERLINK("https://klasma.github.io/Logging_2184/kartor/A 8376-2026 karta.png", "A 8376-2026")</f>
        <v/>
      </c>
      <c r="Y38">
        <f>HYPERLINK("https://klasma.github.io/Logging_2184/kartor_geotiff/A 8376-2026 georefererad karta.tif", "A 8376-2026")</f>
        <v/>
      </c>
      <c r="AA38">
        <f>HYPERLINK("https://klasma.github.io/Logging_2184/klagomål/A 8376-2026 FSC-klagomål.docx", "A 8376-2026")</f>
        <v/>
      </c>
      <c r="AB38">
        <f>HYPERLINK("https://klasma.github.io/Logging_2184/klagomålsmail/A 8376-2026 FSC-klagomål mail.docx", "A 8376-2026")</f>
        <v/>
      </c>
      <c r="AC38">
        <f>HYPERLINK("https://klasma.github.io/Logging_2184/tillsyn/A 8376-2026 tillsynsbegäran.docx", "A 8376-2026")</f>
        <v/>
      </c>
      <c r="AD38">
        <f>HYPERLINK("https://klasma.github.io/Logging_2184/tillsynsmail/A 8376-2026 tillsynsbegäran mail.docx", "A 8376-2026")</f>
        <v/>
      </c>
    </row>
    <row r="39" ht="15" customHeight="1">
      <c r="A39" t="inlineStr">
        <is>
          <t>A 7943-2026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46063</v>
      </c>
      <c r="E39" s="1" t="n">
        <v>46307</v>
      </c>
      <c r="F39" t="inlineStr">
        <is>
          <t>GÄVLEBORGS LÄN</t>
        </is>
      </c>
      <c r="G39" t="inlineStr">
        <is>
          <t>HUDIKSVALL</t>
        </is>
      </c>
      <c r="I39" t="n">
        <v>3.7</v>
      </c>
      <c r="J39" t="n">
        <v>0</v>
      </c>
      <c r="K39" t="n">
        <v>0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4</v>
      </c>
      <c r="T39" t="n">
        <v>5</v>
      </c>
      <c r="U39" t="n">
        <v>0</v>
      </c>
      <c r="V39" s="2" t="inlineStr">
        <is>
          <t>Garnlav
Rosenticka
Ullticka
Vedskivlav</t>
        </is>
      </c>
      <c r="W39">
        <f>HYPERLINK("https://klasma.github.io/Logging_2184/artfynd/A 7943-2026 artfynd.xlsx", "A 7943-2026")</f>
        <v/>
      </c>
      <c r="X39">
        <f>HYPERLINK("https://klasma.github.io/Logging_2184/kartor/A 7943-2026 karta.png", "A 7943-2026")</f>
        <v/>
      </c>
      <c r="Y39">
        <f>HYPERLINK("https://klasma.github.io/Logging_2184/kartor_geotiff/A 7943-2026 georefererad karta.tif", "A 7943-2026")</f>
        <v/>
      </c>
      <c r="AA39">
        <f>HYPERLINK("https://klasma.github.io/Logging_2184/klagomål/A 7943-2026 FSC-klagomål.docx", "A 7943-2026")</f>
        <v/>
      </c>
      <c r="AB39">
        <f>HYPERLINK("https://klasma.github.io/Logging_2184/klagomålsmail/A 7943-2026 FSC-klagomål mail.docx", "A 7943-2026")</f>
        <v/>
      </c>
      <c r="AC39">
        <f>HYPERLINK("https://klasma.github.io/Logging_2184/tillsyn/A 7943-2026 tillsynsbegäran.docx", "A 7943-2026")</f>
        <v/>
      </c>
      <c r="AD39">
        <f>HYPERLINK("https://klasma.github.io/Logging_2184/tillsynsmail/A 7943-2026 tillsynsbegäran mail.docx", "A 7943-2026")</f>
        <v/>
      </c>
    </row>
    <row r="40" ht="15" customHeight="1">
      <c r="A40" t="inlineStr">
        <is>
          <t>A 6239-2026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46055</v>
      </c>
      <c r="E40" s="1" t="n">
        <v>46307</v>
      </c>
      <c r="F40" t="inlineStr">
        <is>
          <t>GÄVLEBORGS LÄN</t>
        </is>
      </c>
      <c r="G40" t="inlineStr">
        <is>
          <t>HUDIKSVALL</t>
        </is>
      </c>
      <c r="I40" t="n">
        <v>1.5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4</v>
      </c>
      <c r="T40" t="n">
        <v>4</v>
      </c>
      <c r="U40" t="n">
        <v>0</v>
      </c>
      <c r="V40" s="2" t="inlineStr">
        <is>
          <t>Garnlav
Talltita
Tibast
Revlummer</t>
        </is>
      </c>
      <c r="W40">
        <f>HYPERLINK("https://klasma.github.io/Logging_2184/artfynd/A 6239-2026 artfynd.xlsx", "A 6239-2026")</f>
        <v/>
      </c>
      <c r="X40">
        <f>HYPERLINK("https://klasma.github.io/Logging_2184/kartor/A 6239-2026 karta.png", "A 6239-2026")</f>
        <v/>
      </c>
      <c r="Y40">
        <f>HYPERLINK("https://klasma.github.io/Logging_2184/kartor_geotiff/A 6239-2026 georefererad karta.tif", "A 6239-2026")</f>
        <v/>
      </c>
      <c r="AA40">
        <f>HYPERLINK("https://klasma.github.io/Logging_2184/klagomål/A 6239-2026 FSC-klagomål.docx", "A 6239-2026")</f>
        <v/>
      </c>
      <c r="AB40">
        <f>HYPERLINK("https://klasma.github.io/Logging_2184/klagomålsmail/A 6239-2026 FSC-klagomål mail.docx", "A 6239-2026")</f>
        <v/>
      </c>
      <c r="AC40">
        <f>HYPERLINK("https://klasma.github.io/Logging_2184/tillsyn/A 6239-2026 tillsynsbegäran.docx", "A 6239-2026")</f>
        <v/>
      </c>
      <c r="AD40">
        <f>HYPERLINK("https://klasma.github.io/Logging_2184/tillsynsmail/A 6239-2026 tillsynsbegäran mail.docx", "A 6239-2026")</f>
        <v/>
      </c>
      <c r="AE40">
        <f>HYPERLINK("https://klasma.github.io/Logging_2184/fåglar/A 6239-2026 prioriterade fågelarter.docx", "A 6239-2026")</f>
        <v/>
      </c>
    </row>
    <row r="41" ht="15" customHeight="1">
      <c r="A41" t="inlineStr">
        <is>
          <t>A 40120-2025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45894</v>
      </c>
      <c r="E41" s="1" t="n">
        <v>46307</v>
      </c>
      <c r="F41" t="inlineStr">
        <is>
          <t>GÄVLEBORGS LÄN</t>
        </is>
      </c>
      <c r="G41" t="inlineStr">
        <is>
          <t>HUDIKSVALL</t>
        </is>
      </c>
      <c r="I41" t="n">
        <v>3.6</v>
      </c>
      <c r="J41" t="n">
        <v>1</v>
      </c>
      <c r="K41" t="n">
        <v>0</v>
      </c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4</v>
      </c>
      <c r="T41" t="n">
        <v>5</v>
      </c>
      <c r="U41" t="n">
        <v>5</v>
      </c>
      <c r="V41" s="2" t="inlineStr">
        <is>
          <t>Knärot
Kattfotslav
Motaggsvamp
Rynkskinn</t>
        </is>
      </c>
      <c r="W41">
        <f>HYPERLINK("https://klasma.github.io/Logging_2184/artfynd/A 40120-2025 artfynd.xlsx", "A 40120-2025")</f>
        <v/>
      </c>
      <c r="X41">
        <f>HYPERLINK("https://klasma.github.io/Logging_2184/kartor/A 40120-2025 karta.png", "A 40120-2025")</f>
        <v/>
      </c>
      <c r="Y41">
        <f>HYPERLINK("https://klasma.github.io/Logging_2184/kartor_geotiff/A 40120-2025 georefererad karta.tif", "A 40120-2025")</f>
        <v/>
      </c>
      <c r="Z41">
        <f>HYPERLINK("https://klasma.github.io/Logging_2184/knärot/A 40120-2025 karta knärot.png", "A 40120-2025")</f>
        <v/>
      </c>
      <c r="AA41">
        <f>HYPERLINK("https://klasma.github.io/Logging_2184/klagomål/A 40120-2025 FSC-klagomål.docx", "A 40120-2025")</f>
        <v/>
      </c>
      <c r="AB41">
        <f>HYPERLINK("https://klasma.github.io/Logging_2184/klagomålsmail/A 40120-2025 FSC-klagomål mail.docx", "A 40120-2025")</f>
        <v/>
      </c>
      <c r="AC41">
        <f>HYPERLINK("https://klasma.github.io/Logging_2184/tillsyn/A 40120-2025 tillsynsbegäran.docx", "A 40120-2025")</f>
        <v/>
      </c>
      <c r="AD41">
        <f>HYPERLINK("https://klasma.github.io/Logging_2184/tillsynsmail/A 40120-2025 tillsynsbegäran mail.docx", "A 40120-2025")</f>
        <v/>
      </c>
    </row>
    <row r="42" ht="15" customHeight="1">
      <c r="A42" t="inlineStr">
        <is>
          <t>S 84-2025</t>
        </is>
      </c>
      <c r="B42" t="inlineStr">
        <is>
          <t>samrådsanmälan</t>
        </is>
      </c>
      <c r="C42" t="inlineStr">
        <is>
          <t>Skogsgödsling</t>
        </is>
      </c>
      <c r="D42" s="1" t="n">
        <v>45670</v>
      </c>
      <c r="E42" s="1" t="n">
        <v>46307</v>
      </c>
      <c r="F42" t="inlineStr">
        <is>
          <t>GÄVLEBORGS LÄN</t>
        </is>
      </c>
      <c r="G42" t="inlineStr">
        <is>
          <t>HUDIKSVALL</t>
        </is>
      </c>
      <c r="H42" t="inlineStr">
        <is>
          <t>Holmen skog AB</t>
        </is>
      </c>
      <c r="I42" t="n">
        <v>110.4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5</v>
      </c>
      <c r="U42" t="n">
        <v>4</v>
      </c>
      <c r="V42" s="2" t="inlineStr">
        <is>
          <t>Ögonpyrola
Blåsippa
Nattviol
Revlummer</t>
        </is>
      </c>
      <c r="W42">
        <f>HYPERLINK("https://klasma.github.io/Logging_2184/artfynd/S 84-2025 artfynd.xlsx", "S 84-2025")</f>
        <v/>
      </c>
      <c r="X42">
        <f>HYPERLINK("https://klasma.github.io/Logging_2184/kartor/S 84-2025 karta.png", "S 84-2025")</f>
        <v/>
      </c>
      <c r="Y42">
        <f>HYPERLINK("https://klasma.github.io/Logging_2184/kartor_geotiff/S 84-2025 georefererad karta.tif", "S 84-2025")</f>
        <v/>
      </c>
      <c r="AA42">
        <f>HYPERLINK("https://klasma.github.io/Logging_2184/klagomål/S 84-2025 FSC-klagomål.docx", "S 84-2025")</f>
        <v/>
      </c>
      <c r="AB42">
        <f>HYPERLINK("https://klasma.github.io/Logging_2184/klagomålsmail/S 84-2025 FSC-klagomål mail.docx", "S 84-2025")</f>
        <v/>
      </c>
      <c r="AC42">
        <f>HYPERLINK("https://klasma.github.io/Logging_2184/tillsyn/S 84-2025 tillsynsbegäran.docx", "S 84-2025")</f>
        <v/>
      </c>
      <c r="AD42">
        <f>HYPERLINK("https://klasma.github.io/Logging_2184/tillsynsmail/S 84-2025 tillsynsbegäran mail.docx", "S 84-2025")</f>
        <v/>
      </c>
    </row>
    <row r="43" ht="15" customHeight="1">
      <c r="A43" t="inlineStr">
        <is>
          <t>A 42203-2022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44830</v>
      </c>
      <c r="E43" s="1" t="n">
        <v>46307</v>
      </c>
      <c r="F43" t="inlineStr">
        <is>
          <t>GÄVLEBORGS LÄN</t>
        </is>
      </c>
      <c r="G43" t="inlineStr">
        <is>
          <t>HUDIKSVALL</t>
        </is>
      </c>
      <c r="I43" t="n">
        <v>2.3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3</v>
      </c>
      <c r="T43" t="n">
        <v>6</v>
      </c>
      <c r="U43" t="n">
        <v>6</v>
      </c>
      <c r="V43" s="2" t="inlineStr">
        <is>
          <t>Blanksvart spiklav
Fläcknycklar
Revlummer</t>
        </is>
      </c>
      <c r="W43">
        <f>HYPERLINK("https://klasma.github.io/Logging_2184/artfynd/A 42203-2022 artfynd.xlsx", "A 42203-2022")</f>
        <v/>
      </c>
      <c r="X43">
        <f>HYPERLINK("https://klasma.github.io/Logging_2184/kartor/A 42203-2022 karta.png", "A 42203-2022")</f>
        <v/>
      </c>
      <c r="Y43">
        <f>HYPERLINK("https://klasma.github.io/Logging_2184/kartor_geotiff/A 42203-2022 georefererad karta.tif", "A 42203-2022")</f>
        <v/>
      </c>
      <c r="AA43">
        <f>HYPERLINK("https://klasma.github.io/Logging_2184/klagomål/A 42203-2022 FSC-klagomål.docx", "A 42203-2022")</f>
        <v/>
      </c>
      <c r="AB43">
        <f>HYPERLINK("https://klasma.github.io/Logging_2184/klagomålsmail/A 42203-2022 FSC-klagomål mail.docx", "A 42203-2022")</f>
        <v/>
      </c>
      <c r="AC43">
        <f>HYPERLINK("https://klasma.github.io/Logging_2184/tillsyn/A 42203-2022 tillsynsbegäran.docx", "A 42203-2022")</f>
        <v/>
      </c>
      <c r="AD43">
        <f>HYPERLINK("https://klasma.github.io/Logging_2184/tillsynsmail/A 42203-2022 tillsynsbegäran mail.docx", "A 42203-2022")</f>
        <v/>
      </c>
    </row>
    <row r="44" ht="15" customHeight="1">
      <c r="A44" t="inlineStr">
        <is>
          <t>A 8446-2022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44612</v>
      </c>
      <c r="E44" s="1" t="n">
        <v>46307</v>
      </c>
      <c r="F44" t="inlineStr">
        <is>
          <t>GÄVLEBORGS LÄN</t>
        </is>
      </c>
      <c r="G44" t="inlineStr">
        <is>
          <t>HUDIKSVALL</t>
        </is>
      </c>
      <c r="I44" t="n">
        <v>5.4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</v>
      </c>
      <c r="T44" t="n">
        <v>3</v>
      </c>
      <c r="U44" t="n">
        <v>3</v>
      </c>
      <c r="V44" s="2" t="inlineStr">
        <is>
          <t>Blåsippa
Fläcknycklar
Nattviol</t>
        </is>
      </c>
      <c r="W44">
        <f>HYPERLINK("https://klasma.github.io/Logging_2184/artfynd/A 8446-2022 artfynd.xlsx", "A 8446-2022")</f>
        <v/>
      </c>
      <c r="X44">
        <f>HYPERLINK("https://klasma.github.io/Logging_2184/kartor/A 8446-2022 karta.png", "A 8446-2022")</f>
        <v/>
      </c>
      <c r="Y44">
        <f>HYPERLINK("https://klasma.github.io/Logging_2184/kartor_geotiff/A 8446-2022 georefererad karta.tif", "A 8446-2022")</f>
        <v/>
      </c>
      <c r="AA44">
        <f>HYPERLINK("https://klasma.github.io/Logging_2184/klagomål/A 8446-2022 FSC-klagomål.docx", "A 8446-2022")</f>
        <v/>
      </c>
      <c r="AB44">
        <f>HYPERLINK("https://klasma.github.io/Logging_2184/klagomålsmail/A 8446-2022 FSC-klagomål mail.docx", "A 8446-2022")</f>
        <v/>
      </c>
      <c r="AC44">
        <f>HYPERLINK("https://klasma.github.io/Logging_2184/tillsyn/A 8446-2022 tillsynsbegäran.docx", "A 8446-2022")</f>
        <v/>
      </c>
      <c r="AD44">
        <f>HYPERLINK("https://klasma.github.io/Logging_2184/tillsynsmail/A 8446-2022 tillsynsbegäran mail.docx", "A 8446-2022")</f>
        <v/>
      </c>
    </row>
    <row r="45" ht="15" customHeight="1">
      <c r="A45" t="inlineStr">
        <is>
          <t>A 42624-2024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45565</v>
      </c>
      <c r="E45" s="1" t="n">
        <v>46307</v>
      </c>
      <c r="F45" t="inlineStr">
        <is>
          <t>GÄVLEBORGS LÄN</t>
        </is>
      </c>
      <c r="G45" t="inlineStr">
        <is>
          <t>HUDIKSVALL</t>
        </is>
      </c>
      <c r="I45" t="n">
        <v>1.5</v>
      </c>
      <c r="J45" t="n">
        <v>1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3</v>
      </c>
      <c r="T45" t="n">
        <v>3</v>
      </c>
      <c r="U45" t="n">
        <v>0</v>
      </c>
      <c r="V45" s="2" t="inlineStr">
        <is>
          <t>Vedflikmossa
Violettgrå tagellav
Revlummer</t>
        </is>
      </c>
      <c r="W45">
        <f>HYPERLINK("https://klasma.github.io/Logging_2184/artfynd/A 42624-2024 artfynd.xlsx", "A 42624-2024")</f>
        <v/>
      </c>
      <c r="X45">
        <f>HYPERLINK("https://klasma.github.io/Logging_2184/kartor/A 42624-2024 karta.png", "A 42624-2024")</f>
        <v/>
      </c>
      <c r="Y45">
        <f>HYPERLINK("https://klasma.github.io/Logging_2184/kartor_geotiff/A 42624-2024 georefererad karta.tif", "A 42624-2024")</f>
        <v/>
      </c>
      <c r="AA45">
        <f>HYPERLINK("https://klasma.github.io/Logging_2184/klagomål/A 42624-2024 FSC-klagomål.docx", "A 42624-2024")</f>
        <v/>
      </c>
      <c r="AB45">
        <f>HYPERLINK("https://klasma.github.io/Logging_2184/klagomålsmail/A 42624-2024 FSC-klagomål mail.docx", "A 42624-2024")</f>
        <v/>
      </c>
      <c r="AC45">
        <f>HYPERLINK("https://klasma.github.io/Logging_2184/tillsyn/A 42624-2024 tillsynsbegäran.docx", "A 42624-2024")</f>
        <v/>
      </c>
      <c r="AD45">
        <f>HYPERLINK("https://klasma.github.io/Logging_2184/tillsynsmail/A 42624-2024 tillsynsbegäran mail.docx", "A 42624-2024")</f>
        <v/>
      </c>
    </row>
    <row r="46" ht="15" customHeight="1">
      <c r="A46" t="inlineStr">
        <is>
          <t>A 33608-2024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45520</v>
      </c>
      <c r="E46" s="1" t="n">
        <v>46307</v>
      </c>
      <c r="F46" t="inlineStr">
        <is>
          <t>GÄVLEBORGS LÄN</t>
        </is>
      </c>
      <c r="G46" t="inlineStr">
        <is>
          <t>HUDIKSVALL</t>
        </is>
      </c>
      <c r="H46" t="inlineStr">
        <is>
          <t>Holmen skog AB</t>
        </is>
      </c>
      <c r="I46" t="n">
        <v>19.7</v>
      </c>
      <c r="J46" t="n">
        <v>1</v>
      </c>
      <c r="K46" t="n">
        <v>0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3</v>
      </c>
      <c r="R46" t="n">
        <v>2</v>
      </c>
      <c r="S46" t="n">
        <v>3</v>
      </c>
      <c r="T46" t="n">
        <v>4</v>
      </c>
      <c r="U46" t="n">
        <v>4</v>
      </c>
      <c r="V46" s="2" t="inlineStr">
        <is>
          <t>Garnlav
Knärot
Ullticka</t>
        </is>
      </c>
      <c r="W46">
        <f>HYPERLINK("https://klasma.github.io/Logging_2184/artfynd/A 33608-2024 artfynd.xlsx", "A 33608-2024")</f>
        <v/>
      </c>
      <c r="X46">
        <f>HYPERLINK("https://klasma.github.io/Logging_2184/kartor/A 33608-2024 karta.png", "A 33608-2024")</f>
        <v/>
      </c>
      <c r="Y46">
        <f>HYPERLINK("https://klasma.github.io/Logging_2184/kartor_geotiff/A 33608-2024 georefererad karta.tif", "A 33608-2024")</f>
        <v/>
      </c>
      <c r="Z46">
        <f>HYPERLINK("https://klasma.github.io/Logging_2184/knärot/A 33608-2024 karta knärot.png", "A 33608-2024")</f>
        <v/>
      </c>
      <c r="AA46">
        <f>HYPERLINK("https://klasma.github.io/Logging_2184/klagomål/A 33608-2024 FSC-klagomål.docx", "A 33608-2024")</f>
        <v/>
      </c>
      <c r="AB46">
        <f>HYPERLINK("https://klasma.github.io/Logging_2184/klagomålsmail/A 33608-2024 FSC-klagomål mail.docx", "A 33608-2024")</f>
        <v/>
      </c>
      <c r="AC46">
        <f>HYPERLINK("https://klasma.github.io/Logging_2184/tillsyn/A 33608-2024 tillsynsbegäran.docx", "A 33608-2024")</f>
        <v/>
      </c>
      <c r="AD46">
        <f>HYPERLINK("https://klasma.github.io/Logging_2184/tillsynsmail/A 33608-2024 tillsynsbegäran mail.docx", "A 33608-2024")</f>
        <v/>
      </c>
    </row>
    <row r="47" ht="15" customHeight="1">
      <c r="A47" t="inlineStr">
        <is>
          <t>A 12843-2024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45384</v>
      </c>
      <c r="E47" s="1" t="n">
        <v>46307</v>
      </c>
      <c r="F47" t="inlineStr">
        <is>
          <t>GÄVLEBORGS LÄN</t>
        </is>
      </c>
      <c r="G47" t="inlineStr">
        <is>
          <t>HUDIKSVALL</t>
        </is>
      </c>
      <c r="H47" t="inlineStr">
        <is>
          <t>Holmen skog AB</t>
        </is>
      </c>
      <c r="I47" t="n">
        <v>23.4</v>
      </c>
      <c r="J47" t="n">
        <v>3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3</v>
      </c>
      <c r="U47" t="n">
        <v>3</v>
      </c>
      <c r="V47" s="2" t="inlineStr">
        <is>
          <t>Spindelblomster
Fläcknycklar
Revlummer</t>
        </is>
      </c>
      <c r="W47">
        <f>HYPERLINK("https://klasma.github.io/Logging_2184/artfynd/A 12843-2024 artfynd.xlsx", "A 12843-2024")</f>
        <v/>
      </c>
      <c r="X47">
        <f>HYPERLINK("https://klasma.github.io/Logging_2184/kartor/A 12843-2024 karta.png", "A 12843-2024")</f>
        <v/>
      </c>
      <c r="Y47">
        <f>HYPERLINK("https://klasma.github.io/Logging_2184/kartor_geotiff/A 12843-2024 georefererad karta.tif", "A 12843-2024")</f>
        <v/>
      </c>
      <c r="AA47">
        <f>HYPERLINK("https://klasma.github.io/Logging_2184/klagomål/A 12843-2024 FSC-klagomål.docx", "A 12843-2024")</f>
        <v/>
      </c>
      <c r="AB47">
        <f>HYPERLINK("https://klasma.github.io/Logging_2184/klagomålsmail/A 12843-2024 FSC-klagomål mail.docx", "A 12843-2024")</f>
        <v/>
      </c>
      <c r="AC47">
        <f>HYPERLINK("https://klasma.github.io/Logging_2184/tillsyn/A 12843-2024 tillsynsbegäran.docx", "A 12843-2024")</f>
        <v/>
      </c>
      <c r="AD47">
        <f>HYPERLINK("https://klasma.github.io/Logging_2184/tillsynsmail/A 12843-2024 tillsynsbegäran mail.docx", "A 12843-2024")</f>
        <v/>
      </c>
    </row>
    <row r="48" ht="15" customHeight="1">
      <c r="A48" t="inlineStr">
        <is>
          <t>A 33783-2023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45133</v>
      </c>
      <c r="E48" s="1" t="n">
        <v>46307</v>
      </c>
      <c r="F48" t="inlineStr">
        <is>
          <t>GÄVLEBORGS LÄN</t>
        </is>
      </c>
      <c r="G48" t="inlineStr">
        <is>
          <t>HUDIKSVALL</t>
        </is>
      </c>
      <c r="H48" t="inlineStr">
        <is>
          <t>Holmen skog AB</t>
        </is>
      </c>
      <c r="I48" t="n">
        <v>2.6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3</v>
      </c>
      <c r="T48" t="n">
        <v>3</v>
      </c>
      <c r="U48" t="n">
        <v>3</v>
      </c>
      <c r="V48" s="2" t="inlineStr">
        <is>
          <t>Garnlav
Lunglav
Stuplav</t>
        </is>
      </c>
      <c r="W48">
        <f>HYPERLINK("https://klasma.github.io/Logging_2184/artfynd/A 33783-2023 artfynd.xlsx", "A 33783-2023")</f>
        <v/>
      </c>
      <c r="X48">
        <f>HYPERLINK("https://klasma.github.io/Logging_2184/kartor/A 33783-2023 karta.png", "A 33783-2023")</f>
        <v/>
      </c>
      <c r="Y48">
        <f>HYPERLINK("https://klasma.github.io/Logging_2184/kartor_geotiff/A 33783-2023 georefererad karta.tif", "A 33783-2023")</f>
        <v/>
      </c>
      <c r="AA48">
        <f>HYPERLINK("https://klasma.github.io/Logging_2184/klagomål/A 33783-2023 FSC-klagomål.docx", "A 33783-2023")</f>
        <v/>
      </c>
      <c r="AB48">
        <f>HYPERLINK("https://klasma.github.io/Logging_2184/klagomålsmail/A 33783-2023 FSC-klagomål mail.docx", "A 33783-2023")</f>
        <v/>
      </c>
      <c r="AC48">
        <f>HYPERLINK("https://klasma.github.io/Logging_2184/tillsyn/A 33783-2023 tillsynsbegäran.docx", "A 33783-2023")</f>
        <v/>
      </c>
      <c r="AD48">
        <f>HYPERLINK("https://klasma.github.io/Logging_2184/tillsynsmail/A 33783-2023 tillsynsbegäran mail.docx", "A 33783-2023")</f>
        <v/>
      </c>
    </row>
    <row r="49" ht="15" customHeight="1">
      <c r="A49" t="inlineStr">
        <is>
          <t>A 8049-2026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46063</v>
      </c>
      <c r="E49" s="1" t="n">
        <v>46307</v>
      </c>
      <c r="F49" t="inlineStr">
        <is>
          <t>GÄVLEBORGS LÄN</t>
        </is>
      </c>
      <c r="G49" t="inlineStr">
        <is>
          <t>HUDIKSVALL</t>
        </is>
      </c>
      <c r="I49" t="n">
        <v>4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n">
        <v>3</v>
      </c>
      <c r="T49" t="n">
        <v>3</v>
      </c>
      <c r="U49" t="n">
        <v>0</v>
      </c>
      <c r="V49" s="2" t="inlineStr">
        <is>
          <t>Knärot
Blå taggsvamp
Kamjordstjärna</t>
        </is>
      </c>
      <c r="W49">
        <f>HYPERLINK("https://klasma.github.io/Logging_2184/artfynd/A 8049-2026 artfynd.xlsx", "A 8049-2026")</f>
        <v/>
      </c>
      <c r="X49">
        <f>HYPERLINK("https://klasma.github.io/Logging_2184/kartor/A 8049-2026 karta.png", "A 8049-2026")</f>
        <v/>
      </c>
      <c r="Y49">
        <f>HYPERLINK("https://klasma.github.io/Logging_2184/kartor_geotiff/A 8049-2026 georefererad karta.tif", "A 8049-2026")</f>
        <v/>
      </c>
      <c r="Z49">
        <f>HYPERLINK("https://klasma.github.io/Logging_2184/knärot/A 8049-2026 karta knärot.png", "A 8049-2026")</f>
        <v/>
      </c>
      <c r="AA49">
        <f>HYPERLINK("https://klasma.github.io/Logging_2184/klagomål/A 8049-2026 FSC-klagomål.docx", "A 8049-2026")</f>
        <v/>
      </c>
      <c r="AB49">
        <f>HYPERLINK("https://klasma.github.io/Logging_2184/klagomålsmail/A 8049-2026 FSC-klagomål mail.docx", "A 8049-2026")</f>
        <v/>
      </c>
      <c r="AC49">
        <f>HYPERLINK("https://klasma.github.io/Logging_2184/tillsyn/A 8049-2026 tillsynsbegäran.docx", "A 8049-2026")</f>
        <v/>
      </c>
      <c r="AD49">
        <f>HYPERLINK("https://klasma.github.io/Logging_2184/tillsynsmail/A 8049-2026 tillsynsbegäran mail.docx", "A 8049-2026")</f>
        <v/>
      </c>
    </row>
    <row r="50" ht="15" customHeight="1">
      <c r="A50" t="inlineStr">
        <is>
          <t>A 12028-2026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46085</v>
      </c>
      <c r="E50" s="1" t="n">
        <v>46307</v>
      </c>
      <c r="F50" t="inlineStr">
        <is>
          <t>GÄVLEBORGS LÄN</t>
        </is>
      </c>
      <c r="G50" t="inlineStr">
        <is>
          <t>HUDIKSVALL</t>
        </is>
      </c>
      <c r="I50" t="n">
        <v>6.6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3</v>
      </c>
      <c r="U50" t="n">
        <v>0</v>
      </c>
      <c r="V50" s="2" t="inlineStr">
        <is>
          <t>Mattlummer
Brudsporre
Fläcknycklar</t>
        </is>
      </c>
      <c r="W50">
        <f>HYPERLINK("https://klasma.github.io/Logging_2184/artfynd/A 12028-2026 artfynd.xlsx", "A 12028-2026")</f>
        <v/>
      </c>
      <c r="X50">
        <f>HYPERLINK("https://klasma.github.io/Logging_2184/kartor/A 12028-2026 karta.png", "A 12028-2026")</f>
        <v/>
      </c>
      <c r="Y50">
        <f>HYPERLINK("https://klasma.github.io/Logging_2184/kartor_geotiff/A 12028-2026 georefererad karta.tif", "A 12028-2026")</f>
        <v/>
      </c>
      <c r="AA50">
        <f>HYPERLINK("https://klasma.github.io/Logging_2184/klagomål/A 12028-2026 FSC-klagomål.docx", "A 12028-2026")</f>
        <v/>
      </c>
      <c r="AB50">
        <f>HYPERLINK("https://klasma.github.io/Logging_2184/klagomålsmail/A 12028-2026 FSC-klagomål mail.docx", "A 12028-2026")</f>
        <v/>
      </c>
      <c r="AC50">
        <f>HYPERLINK("https://klasma.github.io/Logging_2184/tillsyn/A 12028-2026 tillsynsbegäran.docx", "A 12028-2026")</f>
        <v/>
      </c>
      <c r="AD50">
        <f>HYPERLINK("https://klasma.github.io/Logging_2184/tillsynsmail/A 12028-2026 tillsynsbegäran mail.docx", "A 12028-2026")</f>
        <v/>
      </c>
    </row>
    <row r="51" ht="15" customHeight="1">
      <c r="A51" t="inlineStr">
        <is>
          <t>S 4019-2023</t>
        </is>
      </c>
      <c r="B51" t="inlineStr">
        <is>
          <t>samrådsanmälan</t>
        </is>
      </c>
      <c r="C51" t="inlineStr">
        <is>
          <t>Skogsgödsling</t>
        </is>
      </c>
      <c r="D51" s="1" t="n">
        <v>45237</v>
      </c>
      <c r="E51" s="1" t="n">
        <v>46307</v>
      </c>
      <c r="F51" t="inlineStr">
        <is>
          <t>GÄVLEBORGS LÄN</t>
        </is>
      </c>
      <c r="G51" t="inlineStr">
        <is>
          <t>HUDIKSVALL</t>
        </is>
      </c>
      <c r="H51" t="inlineStr">
        <is>
          <t>Holmen skog AB</t>
        </is>
      </c>
      <c r="I51" t="n">
        <v>130.1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4</v>
      </c>
      <c r="U51" t="n">
        <v>2</v>
      </c>
      <c r="V51" s="2" t="inlineStr">
        <is>
          <t>Bronshjon
Fläcknycklar
Revlummer</t>
        </is>
      </c>
      <c r="W51">
        <f>HYPERLINK("https://klasma.github.io/Logging_2184/artfynd/S 4019-2023 artfynd.xlsx", "S 4019-2023")</f>
        <v/>
      </c>
      <c r="X51">
        <f>HYPERLINK("https://klasma.github.io/Logging_2184/kartor/S 4019-2023 karta.png", "S 4019-2023")</f>
        <v/>
      </c>
      <c r="Y51">
        <f>HYPERLINK("https://klasma.github.io/Logging_2184/kartor_geotiff/S 4019-2023 georefererad karta.tif", "S 4019-2023")</f>
        <v/>
      </c>
      <c r="AA51">
        <f>HYPERLINK("https://klasma.github.io/Logging_2184/klagomål/S 4019-2023 FSC-klagomål.docx", "S 4019-2023")</f>
        <v/>
      </c>
      <c r="AB51">
        <f>HYPERLINK("https://klasma.github.io/Logging_2184/klagomålsmail/S 4019-2023 FSC-klagomål mail.docx", "S 4019-2023")</f>
        <v/>
      </c>
      <c r="AC51">
        <f>HYPERLINK("https://klasma.github.io/Logging_2184/tillsyn/S 4019-2023 tillsynsbegäran.docx", "S 4019-2023")</f>
        <v/>
      </c>
      <c r="AD51">
        <f>HYPERLINK("https://klasma.github.io/Logging_2184/tillsynsmail/S 4019-2023 tillsynsbegäran mail.docx", "S 4019-2023")</f>
        <v/>
      </c>
    </row>
    <row r="52" ht="15" customHeight="1">
      <c r="A52" t="inlineStr">
        <is>
          <t>A 43163-2025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45910</v>
      </c>
      <c r="E52" s="1" t="n">
        <v>46307</v>
      </c>
      <c r="F52" t="inlineStr">
        <is>
          <t>GÄVLEBORGS LÄN</t>
        </is>
      </c>
      <c r="G52" t="inlineStr">
        <is>
          <t>HUDIKSVALL</t>
        </is>
      </c>
      <c r="H52" t="inlineStr">
        <is>
          <t>Holmen skog AB</t>
        </is>
      </c>
      <c r="I52" t="n">
        <v>2.7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3</v>
      </c>
      <c r="U52" t="n">
        <v>3</v>
      </c>
      <c r="V52" s="2" t="inlineStr">
        <is>
          <t>Skogshakmossa
Ormbär</t>
        </is>
      </c>
      <c r="W52">
        <f>HYPERLINK("https://klasma.github.io/Logging_2184/artfynd/A 43163-2025 artfynd.xlsx", "A 43163-2025")</f>
        <v/>
      </c>
      <c r="X52">
        <f>HYPERLINK("https://klasma.github.io/Logging_2184/kartor/A 43163-2025 karta.png", "A 43163-2025")</f>
        <v/>
      </c>
      <c r="Y52">
        <f>HYPERLINK("https://klasma.github.io/Logging_2184/kartor_geotiff/A 43163-2025 georefererad karta.tif", "A 43163-2025")</f>
        <v/>
      </c>
      <c r="AA52">
        <f>HYPERLINK("https://klasma.github.io/Logging_2184/klagomål/A 43163-2025 FSC-klagomål.docx", "A 43163-2025")</f>
        <v/>
      </c>
      <c r="AB52">
        <f>HYPERLINK("https://klasma.github.io/Logging_2184/klagomålsmail/A 43163-2025 FSC-klagomål mail.docx", "A 43163-2025")</f>
        <v/>
      </c>
      <c r="AC52">
        <f>HYPERLINK("https://klasma.github.io/Logging_2184/tillsyn/A 43163-2025 tillsynsbegäran.docx", "A 43163-2025")</f>
        <v/>
      </c>
      <c r="AD52">
        <f>HYPERLINK("https://klasma.github.io/Logging_2184/tillsynsmail/A 43163-2025 tillsynsbegäran mail.docx", "A 43163-2025")</f>
        <v/>
      </c>
    </row>
    <row r="53" ht="15" customHeight="1">
      <c r="A53" t="inlineStr">
        <is>
          <t>A 50822-2023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45217</v>
      </c>
      <c r="E53" s="1" t="n">
        <v>46307</v>
      </c>
      <c r="F53" t="inlineStr">
        <is>
          <t>GÄVLEBORGS LÄN</t>
        </is>
      </c>
      <c r="G53" t="inlineStr">
        <is>
          <t>HUDIKSVALL</t>
        </is>
      </c>
      <c r="I53" t="n">
        <v>1.2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1</v>
      </c>
      <c r="V53" s="2" t="inlineStr">
        <is>
          <t>Järpe
Grönsiska</t>
        </is>
      </c>
      <c r="W53">
        <f>HYPERLINK("https://klasma.github.io/Logging_2184/artfynd/A 50822-2023 artfynd.xlsx", "A 50822-2023")</f>
        <v/>
      </c>
      <c r="X53">
        <f>HYPERLINK("https://klasma.github.io/Logging_2184/kartor/A 50822-2023 karta.png", "A 50822-2023")</f>
        <v/>
      </c>
      <c r="Y53">
        <f>HYPERLINK("https://klasma.github.io/Logging_2184/kartor_geotiff/A 50822-2023 georefererad karta.tif", "A 50822-2023")</f>
        <v/>
      </c>
      <c r="AA53">
        <f>HYPERLINK("https://klasma.github.io/Logging_2184/klagomål/A 50822-2023 FSC-klagomål.docx", "A 50822-2023")</f>
        <v/>
      </c>
      <c r="AB53">
        <f>HYPERLINK("https://klasma.github.io/Logging_2184/klagomålsmail/A 50822-2023 FSC-klagomål mail.docx", "A 50822-2023")</f>
        <v/>
      </c>
      <c r="AC53">
        <f>HYPERLINK("https://klasma.github.io/Logging_2184/tillsyn/A 50822-2023 tillsynsbegäran.docx", "A 50822-2023")</f>
        <v/>
      </c>
      <c r="AD53">
        <f>HYPERLINK("https://klasma.github.io/Logging_2184/tillsynsmail/A 50822-2023 tillsynsbegäran mail.docx", "A 50822-2023")</f>
        <v/>
      </c>
      <c r="AE53">
        <f>HYPERLINK("https://klasma.github.io/Logging_2184/fåglar/A 50822-2023 prioriterade fågelarter.docx", "A 50822-2023")</f>
        <v/>
      </c>
    </row>
    <row r="54" ht="15" customHeight="1">
      <c r="A54" t="inlineStr">
        <is>
          <t>A 52568-2025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45954</v>
      </c>
      <c r="E54" s="1" t="n">
        <v>46307</v>
      </c>
      <c r="F54" t="inlineStr">
        <is>
          <t>GÄVLEBORGS LÄN</t>
        </is>
      </c>
      <c r="G54" t="inlineStr">
        <is>
          <t>HUDIKSVALL</t>
        </is>
      </c>
      <c r="I54" t="n">
        <v>8.199999999999999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2</v>
      </c>
      <c r="T54" t="n">
        <v>2</v>
      </c>
      <c r="U54" t="n">
        <v>2</v>
      </c>
      <c r="V54" s="2" t="inlineStr">
        <is>
          <t>Rosenticka
Vedticka</t>
        </is>
      </c>
      <c r="W54">
        <f>HYPERLINK("https://klasma.github.io/Logging_2184/artfynd/A 52568-2025 artfynd.xlsx", "A 52568-2025")</f>
        <v/>
      </c>
      <c r="X54">
        <f>HYPERLINK("https://klasma.github.io/Logging_2184/kartor/A 52568-2025 karta.png", "A 52568-2025")</f>
        <v/>
      </c>
      <c r="Y54">
        <f>HYPERLINK("https://klasma.github.io/Logging_2184/kartor_geotiff/A 52568-2025 georefererad karta.tif", "A 52568-2025")</f>
        <v/>
      </c>
      <c r="AA54">
        <f>HYPERLINK("https://klasma.github.io/Logging_2184/klagomål/A 52568-2025 FSC-klagomål.docx", "A 52568-2025")</f>
        <v/>
      </c>
      <c r="AB54">
        <f>HYPERLINK("https://klasma.github.io/Logging_2184/klagomålsmail/A 52568-2025 FSC-klagomål mail.docx", "A 52568-2025")</f>
        <v/>
      </c>
      <c r="AC54">
        <f>HYPERLINK("https://klasma.github.io/Logging_2184/tillsyn/A 52568-2025 tillsynsbegäran.docx", "A 52568-2025")</f>
        <v/>
      </c>
      <c r="AD54">
        <f>HYPERLINK("https://klasma.github.io/Logging_2184/tillsynsmail/A 52568-2025 tillsynsbegäran mail.docx", "A 52568-2025")</f>
        <v/>
      </c>
    </row>
    <row r="55" ht="15" customHeight="1">
      <c r="A55" t="inlineStr">
        <is>
          <t>A 60594-2024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45644</v>
      </c>
      <c r="E55" s="1" t="n">
        <v>46307</v>
      </c>
      <c r="F55" t="inlineStr">
        <is>
          <t>GÄVLEBORGS LÄN</t>
        </is>
      </c>
      <c r="G55" t="inlineStr">
        <is>
          <t>HUDIKSVALL</t>
        </is>
      </c>
      <c r="I55" t="n">
        <v>3.7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2</v>
      </c>
      <c r="T55" t="n">
        <v>4</v>
      </c>
      <c r="U55" t="n">
        <v>4</v>
      </c>
      <c r="V55" s="2" t="inlineStr">
        <is>
          <t>Flodpärlmussla
Vanlig padda</t>
        </is>
      </c>
      <c r="W55">
        <f>HYPERLINK("https://klasma.github.io/Logging_2184/artfynd/A 60594-2024 artfynd.xlsx", "A 60594-2024")</f>
        <v/>
      </c>
      <c r="X55">
        <f>HYPERLINK("https://klasma.github.io/Logging_2184/kartor/A 60594-2024 karta.png", "A 60594-2024")</f>
        <v/>
      </c>
      <c r="Y55">
        <f>HYPERLINK("https://klasma.github.io/Logging_2184/kartor_geotiff/A 60594-2024 georefererad karta.tif", "A 60594-2024")</f>
        <v/>
      </c>
      <c r="AA55">
        <f>HYPERLINK("https://klasma.github.io/Logging_2184/klagomål/A 60594-2024 FSC-klagomål.docx", "A 60594-2024")</f>
        <v/>
      </c>
      <c r="AB55">
        <f>HYPERLINK("https://klasma.github.io/Logging_2184/klagomålsmail/A 60594-2024 FSC-klagomål mail.docx", "A 60594-2024")</f>
        <v/>
      </c>
      <c r="AC55">
        <f>HYPERLINK("https://klasma.github.io/Logging_2184/tillsyn/A 60594-2024 tillsynsbegäran.docx", "A 60594-2024")</f>
        <v/>
      </c>
      <c r="AD55">
        <f>HYPERLINK("https://klasma.github.io/Logging_2184/tillsynsmail/A 60594-2024 tillsynsbegäran mail.docx", "A 60594-2024")</f>
        <v/>
      </c>
    </row>
    <row r="56" ht="15" customHeight="1">
      <c r="A56" t="inlineStr">
        <is>
          <t>A 14353-2026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46100</v>
      </c>
      <c r="E56" s="1" t="n">
        <v>46307</v>
      </c>
      <c r="F56" t="inlineStr">
        <is>
          <t>GÄVLEBORGS LÄN</t>
        </is>
      </c>
      <c r="G56" t="inlineStr">
        <is>
          <t>HUDIKSVALL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2</v>
      </c>
      <c r="T56" t="n">
        <v>2</v>
      </c>
      <c r="U56" t="n">
        <v>0</v>
      </c>
      <c r="V56" s="2" t="inlineStr">
        <is>
          <t>Blanksvart spiklav
Vedticka</t>
        </is>
      </c>
      <c r="W56">
        <f>HYPERLINK("https://klasma.github.io/Logging_2184/artfynd/A 14353-2026 artfynd.xlsx", "A 14353-2026")</f>
        <v/>
      </c>
      <c r="X56">
        <f>HYPERLINK("https://klasma.github.io/Logging_2184/kartor/A 14353-2026 karta.png", "A 14353-2026")</f>
        <v/>
      </c>
      <c r="Y56">
        <f>HYPERLINK("https://klasma.github.io/Logging_2184/kartor_geotiff/A 14353-2026 georefererad karta.tif", "A 14353-2026")</f>
        <v/>
      </c>
      <c r="AA56">
        <f>HYPERLINK("https://klasma.github.io/Logging_2184/klagomål/A 14353-2026 FSC-klagomål.docx", "A 14353-2026")</f>
        <v/>
      </c>
      <c r="AB56">
        <f>HYPERLINK("https://klasma.github.io/Logging_2184/klagomålsmail/A 14353-2026 FSC-klagomål mail.docx", "A 14353-2026")</f>
        <v/>
      </c>
      <c r="AC56">
        <f>HYPERLINK("https://klasma.github.io/Logging_2184/tillsyn/A 14353-2026 tillsynsbegäran.docx", "A 14353-2026")</f>
        <v/>
      </c>
      <c r="AD56">
        <f>HYPERLINK("https://klasma.github.io/Logging_2184/tillsynsmail/A 14353-2026 tillsynsbegäran mail.docx", "A 14353-2026")</f>
        <v/>
      </c>
    </row>
    <row r="57" ht="15" customHeight="1">
      <c r="A57" t="inlineStr">
        <is>
          <t>A 22261-2024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45446</v>
      </c>
      <c r="E57" s="1" t="n">
        <v>46307</v>
      </c>
      <c r="F57" t="inlineStr">
        <is>
          <t>GÄVLEBORGS LÄN</t>
        </is>
      </c>
      <c r="G57" t="inlineStr">
        <is>
          <t>HUDIKSVALL</t>
        </is>
      </c>
      <c r="I57" t="n">
        <v>7.6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1</v>
      </c>
      <c r="S57" t="n">
        <v>2</v>
      </c>
      <c r="T57" t="n">
        <v>4</v>
      </c>
      <c r="U57" t="n">
        <v>4</v>
      </c>
      <c r="V57" s="2" t="inlineStr">
        <is>
          <t>Knärot
Dropptaggsvamp</t>
        </is>
      </c>
      <c r="W57">
        <f>HYPERLINK("https://klasma.github.io/Logging_2184/artfynd/A 22261-2024 artfynd.xlsx", "A 22261-2024")</f>
        <v/>
      </c>
      <c r="X57">
        <f>HYPERLINK("https://klasma.github.io/Logging_2184/kartor/A 22261-2024 karta.png", "A 22261-2024")</f>
        <v/>
      </c>
      <c r="Y57">
        <f>HYPERLINK("https://klasma.github.io/Logging_2184/kartor_geotiff/A 22261-2024 georefererad karta.tif", "A 22261-2024")</f>
        <v/>
      </c>
      <c r="Z57">
        <f>HYPERLINK("https://klasma.github.io/Logging_2184/knärot/A 22261-2024 karta knärot.png", "A 22261-2024")</f>
        <v/>
      </c>
      <c r="AA57">
        <f>HYPERLINK("https://klasma.github.io/Logging_2184/klagomål/A 22261-2024 FSC-klagomål.docx", "A 22261-2024")</f>
        <v/>
      </c>
      <c r="AB57">
        <f>HYPERLINK("https://klasma.github.io/Logging_2184/klagomålsmail/A 22261-2024 FSC-klagomål mail.docx", "A 22261-2024")</f>
        <v/>
      </c>
      <c r="AC57">
        <f>HYPERLINK("https://klasma.github.io/Logging_2184/tillsyn/A 22261-2024 tillsynsbegäran.docx", "A 22261-2024")</f>
        <v/>
      </c>
      <c r="AD57">
        <f>HYPERLINK("https://klasma.github.io/Logging_2184/tillsynsmail/A 22261-2024 tillsynsbegäran mail.docx", "A 22261-2024")</f>
        <v/>
      </c>
    </row>
    <row r="58" ht="15" customHeight="1">
      <c r="A58" t="inlineStr">
        <is>
          <t>A 17222-2026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46119</v>
      </c>
      <c r="E58" s="1" t="n">
        <v>46307</v>
      </c>
      <c r="F58" t="inlineStr">
        <is>
          <t>GÄVLEBORGS LÄN</t>
        </is>
      </c>
      <c r="G58" t="inlineStr">
        <is>
          <t>HUDIKSVALL</t>
        </is>
      </c>
      <c r="I58" t="n">
        <v>33.9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</v>
      </c>
      <c r="V58" s="2" t="inlineStr">
        <is>
          <t>Blåsippa
Revlummer</t>
        </is>
      </c>
      <c r="W58">
        <f>HYPERLINK("https://klasma.github.io/Logging_2184/artfynd/A 17222-2026 artfynd.xlsx", "A 17222-2026")</f>
        <v/>
      </c>
      <c r="X58">
        <f>HYPERLINK("https://klasma.github.io/Logging_2184/kartor/A 17222-2026 karta.png", "A 17222-2026")</f>
        <v/>
      </c>
      <c r="Y58">
        <f>HYPERLINK("https://klasma.github.io/Logging_2184/kartor_geotiff/A 17222-2026 georefererad karta.tif", "A 17222-2026")</f>
        <v/>
      </c>
      <c r="AA58">
        <f>HYPERLINK("https://klasma.github.io/Logging_2184/klagomål/A 17222-2026 FSC-klagomål.docx", "A 17222-2026")</f>
        <v/>
      </c>
      <c r="AB58">
        <f>HYPERLINK("https://klasma.github.io/Logging_2184/klagomålsmail/A 17222-2026 FSC-klagomål mail.docx", "A 17222-2026")</f>
        <v/>
      </c>
      <c r="AC58">
        <f>HYPERLINK("https://klasma.github.io/Logging_2184/tillsyn/A 17222-2026 tillsynsbegäran.docx", "A 17222-2026")</f>
        <v/>
      </c>
      <c r="AD58">
        <f>HYPERLINK("https://klasma.github.io/Logging_2184/tillsynsmail/A 17222-2026 tillsynsbegäran mail.docx", "A 17222-2026")</f>
        <v/>
      </c>
    </row>
    <row r="59" ht="15" customHeight="1">
      <c r="A59" t="inlineStr">
        <is>
          <t>A 45380-2024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45576</v>
      </c>
      <c r="E59" s="1" t="n">
        <v>46307</v>
      </c>
      <c r="F59" t="inlineStr">
        <is>
          <t>GÄVLEBORGS LÄN</t>
        </is>
      </c>
      <c r="G59" t="inlineStr">
        <is>
          <t>HUDIKSVALL</t>
        </is>
      </c>
      <c r="I59" t="n">
        <v>3</v>
      </c>
      <c r="J59" t="n">
        <v>2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2</v>
      </c>
      <c r="U59" t="n">
        <v>2</v>
      </c>
      <c r="V59" s="2" t="inlineStr">
        <is>
          <t>Plattlummer
Mattlummer</t>
        </is>
      </c>
      <c r="W59">
        <f>HYPERLINK("https://klasma.github.io/Logging_2184/artfynd/A 45380-2024 artfynd.xlsx", "A 45380-2024")</f>
        <v/>
      </c>
      <c r="X59">
        <f>HYPERLINK("https://klasma.github.io/Logging_2184/kartor/A 45380-2024 karta.png", "A 45380-2024")</f>
        <v/>
      </c>
      <c r="Y59">
        <f>HYPERLINK("https://klasma.github.io/Logging_2184/kartor_geotiff/A 45380-2024 georefererad karta.tif", "A 45380-2024")</f>
        <v/>
      </c>
      <c r="AA59">
        <f>HYPERLINK("https://klasma.github.io/Logging_2184/klagomål/A 45380-2024 FSC-klagomål.docx", "A 45380-2024")</f>
        <v/>
      </c>
      <c r="AB59">
        <f>HYPERLINK("https://klasma.github.io/Logging_2184/klagomålsmail/A 45380-2024 FSC-klagomål mail.docx", "A 45380-2024")</f>
        <v/>
      </c>
      <c r="AC59">
        <f>HYPERLINK("https://klasma.github.io/Logging_2184/tillsyn/A 45380-2024 tillsynsbegäran.docx", "A 45380-2024")</f>
        <v/>
      </c>
      <c r="AD59">
        <f>HYPERLINK("https://klasma.github.io/Logging_2184/tillsynsmail/A 45380-2024 tillsynsbegäran mail.docx", "A 45380-2024")</f>
        <v/>
      </c>
    </row>
    <row r="60" ht="15" customHeight="1">
      <c r="A60" t="inlineStr">
        <is>
          <t>A 13332-2026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46094</v>
      </c>
      <c r="E60" s="1" t="n">
        <v>46307</v>
      </c>
      <c r="F60" t="inlineStr">
        <is>
          <t>GÄVLEBORGS LÄN</t>
        </is>
      </c>
      <c r="G60" t="inlineStr">
        <is>
          <t>HUDIKSVALL</t>
        </is>
      </c>
      <c r="H60" t="inlineStr">
        <is>
          <t>Holmen skog AB</t>
        </is>
      </c>
      <c r="I60" t="n">
        <v>1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2</v>
      </c>
      <c r="U60" t="n">
        <v>0</v>
      </c>
      <c r="V60" s="2" t="inlineStr">
        <is>
          <t>Bågpraktmossa
Vanlig rörsvepemossa</t>
        </is>
      </c>
      <c r="W60">
        <f>HYPERLINK("https://klasma.github.io/Logging_2184/artfynd/A 13332-2026 artfynd.xlsx", "A 13332-2026")</f>
        <v/>
      </c>
      <c r="X60">
        <f>HYPERLINK("https://klasma.github.io/Logging_2184/kartor/A 13332-2026 karta.png", "A 13332-2026")</f>
        <v/>
      </c>
      <c r="Y60">
        <f>HYPERLINK("https://klasma.github.io/Logging_2184/kartor_geotiff/A 13332-2026 georefererad karta.tif", "A 13332-2026")</f>
        <v/>
      </c>
      <c r="AA60">
        <f>HYPERLINK("https://klasma.github.io/Logging_2184/klagomål/A 13332-2026 FSC-klagomål.docx", "A 13332-2026")</f>
        <v/>
      </c>
      <c r="AB60">
        <f>HYPERLINK("https://klasma.github.io/Logging_2184/klagomålsmail/A 13332-2026 FSC-klagomål mail.docx", "A 13332-2026")</f>
        <v/>
      </c>
      <c r="AC60">
        <f>HYPERLINK("https://klasma.github.io/Logging_2184/tillsyn/A 13332-2026 tillsynsbegäran.docx", "A 13332-2026")</f>
        <v/>
      </c>
      <c r="AD60">
        <f>HYPERLINK("https://klasma.github.io/Logging_2184/tillsynsmail/A 13332-2026 tillsynsbegäran mail.docx", "A 13332-2026")</f>
        <v/>
      </c>
    </row>
    <row r="61" ht="15" customHeight="1">
      <c r="A61" t="inlineStr">
        <is>
          <t>A 6241-2026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46055</v>
      </c>
      <c r="E61" s="1" t="n">
        <v>46307</v>
      </c>
      <c r="F61" t="inlineStr">
        <is>
          <t>GÄVLEBORGS LÄN</t>
        </is>
      </c>
      <c r="G61" t="inlineStr">
        <is>
          <t>HUDIKSVALL</t>
        </is>
      </c>
      <c r="I61" t="n">
        <v>3.3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n">
        <v>2</v>
      </c>
      <c r="T61" t="n">
        <v>2</v>
      </c>
      <c r="U61" t="n">
        <v>0</v>
      </c>
      <c r="V61" s="2" t="inlineStr">
        <is>
          <t>Knärot
Platt spretmossa</t>
        </is>
      </c>
      <c r="W61">
        <f>HYPERLINK("https://klasma.github.io/Logging_2184/artfynd/A 6241-2026 artfynd.xlsx", "A 6241-2026")</f>
        <v/>
      </c>
      <c r="X61">
        <f>HYPERLINK("https://klasma.github.io/Logging_2184/kartor/A 6241-2026 karta.png", "A 6241-2026")</f>
        <v/>
      </c>
      <c r="Y61">
        <f>HYPERLINK("https://klasma.github.io/Logging_2184/kartor_geotiff/A 6241-2026 georefererad karta.tif", "A 6241-2026")</f>
        <v/>
      </c>
      <c r="Z61">
        <f>HYPERLINK("https://klasma.github.io/Logging_2184/knärot/A 6241-2026 karta knärot.png", "A 6241-2026")</f>
        <v/>
      </c>
      <c r="AA61">
        <f>HYPERLINK("https://klasma.github.io/Logging_2184/klagomål/A 6241-2026 FSC-klagomål.docx", "A 6241-2026")</f>
        <v/>
      </c>
      <c r="AB61">
        <f>HYPERLINK("https://klasma.github.io/Logging_2184/klagomålsmail/A 6241-2026 FSC-klagomål mail.docx", "A 6241-2026")</f>
        <v/>
      </c>
      <c r="AC61">
        <f>HYPERLINK("https://klasma.github.io/Logging_2184/tillsyn/A 6241-2026 tillsynsbegäran.docx", "A 6241-2026")</f>
        <v/>
      </c>
      <c r="AD61">
        <f>HYPERLINK("https://klasma.github.io/Logging_2184/tillsynsmail/A 6241-2026 tillsynsbegäran mail.docx", "A 6241-2026")</f>
        <v/>
      </c>
    </row>
    <row r="62" ht="15" customHeight="1">
      <c r="A62" t="inlineStr">
        <is>
          <t>A 20884-2026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46142</v>
      </c>
      <c r="E62" s="1" t="n">
        <v>46307</v>
      </c>
      <c r="F62" t="inlineStr">
        <is>
          <t>GÄVLEBORGS LÄN</t>
        </is>
      </c>
      <c r="G62" t="inlineStr">
        <is>
          <t>HUDIKSVALL</t>
        </is>
      </c>
      <c r="H62" t="inlineStr">
        <is>
          <t>Holmen skog AB</t>
        </is>
      </c>
      <c r="I62" t="n">
        <v>0.7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2</v>
      </c>
      <c r="T62" t="n">
        <v>4</v>
      </c>
      <c r="U62" t="n">
        <v>0</v>
      </c>
      <c r="V62" s="2" t="inlineStr">
        <is>
          <t>Knärot
Ullticka</t>
        </is>
      </c>
      <c r="W62">
        <f>HYPERLINK("https://klasma.github.io/Logging_2184/artfynd/A 20884-2026 artfynd.xlsx", "A 20884-2026")</f>
        <v/>
      </c>
      <c r="X62">
        <f>HYPERLINK("https://klasma.github.io/Logging_2184/kartor/A 20884-2026 karta.png", "A 20884-2026")</f>
        <v/>
      </c>
      <c r="Y62">
        <f>HYPERLINK("https://klasma.github.io/Logging_2184/kartor_geotiff/A 20884-2026 georefererad karta.tif", "A 20884-2026")</f>
        <v/>
      </c>
      <c r="Z62">
        <f>HYPERLINK("https://klasma.github.io/Logging_2184/knärot/A 20884-2026 karta knärot.png", "A 20884-2026")</f>
        <v/>
      </c>
      <c r="AA62">
        <f>HYPERLINK("https://klasma.github.io/Logging_2184/klagomål/A 20884-2026 FSC-klagomål.docx", "A 20884-2026")</f>
        <v/>
      </c>
      <c r="AB62">
        <f>HYPERLINK("https://klasma.github.io/Logging_2184/klagomålsmail/A 20884-2026 FSC-klagomål mail.docx", "A 20884-2026")</f>
        <v/>
      </c>
      <c r="AC62">
        <f>HYPERLINK("https://klasma.github.io/Logging_2184/tillsyn/A 20884-2026 tillsynsbegäran.docx", "A 20884-2026")</f>
        <v/>
      </c>
      <c r="AD62">
        <f>HYPERLINK("https://klasma.github.io/Logging_2184/tillsynsmail/A 20884-2026 tillsynsbegäran mail.docx", "A 20884-2026")</f>
        <v/>
      </c>
    </row>
    <row r="63" ht="15" customHeight="1">
      <c r="A63" t="inlineStr">
        <is>
          <t>A 10368-2026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46076</v>
      </c>
      <c r="E63" s="1" t="n">
        <v>46307</v>
      </c>
      <c r="F63" t="inlineStr">
        <is>
          <t>GÄVLEBORGS LÄN</t>
        </is>
      </c>
      <c r="G63" t="inlineStr">
        <is>
          <t>HUDIKSVALL</t>
        </is>
      </c>
      <c r="H63" t="inlineStr">
        <is>
          <t>Holmen skog AB</t>
        </is>
      </c>
      <c r="I63" t="n">
        <v>14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2</v>
      </c>
      <c r="U63" t="n">
        <v>0</v>
      </c>
      <c r="V63" s="2" t="inlineStr">
        <is>
          <t>Spillkråka
Revlummer</t>
        </is>
      </c>
      <c r="W63">
        <f>HYPERLINK("https://klasma.github.io/Logging_2184/artfynd/A 10368-2026 artfynd.xlsx", "A 10368-2026")</f>
        <v/>
      </c>
      <c r="X63">
        <f>HYPERLINK("https://klasma.github.io/Logging_2184/kartor/A 10368-2026 karta.png", "A 10368-2026")</f>
        <v/>
      </c>
      <c r="Y63">
        <f>HYPERLINK("https://klasma.github.io/Logging_2184/kartor_geotiff/A 10368-2026 georefererad karta.tif", "A 10368-2026")</f>
        <v/>
      </c>
      <c r="AA63">
        <f>HYPERLINK("https://klasma.github.io/Logging_2184/klagomål/A 10368-2026 FSC-klagomål.docx", "A 10368-2026")</f>
        <v/>
      </c>
      <c r="AB63">
        <f>HYPERLINK("https://klasma.github.io/Logging_2184/klagomålsmail/A 10368-2026 FSC-klagomål mail.docx", "A 10368-2026")</f>
        <v/>
      </c>
      <c r="AC63">
        <f>HYPERLINK("https://klasma.github.io/Logging_2184/tillsyn/A 10368-2026 tillsynsbegäran.docx", "A 10368-2026")</f>
        <v/>
      </c>
      <c r="AD63">
        <f>HYPERLINK("https://klasma.github.io/Logging_2184/tillsynsmail/A 10368-2026 tillsynsbegäran mail.docx", "A 10368-2026")</f>
        <v/>
      </c>
      <c r="AE63">
        <f>HYPERLINK("https://klasma.github.io/Logging_2184/fåglar/A 10368-2026 prioriterade fågelarter.docx", "A 10368-2026")</f>
        <v/>
      </c>
    </row>
    <row r="64" ht="15" customHeight="1">
      <c r="A64" t="inlineStr">
        <is>
          <t>A 25478-2026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46177</v>
      </c>
      <c r="E64" s="1" t="n">
        <v>46307</v>
      </c>
      <c r="F64" t="inlineStr">
        <is>
          <t>GÄVLEBORGS LÄN</t>
        </is>
      </c>
      <c r="G64" t="inlineStr">
        <is>
          <t>HUDIKSVALL</t>
        </is>
      </c>
      <c r="H64" t="inlineStr">
        <is>
          <t>Holmen skog AB</t>
        </is>
      </c>
      <c r="I64" t="n">
        <v>9.1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2</v>
      </c>
      <c r="U64" t="n">
        <v>0</v>
      </c>
      <c r="V64" s="2" t="inlineStr">
        <is>
          <t>Kambräken
Västlig hakmossa</t>
        </is>
      </c>
      <c r="W64">
        <f>HYPERLINK("https://klasma.github.io/Logging_2184/artfynd/A 25478-2026 artfynd.xlsx", "A 25478-2026")</f>
        <v/>
      </c>
      <c r="X64">
        <f>HYPERLINK("https://klasma.github.io/Logging_2184/kartor/A 25478-2026 karta.png", "A 25478-2026")</f>
        <v/>
      </c>
      <c r="Y64">
        <f>HYPERLINK("https://klasma.github.io/Logging_2184/kartor_geotiff/A 25478-2026 georefererad karta.tif", "A 25478-2026")</f>
        <v/>
      </c>
      <c r="AA64">
        <f>HYPERLINK("https://klasma.github.io/Logging_2184/klagomål/A 25478-2026 FSC-klagomål.docx", "A 25478-2026")</f>
        <v/>
      </c>
      <c r="AB64">
        <f>HYPERLINK("https://klasma.github.io/Logging_2184/klagomålsmail/A 25478-2026 FSC-klagomål mail.docx", "A 25478-2026")</f>
        <v/>
      </c>
      <c r="AC64">
        <f>HYPERLINK("https://klasma.github.io/Logging_2184/tillsyn/A 25478-2026 tillsynsbegäran.docx", "A 25478-2026")</f>
        <v/>
      </c>
      <c r="AD64">
        <f>HYPERLINK("https://klasma.github.io/Logging_2184/tillsynsmail/A 25478-2026 tillsynsbegäran mail.docx", "A 25478-2026")</f>
        <v/>
      </c>
    </row>
    <row r="65" ht="15" customHeight="1">
      <c r="A65" t="inlineStr">
        <is>
          <t>A 9598-2026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46071</v>
      </c>
      <c r="E65" s="1" t="n">
        <v>46307</v>
      </c>
      <c r="F65" t="inlineStr">
        <is>
          <t>GÄVLEBORGS LÄN</t>
        </is>
      </c>
      <c r="G65" t="inlineStr">
        <is>
          <t>HUDIKSVALL</t>
        </is>
      </c>
      <c r="I65" t="n">
        <v>2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s="2" t="inlineStr">
        <is>
          <t>Strutbräken
Tibast</t>
        </is>
      </c>
      <c r="W65">
        <f>HYPERLINK("https://klasma.github.io/Logging_2184/artfynd/A 9598-2026 artfynd.xlsx", "A 9598-2026")</f>
        <v/>
      </c>
      <c r="X65">
        <f>HYPERLINK("https://klasma.github.io/Logging_2184/kartor/A 9598-2026 karta.png", "A 9598-2026")</f>
        <v/>
      </c>
      <c r="Y65">
        <f>HYPERLINK("https://klasma.github.io/Logging_2184/kartor_geotiff/A 9598-2026 georefererad karta.tif", "A 9598-2026")</f>
        <v/>
      </c>
      <c r="AA65">
        <f>HYPERLINK("https://klasma.github.io/Logging_2184/klagomål/A 9598-2026 FSC-klagomål.docx", "A 9598-2026")</f>
        <v/>
      </c>
      <c r="AB65">
        <f>HYPERLINK("https://klasma.github.io/Logging_2184/klagomålsmail/A 9598-2026 FSC-klagomål mail.docx", "A 9598-2026")</f>
        <v/>
      </c>
      <c r="AC65">
        <f>HYPERLINK("https://klasma.github.io/Logging_2184/tillsyn/A 9598-2026 tillsynsbegäran.docx", "A 9598-2026")</f>
        <v/>
      </c>
      <c r="AD65">
        <f>HYPERLINK("https://klasma.github.io/Logging_2184/tillsynsmail/A 9598-2026 tillsynsbegäran mail.docx", "A 9598-2026")</f>
        <v/>
      </c>
    </row>
    <row r="66" ht="15" customHeight="1">
      <c r="A66" t="inlineStr">
        <is>
          <t>A 28066-2026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46195</v>
      </c>
      <c r="E66" s="1" t="n">
        <v>46307</v>
      </c>
      <c r="F66" t="inlineStr">
        <is>
          <t>GÄVLEBORGS LÄN</t>
        </is>
      </c>
      <c r="G66" t="inlineStr">
        <is>
          <t>HUDIKSVALL</t>
        </is>
      </c>
      <c r="H66" t="inlineStr">
        <is>
          <t>Kommuner</t>
        </is>
      </c>
      <c r="I66" t="n">
        <v>4.4</v>
      </c>
      <c r="J66" t="n">
        <v>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2</v>
      </c>
      <c r="T66" t="n">
        <v>3</v>
      </c>
      <c r="U66" t="n">
        <v>0</v>
      </c>
      <c r="V66" s="2" t="inlineStr">
        <is>
          <t>Gulsparv
Grönsiska</t>
        </is>
      </c>
      <c r="W66">
        <f>HYPERLINK("https://klasma.github.io/Logging_2184/artfynd/A 28066-2026 artfynd.xlsx", "A 28066-2026")</f>
        <v/>
      </c>
      <c r="X66">
        <f>HYPERLINK("https://klasma.github.io/Logging_2184/kartor/A 28066-2026 karta.png", "A 28066-2026")</f>
        <v/>
      </c>
      <c r="Y66">
        <f>HYPERLINK("https://klasma.github.io/Logging_2184/kartor_geotiff/A 28066-2026 georefererad karta.tif", "A 28066-2026")</f>
        <v/>
      </c>
      <c r="AA66">
        <f>HYPERLINK("https://klasma.github.io/Logging_2184/klagomål/A 28066-2026 FSC-klagomål.docx", "A 28066-2026")</f>
        <v/>
      </c>
      <c r="AB66">
        <f>HYPERLINK("https://klasma.github.io/Logging_2184/klagomålsmail/A 28066-2026 FSC-klagomål mail.docx", "A 28066-2026")</f>
        <v/>
      </c>
      <c r="AC66">
        <f>HYPERLINK("https://klasma.github.io/Logging_2184/tillsyn/A 28066-2026 tillsynsbegäran.docx", "A 28066-2026")</f>
        <v/>
      </c>
      <c r="AD66">
        <f>HYPERLINK("https://klasma.github.io/Logging_2184/tillsynsmail/A 28066-2026 tillsynsbegäran mail.docx", "A 28066-2026")</f>
        <v/>
      </c>
      <c r="AE66">
        <f>HYPERLINK("https://klasma.github.io/Logging_2184/fåglar/A 28066-2026 prioriterade fågelarter.docx", "A 28066-2026")</f>
        <v/>
      </c>
    </row>
    <row r="67" ht="15" customHeight="1">
      <c r="A67" t="inlineStr">
        <is>
          <t>A 30484-2026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46210</v>
      </c>
      <c r="E67" s="1" t="n">
        <v>46307</v>
      </c>
      <c r="F67" t="inlineStr">
        <is>
          <t>GÄVLEBORGS LÄN</t>
        </is>
      </c>
      <c r="G67" t="inlineStr">
        <is>
          <t>HUDIKSVALL</t>
        </is>
      </c>
      <c r="H67" t="inlineStr">
        <is>
          <t>Holmen skog AB</t>
        </is>
      </c>
      <c r="I67" t="n">
        <v>8.699999999999999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2</v>
      </c>
      <c r="T67" t="n">
        <v>2</v>
      </c>
      <c r="U67" t="n">
        <v>0</v>
      </c>
      <c r="V67" s="2" t="inlineStr">
        <is>
          <t>Ullticka
Vedticka</t>
        </is>
      </c>
      <c r="W67">
        <f>HYPERLINK("https://klasma.github.io/Logging_2184/artfynd/A 30484-2026 artfynd.xlsx", "A 30484-2026")</f>
        <v/>
      </c>
      <c r="X67">
        <f>HYPERLINK("https://klasma.github.io/Logging_2184/kartor/A 30484-2026 karta.png", "A 30484-2026")</f>
        <v/>
      </c>
      <c r="Y67">
        <f>HYPERLINK("https://klasma.github.io/Logging_2184/kartor_geotiff/A 30484-2026 georefererad karta.tif", "A 30484-2026")</f>
        <v/>
      </c>
      <c r="Z67">
        <f>HYPERLINK("https://klasma.github.io/Logging_2184/knärot/A 30484-2026 karta knärot.png", "A 30484-2026")</f>
        <v/>
      </c>
      <c r="AA67">
        <f>HYPERLINK("https://klasma.github.io/Logging_2184/klagomål/A 30484-2026 FSC-klagomål.docx", "A 30484-2026")</f>
        <v/>
      </c>
      <c r="AB67">
        <f>HYPERLINK("https://klasma.github.io/Logging_2184/klagomålsmail/A 30484-2026 FSC-klagomål mail.docx", "A 30484-2026")</f>
        <v/>
      </c>
      <c r="AC67">
        <f>HYPERLINK("https://klasma.github.io/Logging_2184/tillsyn/A 30484-2026 tillsynsbegäran.docx", "A 30484-2026")</f>
        <v/>
      </c>
      <c r="AD67">
        <f>HYPERLINK("https://klasma.github.io/Logging_2184/tillsynsmail/A 30484-2026 tillsynsbegäran mail.docx", "A 30484-2026")</f>
        <v/>
      </c>
    </row>
    <row r="68" ht="15" customHeight="1">
      <c r="A68" t="inlineStr">
        <is>
          <t>A 32046-2026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46233</v>
      </c>
      <c r="E68" s="1" t="n">
        <v>46307</v>
      </c>
      <c r="F68" t="inlineStr">
        <is>
          <t>GÄVLEBORGS LÄN</t>
        </is>
      </c>
      <c r="G68" t="inlineStr">
        <is>
          <t>HUDIKSVALL</t>
        </is>
      </c>
      <c r="I68" t="n">
        <v>1.7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2</v>
      </c>
      <c r="T68" t="n">
        <v>2</v>
      </c>
      <c r="U68" t="n">
        <v>1</v>
      </c>
      <c r="V68" s="2" t="inlineStr">
        <is>
          <t>Dropptaggsvamp
Ullticka</t>
        </is>
      </c>
      <c r="W68">
        <f>HYPERLINK("https://klasma.github.io/Logging_2184/artfynd/A 32046-2026 artfynd.xlsx", "A 32046-2026")</f>
        <v/>
      </c>
      <c r="X68">
        <f>HYPERLINK("https://klasma.github.io/Logging_2184/kartor/A 32046-2026 karta.png", "A 32046-2026")</f>
        <v/>
      </c>
      <c r="Y68">
        <f>HYPERLINK("https://klasma.github.io/Logging_2184/kartor_geotiff/A 32046-2026 georefererad karta.tif", "A 32046-2026")</f>
        <v/>
      </c>
      <c r="AA68">
        <f>HYPERLINK("https://klasma.github.io/Logging_2184/klagomål/A 32046-2026 FSC-klagomål.docx", "A 32046-2026")</f>
        <v/>
      </c>
      <c r="AB68">
        <f>HYPERLINK("https://klasma.github.io/Logging_2184/klagomålsmail/A 32046-2026 FSC-klagomål mail.docx", "A 32046-2026")</f>
        <v/>
      </c>
      <c r="AC68">
        <f>HYPERLINK("https://klasma.github.io/Logging_2184/tillsyn/A 32046-2026 tillsynsbegäran.docx", "A 32046-2026")</f>
        <v/>
      </c>
      <c r="AD68">
        <f>HYPERLINK("https://klasma.github.io/Logging_2184/tillsynsmail/A 32046-2026 tillsynsbegäran mail.docx", "A 32046-2026")</f>
        <v/>
      </c>
    </row>
    <row r="69" ht="15" customHeight="1">
      <c r="A69" t="inlineStr">
        <is>
          <t>A 38232-2026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46281</v>
      </c>
      <c r="E69" s="1" t="n">
        <v>46307</v>
      </c>
      <c r="F69" t="inlineStr">
        <is>
          <t>GÄVLEBORGS LÄN</t>
        </is>
      </c>
      <c r="G69" t="inlineStr">
        <is>
          <t>HUDIKSVALL</t>
        </is>
      </c>
      <c r="I69" t="n">
        <v>0.6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2</v>
      </c>
      <c r="T69" t="n">
        <v>2</v>
      </c>
      <c r="U69" t="n">
        <v>0</v>
      </c>
      <c r="V69" s="2" t="inlineStr">
        <is>
          <t>Ullticka
Stor aspticka</t>
        </is>
      </c>
      <c r="W69">
        <f>HYPERLINK("https://klasma.github.io/Logging_2184/artfynd/A 38232-2026 artfynd.xlsx", "A 38232-2026")</f>
        <v/>
      </c>
      <c r="X69">
        <f>HYPERLINK("https://klasma.github.io/Logging_2184/kartor/A 38232-2026 karta.png", "A 38232-2026")</f>
        <v/>
      </c>
      <c r="Y69">
        <f>HYPERLINK("https://klasma.github.io/Logging_2184/kartor_geotiff/A 38232-2026 georefererad karta.tif", "A 38232-2026")</f>
        <v/>
      </c>
      <c r="AA69">
        <f>HYPERLINK("https://klasma.github.io/Logging_2184/klagomål/A 38232-2026 FSC-klagomål.docx", "A 38232-2026")</f>
        <v/>
      </c>
      <c r="AB69">
        <f>HYPERLINK("https://klasma.github.io/Logging_2184/klagomålsmail/A 38232-2026 FSC-klagomål mail.docx", "A 38232-2026")</f>
        <v/>
      </c>
      <c r="AC69">
        <f>HYPERLINK("https://klasma.github.io/Logging_2184/tillsyn/A 38232-2026 tillsynsbegäran.docx", "A 38232-2026")</f>
        <v/>
      </c>
      <c r="AD69">
        <f>HYPERLINK("https://klasma.github.io/Logging_2184/tillsynsmail/A 38232-2026 tillsynsbegäran mail.docx", "A 38232-2026")</f>
        <v/>
      </c>
    </row>
    <row r="70" ht="15" customHeight="1">
      <c r="A70" t="inlineStr">
        <is>
          <t>S 4018-2023</t>
        </is>
      </c>
      <c r="B70" t="inlineStr">
        <is>
          <t>samrådsanmälan</t>
        </is>
      </c>
      <c r="C70" t="inlineStr">
        <is>
          <t>Skogsgödsling</t>
        </is>
      </c>
      <c r="D70" s="1" t="n">
        <v>45237</v>
      </c>
      <c r="E70" s="1" t="n">
        <v>46307</v>
      </c>
      <c r="F70" t="inlineStr">
        <is>
          <t>GÄVLEBORGS LÄN</t>
        </is>
      </c>
      <c r="G70" t="inlineStr">
        <is>
          <t>HUDIKSVALL</t>
        </is>
      </c>
      <c r="H70" t="inlineStr">
        <is>
          <t>Holmen skog AB</t>
        </is>
      </c>
      <c r="I70" t="n">
        <v>74.59999999999999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2</v>
      </c>
      <c r="V70" s="2" t="inlineStr">
        <is>
          <t>Korallrot
Gullviva</t>
        </is>
      </c>
      <c r="W70">
        <f>HYPERLINK("https://klasma.github.io/Logging_2184/artfynd/S 4018-2023 artfynd.xlsx", "S 4018-2023")</f>
        <v/>
      </c>
      <c r="X70">
        <f>HYPERLINK("https://klasma.github.io/Logging_2184/kartor/S 4018-2023 karta.png", "S 4018-2023")</f>
        <v/>
      </c>
      <c r="Y70">
        <f>HYPERLINK("https://klasma.github.io/Logging_2184/kartor_geotiff/S 4018-2023 georefererad karta.tif", "S 4018-2023")</f>
        <v/>
      </c>
      <c r="AA70">
        <f>HYPERLINK("https://klasma.github.io/Logging_2184/klagomål/S 4018-2023 FSC-klagomål.docx", "S 4018-2023")</f>
        <v/>
      </c>
      <c r="AB70">
        <f>HYPERLINK("https://klasma.github.io/Logging_2184/klagomålsmail/S 4018-2023 FSC-klagomål mail.docx", "S 4018-2023")</f>
        <v/>
      </c>
      <c r="AC70">
        <f>HYPERLINK("https://klasma.github.io/Logging_2184/tillsyn/S 4018-2023 tillsynsbegäran.docx", "S 4018-2023")</f>
        <v/>
      </c>
      <c r="AD70">
        <f>HYPERLINK("https://klasma.github.io/Logging_2184/tillsynsmail/S 4018-2023 tillsynsbegäran mail.docx", "S 4018-2023")</f>
        <v/>
      </c>
    </row>
    <row r="71" ht="15" customHeight="1">
      <c r="A71" t="inlineStr">
        <is>
          <t>S 113-2025</t>
        </is>
      </c>
      <c r="B71" t="inlineStr">
        <is>
          <t>samrådsanmälan</t>
        </is>
      </c>
      <c r="C71" t="inlineStr">
        <is>
          <t>Skogsgödsling</t>
        </is>
      </c>
      <c r="D71" s="1" t="n">
        <v>45670</v>
      </c>
      <c r="E71" s="1" t="n">
        <v>46307</v>
      </c>
      <c r="F71" t="inlineStr">
        <is>
          <t>GÄVLEBORGS LÄN</t>
        </is>
      </c>
      <c r="G71" t="inlineStr">
        <is>
          <t>HUDIKSVALL</t>
        </is>
      </c>
      <c r="I71" t="n">
        <v>39.1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n">
        <v>2</v>
      </c>
      <c r="T71" t="n">
        <v>2</v>
      </c>
      <c r="U71" t="n">
        <v>0</v>
      </c>
      <c r="V71" s="2" t="inlineStr">
        <is>
          <t>Garnlav
Orange taggsvamp</t>
        </is>
      </c>
      <c r="W71">
        <f>HYPERLINK("https://klasma.github.io/Logging_2184/artfynd/S 113-2025 artfynd.xlsx", "S 113-2025")</f>
        <v/>
      </c>
      <c r="X71">
        <f>HYPERLINK("https://klasma.github.io/Logging_2184/kartor/S 113-2025 karta.png", "S 113-2025")</f>
        <v/>
      </c>
      <c r="Y71">
        <f>HYPERLINK("https://klasma.github.io/Logging_2184/kartor_geotiff/S 113-2025 georefererad karta.tif", "S 113-2025")</f>
        <v/>
      </c>
      <c r="AA71">
        <f>HYPERLINK("https://klasma.github.io/Logging_2184/klagomål/S 113-2025 FSC-klagomål.docx", "S 113-2025")</f>
        <v/>
      </c>
      <c r="AB71">
        <f>HYPERLINK("https://klasma.github.io/Logging_2184/klagomålsmail/S 113-2025 FSC-klagomål mail.docx", "S 113-2025")</f>
        <v/>
      </c>
      <c r="AC71">
        <f>HYPERLINK("https://klasma.github.io/Logging_2184/tillsyn/S 113-2025 tillsynsbegäran.docx", "S 113-2025")</f>
        <v/>
      </c>
      <c r="AD71">
        <f>HYPERLINK("https://klasma.github.io/Logging_2184/tillsynsmail/S 113-2025 tillsynsbegäran mail.docx", "S 113-2025")</f>
        <v/>
      </c>
    </row>
    <row r="72" ht="15" customHeight="1">
      <c r="A72" t="inlineStr">
        <is>
          <t>A 72077-2021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44544</v>
      </c>
      <c r="E72" s="1" t="n">
        <v>46307</v>
      </c>
      <c r="F72" t="inlineStr">
        <is>
          <t>GÄVLEBORGS LÄN</t>
        </is>
      </c>
      <c r="G72" t="inlineStr">
        <is>
          <t>HUDIKSVALL</t>
        </is>
      </c>
      <c r="I72" t="n">
        <v>0.5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s="2" t="inlineStr">
        <is>
          <t>Orre</t>
        </is>
      </c>
      <c r="W72">
        <f>HYPERLINK("https://klasma.github.io/Logging_2184/artfynd/A 72077-2021 artfynd.xlsx", "A 72077-2021")</f>
        <v/>
      </c>
      <c r="X72">
        <f>HYPERLINK("https://klasma.github.io/Logging_2184/kartor/A 72077-2021 karta.png", "A 72077-2021")</f>
        <v/>
      </c>
      <c r="Y72">
        <f>HYPERLINK("https://klasma.github.io/Logging_2184/kartor_geotiff/A 72077-2021 georefererad karta.tif", "A 72077-2021")</f>
        <v/>
      </c>
      <c r="AA72">
        <f>HYPERLINK("https://klasma.github.io/Logging_2184/klagomål/A 72077-2021 FSC-klagomål.docx", "A 72077-2021")</f>
        <v/>
      </c>
      <c r="AB72">
        <f>HYPERLINK("https://klasma.github.io/Logging_2184/klagomålsmail/A 72077-2021 FSC-klagomål mail.docx", "A 72077-2021")</f>
        <v/>
      </c>
      <c r="AC72">
        <f>HYPERLINK("https://klasma.github.io/Logging_2184/tillsyn/A 72077-2021 tillsynsbegäran.docx", "A 72077-2021")</f>
        <v/>
      </c>
      <c r="AD72">
        <f>HYPERLINK("https://klasma.github.io/Logging_2184/tillsynsmail/A 72077-2021 tillsynsbegäran mail.docx", "A 72077-2021")</f>
        <v/>
      </c>
      <c r="AE72">
        <f>HYPERLINK("https://klasma.github.io/Logging_2184/fåglar/A 72077-2021 prioriterade fågelarter.docx", "A 72077-2021")</f>
        <v/>
      </c>
    </row>
    <row r="73" ht="15" customHeight="1">
      <c r="A73" t="inlineStr">
        <is>
          <t>A 34345-2022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44792</v>
      </c>
      <c r="E73" s="1" t="n">
        <v>46307</v>
      </c>
      <c r="F73" t="inlineStr">
        <is>
          <t>GÄVLEBORGS LÄN</t>
        </is>
      </c>
      <c r="G73" t="inlineStr">
        <is>
          <t>HUDIKSVALL</t>
        </is>
      </c>
      <c r="H73" t="inlineStr">
        <is>
          <t>Holmen skog AB</t>
        </is>
      </c>
      <c r="I73" t="n">
        <v>4.4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Stuplav</t>
        </is>
      </c>
      <c r="W73">
        <f>HYPERLINK("https://klasma.github.io/Logging_2184/artfynd/A 34345-2022 artfynd.xlsx", "A 34345-2022")</f>
        <v/>
      </c>
      <c r="X73">
        <f>HYPERLINK("https://klasma.github.io/Logging_2184/kartor/A 34345-2022 karta.png", "A 34345-2022")</f>
        <v/>
      </c>
      <c r="Y73">
        <f>HYPERLINK("https://klasma.github.io/Logging_2184/kartor_geotiff/A 34345-2022 georefererad karta.tif", "A 34345-2022")</f>
        <v/>
      </c>
      <c r="AA73">
        <f>HYPERLINK("https://klasma.github.io/Logging_2184/klagomål/A 34345-2022 FSC-klagomål.docx", "A 34345-2022")</f>
        <v/>
      </c>
      <c r="AB73">
        <f>HYPERLINK("https://klasma.github.io/Logging_2184/klagomålsmail/A 34345-2022 FSC-klagomål mail.docx", "A 34345-2022")</f>
        <v/>
      </c>
      <c r="AC73">
        <f>HYPERLINK("https://klasma.github.io/Logging_2184/tillsyn/A 34345-2022 tillsynsbegäran.docx", "A 34345-2022")</f>
        <v/>
      </c>
      <c r="AD73">
        <f>HYPERLINK("https://klasma.github.io/Logging_2184/tillsynsmail/A 34345-2022 tillsynsbegäran mail.docx", "A 34345-2022")</f>
        <v/>
      </c>
    </row>
    <row r="74" ht="15" customHeight="1">
      <c r="A74" t="inlineStr">
        <is>
          <t>A 68162-2021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44526</v>
      </c>
      <c r="E74" s="1" t="n">
        <v>46307</v>
      </c>
      <c r="F74" t="inlineStr">
        <is>
          <t>GÄVLEBORGS LÄN</t>
        </is>
      </c>
      <c r="G74" t="inlineStr">
        <is>
          <t>HUDIKSVALL</t>
        </is>
      </c>
      <c r="I74" t="n">
        <v>1.1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s="2" t="inlineStr">
        <is>
          <t>Större vattensalamander</t>
        </is>
      </c>
      <c r="W74">
        <f>HYPERLINK("https://klasma.github.io/Logging_2184/artfynd/A 68162-2021 artfynd.xlsx", "A 68162-2021")</f>
        <v/>
      </c>
      <c r="X74">
        <f>HYPERLINK("https://klasma.github.io/Logging_2184/kartor/A 68162-2021 karta.png", "A 68162-2021")</f>
        <v/>
      </c>
      <c r="Y74">
        <f>HYPERLINK("https://klasma.github.io/Logging_2184/kartor_geotiff/A 68162-2021 georefererad karta.tif", "A 68162-2021")</f>
        <v/>
      </c>
      <c r="AA74">
        <f>HYPERLINK("https://klasma.github.io/Logging_2184/klagomål/A 68162-2021 FSC-klagomål.docx", "A 68162-2021")</f>
        <v/>
      </c>
      <c r="AB74">
        <f>HYPERLINK("https://klasma.github.io/Logging_2184/klagomålsmail/A 68162-2021 FSC-klagomål mail.docx", "A 68162-2021")</f>
        <v/>
      </c>
      <c r="AC74">
        <f>HYPERLINK("https://klasma.github.io/Logging_2184/tillsyn/A 68162-2021 tillsynsbegäran.docx", "A 68162-2021")</f>
        <v/>
      </c>
      <c r="AD74">
        <f>HYPERLINK("https://klasma.github.io/Logging_2184/tillsynsmail/A 68162-2021 tillsynsbegäran mail.docx", "A 68162-2021")</f>
        <v/>
      </c>
    </row>
    <row r="75" ht="15" customHeight="1">
      <c r="A75" t="inlineStr">
        <is>
          <t>A 71122-2021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44539</v>
      </c>
      <c r="E75" s="1" t="n">
        <v>46307</v>
      </c>
      <c r="F75" t="inlineStr">
        <is>
          <t>GÄVLEBORGS LÄN</t>
        </is>
      </c>
      <c r="G75" t="inlineStr">
        <is>
          <t>HUDIKSVALL</t>
        </is>
      </c>
      <c r="I75" t="n">
        <v>2.6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4</v>
      </c>
      <c r="U75" t="n">
        <v>4</v>
      </c>
      <c r="V75" s="2" t="inlineStr">
        <is>
          <t>Knärot</t>
        </is>
      </c>
      <c r="W75">
        <f>HYPERLINK("https://klasma.github.io/Logging_2184/artfynd/A 71122-2021 artfynd.xlsx", "A 71122-2021")</f>
        <v/>
      </c>
      <c r="X75">
        <f>HYPERLINK("https://klasma.github.io/Logging_2184/kartor/A 71122-2021 karta.png", "A 71122-2021")</f>
        <v/>
      </c>
      <c r="Y75">
        <f>HYPERLINK("https://klasma.github.io/Logging_2184/kartor_geotiff/A 71122-2021 georefererad karta.tif", "A 71122-2021")</f>
        <v/>
      </c>
      <c r="Z75">
        <f>HYPERLINK("https://klasma.github.io/Logging_2184/knärot/A 71122-2021 karta knärot.png", "A 71122-2021")</f>
        <v/>
      </c>
      <c r="AA75">
        <f>HYPERLINK("https://klasma.github.io/Logging_2184/klagomål/A 71122-2021 FSC-klagomål.docx", "A 71122-2021")</f>
        <v/>
      </c>
      <c r="AB75">
        <f>HYPERLINK("https://klasma.github.io/Logging_2184/klagomålsmail/A 71122-2021 FSC-klagomål mail.docx", "A 71122-2021")</f>
        <v/>
      </c>
      <c r="AC75">
        <f>HYPERLINK("https://klasma.github.io/Logging_2184/tillsyn/A 71122-2021 tillsynsbegäran.docx", "A 71122-2021")</f>
        <v/>
      </c>
      <c r="AD75">
        <f>HYPERLINK("https://klasma.github.io/Logging_2184/tillsynsmail/A 71122-2021 tillsynsbegäran mail.docx", "A 71122-2021")</f>
        <v/>
      </c>
    </row>
    <row r="76" ht="15" customHeight="1">
      <c r="A76" t="inlineStr">
        <is>
          <t>A 5711-2024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45334</v>
      </c>
      <c r="E76" s="1" t="n">
        <v>46307</v>
      </c>
      <c r="F76" t="inlineStr">
        <is>
          <t>GÄVLEBORGS LÄN</t>
        </is>
      </c>
      <c r="G76" t="inlineStr">
        <is>
          <t>HUDIKSVALL</t>
        </is>
      </c>
      <c r="H76" t="inlineStr">
        <is>
          <t>Holmen skog AB</t>
        </is>
      </c>
      <c r="I76" t="n">
        <v>14.5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s="2" t="inlineStr">
        <is>
          <t>Revlummer</t>
        </is>
      </c>
      <c r="W76">
        <f>HYPERLINK("https://klasma.github.io/Logging_2184/artfynd/A 5711-2024 artfynd.xlsx", "A 5711-2024")</f>
        <v/>
      </c>
      <c r="X76">
        <f>HYPERLINK("https://klasma.github.io/Logging_2184/kartor/A 5711-2024 karta.png", "A 5711-2024")</f>
        <v/>
      </c>
      <c r="Y76">
        <f>HYPERLINK("https://klasma.github.io/Logging_2184/kartor_geotiff/A 5711-2024 georefererad karta.tif", "A 5711-2024")</f>
        <v/>
      </c>
      <c r="AA76">
        <f>HYPERLINK("https://klasma.github.io/Logging_2184/klagomål/A 5711-2024 FSC-klagomål.docx", "A 5711-2024")</f>
        <v/>
      </c>
      <c r="AB76">
        <f>HYPERLINK("https://klasma.github.io/Logging_2184/klagomålsmail/A 5711-2024 FSC-klagomål mail.docx", "A 5711-2024")</f>
        <v/>
      </c>
      <c r="AC76">
        <f>HYPERLINK("https://klasma.github.io/Logging_2184/tillsyn/A 5711-2024 tillsynsbegäran.docx", "A 5711-2024")</f>
        <v/>
      </c>
      <c r="AD76">
        <f>HYPERLINK("https://klasma.github.io/Logging_2184/tillsynsmail/A 5711-2024 tillsynsbegäran mail.docx", "A 5711-2024")</f>
        <v/>
      </c>
    </row>
    <row r="77" ht="15" customHeight="1">
      <c r="A77" t="inlineStr">
        <is>
          <t>A 6985-2025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45701</v>
      </c>
      <c r="E77" s="1" t="n">
        <v>46307</v>
      </c>
      <c r="F77" t="inlineStr">
        <is>
          <t>GÄVLEBORGS LÄN</t>
        </is>
      </c>
      <c r="G77" t="inlineStr">
        <is>
          <t>HUDIKSVALL</t>
        </is>
      </c>
      <c r="I77" t="n">
        <v>6.7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s="2" t="inlineStr">
        <is>
          <t>Tjäder</t>
        </is>
      </c>
      <c r="W77">
        <f>HYPERLINK("https://klasma.github.io/Logging_2184/artfynd/A 6985-2025 artfynd.xlsx", "A 6985-2025")</f>
        <v/>
      </c>
      <c r="X77">
        <f>HYPERLINK("https://klasma.github.io/Logging_2184/kartor/A 6985-2025 karta.png", "A 6985-2025")</f>
        <v/>
      </c>
      <c r="Y77">
        <f>HYPERLINK("https://klasma.github.io/Logging_2184/kartor_geotiff/A 6985-2025 georefererad karta.tif", "A 6985-2025")</f>
        <v/>
      </c>
      <c r="AA77">
        <f>HYPERLINK("https://klasma.github.io/Logging_2184/klagomål/A 6985-2025 FSC-klagomål.docx", "A 6985-2025")</f>
        <v/>
      </c>
      <c r="AB77">
        <f>HYPERLINK("https://klasma.github.io/Logging_2184/klagomålsmail/A 6985-2025 FSC-klagomål mail.docx", "A 6985-2025")</f>
        <v/>
      </c>
      <c r="AC77">
        <f>HYPERLINK("https://klasma.github.io/Logging_2184/tillsyn/A 6985-2025 tillsynsbegäran.docx", "A 6985-2025")</f>
        <v/>
      </c>
      <c r="AD77">
        <f>HYPERLINK("https://klasma.github.io/Logging_2184/tillsynsmail/A 6985-2025 tillsynsbegäran mail.docx", "A 6985-2025")</f>
        <v/>
      </c>
      <c r="AE77">
        <f>HYPERLINK("https://klasma.github.io/Logging_2184/fåglar/A 6985-2025 prioriterade fågelarter.docx", "A 6985-2025")</f>
        <v/>
      </c>
    </row>
    <row r="78" ht="15" customHeight="1">
      <c r="A78" t="inlineStr">
        <is>
          <t>A 44058-2022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44839</v>
      </c>
      <c r="E78" s="1" t="n">
        <v>46307</v>
      </c>
      <c r="F78" t="inlineStr">
        <is>
          <t>GÄVLEBORGS LÄN</t>
        </is>
      </c>
      <c r="G78" t="inlineStr">
        <is>
          <t>HUDIKSVALL</t>
        </is>
      </c>
      <c r="H78" t="inlineStr">
        <is>
          <t>Holmen skog AB</t>
        </is>
      </c>
      <c r="I78" t="n">
        <v>4.7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s="2" t="inlineStr">
        <is>
          <t>Garnlav</t>
        </is>
      </c>
      <c r="W78">
        <f>HYPERLINK("https://klasma.github.io/Logging_2184/artfynd/A 44058-2022 artfynd.xlsx", "A 44058-2022")</f>
        <v/>
      </c>
      <c r="X78">
        <f>HYPERLINK("https://klasma.github.io/Logging_2184/kartor/A 44058-2022 karta.png", "A 44058-2022")</f>
        <v/>
      </c>
      <c r="Y78">
        <f>HYPERLINK("https://klasma.github.io/Logging_2184/kartor_geotiff/A 44058-2022 georefererad karta.tif", "A 44058-2022")</f>
        <v/>
      </c>
      <c r="AA78">
        <f>HYPERLINK("https://klasma.github.io/Logging_2184/klagomål/A 44058-2022 FSC-klagomål.docx", "A 44058-2022")</f>
        <v/>
      </c>
      <c r="AB78">
        <f>HYPERLINK("https://klasma.github.io/Logging_2184/klagomålsmail/A 44058-2022 FSC-klagomål mail.docx", "A 44058-2022")</f>
        <v/>
      </c>
      <c r="AC78">
        <f>HYPERLINK("https://klasma.github.io/Logging_2184/tillsyn/A 44058-2022 tillsynsbegäran.docx", "A 44058-2022")</f>
        <v/>
      </c>
      <c r="AD78">
        <f>HYPERLINK("https://klasma.github.io/Logging_2184/tillsynsmail/A 44058-2022 tillsynsbegäran mail.docx", "A 44058-2022")</f>
        <v/>
      </c>
    </row>
    <row r="79" ht="15" customHeight="1">
      <c r="A79" t="inlineStr">
        <is>
          <t>A 38496-2025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45884</v>
      </c>
      <c r="E79" s="1" t="n">
        <v>46307</v>
      </c>
      <c r="F79" t="inlineStr">
        <is>
          <t>GÄVLEBORGS LÄN</t>
        </is>
      </c>
      <c r="G79" t="inlineStr">
        <is>
          <t>HUDIKSVALL</t>
        </is>
      </c>
      <c r="I79" t="n">
        <v>42.9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s="2" t="inlineStr">
        <is>
          <t>Vanlig groda</t>
        </is>
      </c>
      <c r="W79">
        <f>HYPERLINK("https://klasma.github.io/Logging_2184/artfynd/A 38496-2025 artfynd.xlsx", "A 38496-2025")</f>
        <v/>
      </c>
      <c r="X79">
        <f>HYPERLINK("https://klasma.github.io/Logging_2184/kartor/A 38496-2025 karta.png", "A 38496-2025")</f>
        <v/>
      </c>
      <c r="Y79">
        <f>HYPERLINK("https://klasma.github.io/Logging_2184/kartor_geotiff/A 38496-2025 georefererad karta.tif", "A 38496-2025")</f>
        <v/>
      </c>
      <c r="AA79">
        <f>HYPERLINK("https://klasma.github.io/Logging_2184/klagomål/A 38496-2025 FSC-klagomål.docx", "A 38496-2025")</f>
        <v/>
      </c>
      <c r="AB79">
        <f>HYPERLINK("https://klasma.github.io/Logging_2184/klagomålsmail/A 38496-2025 FSC-klagomål mail.docx", "A 38496-2025")</f>
        <v/>
      </c>
      <c r="AC79">
        <f>HYPERLINK("https://klasma.github.io/Logging_2184/tillsyn/A 38496-2025 tillsynsbegäran.docx", "A 38496-2025")</f>
        <v/>
      </c>
      <c r="AD79">
        <f>HYPERLINK("https://klasma.github.io/Logging_2184/tillsynsmail/A 38496-2025 tillsynsbegäran mail.docx", "A 38496-2025")</f>
        <v/>
      </c>
    </row>
    <row r="80" ht="15" customHeight="1">
      <c r="A80" t="inlineStr">
        <is>
          <t>A 25145-2024</t>
        </is>
      </c>
      <c r="B80" t="inlineStr">
        <is>
          <t>avverkningsanmälan</t>
        </is>
      </c>
      <c r="C80" t="inlineStr">
        <is>
          <t>Avverkning för att bevara och utveckla /försöksver</t>
        </is>
      </c>
      <c r="D80" s="1" t="n">
        <v>45462</v>
      </c>
      <c r="E80" s="1" t="n">
        <v>46307</v>
      </c>
      <c r="F80" t="inlineStr">
        <is>
          <t>GÄVLEBORGS LÄN</t>
        </is>
      </c>
      <c r="G80" t="inlineStr">
        <is>
          <t>HUDIKSVALL</t>
        </is>
      </c>
      <c r="H80" t="inlineStr">
        <is>
          <t>Sveaskog</t>
        </is>
      </c>
      <c r="I80" t="n">
        <v>2.3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Skogsödla</t>
        </is>
      </c>
      <c r="W80">
        <f>HYPERLINK("https://klasma.github.io/Logging_2184/artfynd/A 25145-2024 artfynd.xlsx", "A 25145-2024")</f>
        <v/>
      </c>
      <c r="X80">
        <f>HYPERLINK("https://klasma.github.io/Logging_2184/kartor/A 25145-2024 karta.png", "A 25145-2024")</f>
        <v/>
      </c>
      <c r="Y80">
        <f>HYPERLINK("https://klasma.github.io/Logging_2184/kartor_geotiff/A 25145-2024 georefererad karta.tif", "A 25145-2024")</f>
        <v/>
      </c>
      <c r="AA80">
        <f>HYPERLINK("https://klasma.github.io/Logging_2184/klagomål/A 25145-2024 FSC-klagomål.docx", "A 25145-2024")</f>
        <v/>
      </c>
      <c r="AB80">
        <f>HYPERLINK("https://klasma.github.io/Logging_2184/klagomålsmail/A 25145-2024 FSC-klagomål mail.docx", "A 25145-2024")</f>
        <v/>
      </c>
      <c r="AC80">
        <f>HYPERLINK("https://klasma.github.io/Logging_2184/tillsyn/A 25145-2024 tillsynsbegäran.docx", "A 25145-2024")</f>
        <v/>
      </c>
      <c r="AD80">
        <f>HYPERLINK("https://klasma.github.io/Logging_2184/tillsynsmail/A 25145-2024 tillsynsbegäran mail.docx", "A 25145-2024")</f>
        <v/>
      </c>
    </row>
    <row r="81" ht="15" customHeight="1">
      <c r="A81" t="inlineStr">
        <is>
          <t>A 2739-2025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45677</v>
      </c>
      <c r="E81" s="1" t="n">
        <v>46307</v>
      </c>
      <c r="F81" t="inlineStr">
        <is>
          <t>GÄVLEBORGS LÄN</t>
        </is>
      </c>
      <c r="G81" t="inlineStr">
        <is>
          <t>HUDIKSVALL</t>
        </is>
      </c>
      <c r="I81" t="n">
        <v>0.7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s="2" t="inlineStr">
        <is>
          <t>Talltita</t>
        </is>
      </c>
      <c r="W81">
        <f>HYPERLINK("https://klasma.github.io/Logging_2184/artfynd/A 2739-2025 artfynd.xlsx", "A 2739-2025")</f>
        <v/>
      </c>
      <c r="X81">
        <f>HYPERLINK("https://klasma.github.io/Logging_2184/kartor/A 2739-2025 karta.png", "A 2739-2025")</f>
        <v/>
      </c>
      <c r="Y81">
        <f>HYPERLINK("https://klasma.github.io/Logging_2184/kartor_geotiff/A 2739-2025 georefererad karta.tif", "A 2739-2025")</f>
        <v/>
      </c>
      <c r="AA81">
        <f>HYPERLINK("https://klasma.github.io/Logging_2184/klagomål/A 2739-2025 FSC-klagomål.docx", "A 2739-2025")</f>
        <v/>
      </c>
      <c r="AB81">
        <f>HYPERLINK("https://klasma.github.io/Logging_2184/klagomålsmail/A 2739-2025 FSC-klagomål mail.docx", "A 2739-2025")</f>
        <v/>
      </c>
      <c r="AC81">
        <f>HYPERLINK("https://klasma.github.io/Logging_2184/tillsyn/A 2739-2025 tillsynsbegäran.docx", "A 2739-2025")</f>
        <v/>
      </c>
      <c r="AD81">
        <f>HYPERLINK("https://klasma.github.io/Logging_2184/tillsynsmail/A 2739-2025 tillsynsbegäran mail.docx", "A 2739-2025")</f>
        <v/>
      </c>
      <c r="AE81">
        <f>HYPERLINK("https://klasma.github.io/Logging_2184/fåglar/A 2739-2025 prioriterade fågelarter.docx", "A 2739-2025")</f>
        <v/>
      </c>
    </row>
    <row r="82" ht="15" customHeight="1">
      <c r="A82" t="inlineStr">
        <is>
          <t>A 41494-2024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45560</v>
      </c>
      <c r="E82" s="1" t="n">
        <v>46307</v>
      </c>
      <c r="F82" t="inlineStr">
        <is>
          <t>GÄVLEBORGS LÄN</t>
        </is>
      </c>
      <c r="G82" t="inlineStr">
        <is>
          <t>HUDIKSVALL</t>
        </is>
      </c>
      <c r="H82" t="inlineStr">
        <is>
          <t>Holmen skog AB</t>
        </is>
      </c>
      <c r="I82" t="n">
        <v>20.9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Lunglav</t>
        </is>
      </c>
      <c r="W82">
        <f>HYPERLINK("https://klasma.github.io/Logging_2184/artfynd/A 41494-2024 artfynd.xlsx", "A 41494-2024")</f>
        <v/>
      </c>
      <c r="X82">
        <f>HYPERLINK("https://klasma.github.io/Logging_2184/kartor/A 41494-2024 karta.png", "A 41494-2024")</f>
        <v/>
      </c>
      <c r="Y82">
        <f>HYPERLINK("https://klasma.github.io/Logging_2184/kartor_geotiff/A 41494-2024 georefererad karta.tif", "A 41494-2024")</f>
        <v/>
      </c>
      <c r="AA82">
        <f>HYPERLINK("https://klasma.github.io/Logging_2184/klagomål/A 41494-2024 FSC-klagomål.docx", "A 41494-2024")</f>
        <v/>
      </c>
      <c r="AB82">
        <f>HYPERLINK("https://klasma.github.io/Logging_2184/klagomålsmail/A 41494-2024 FSC-klagomål mail.docx", "A 41494-2024")</f>
        <v/>
      </c>
      <c r="AC82">
        <f>HYPERLINK("https://klasma.github.io/Logging_2184/tillsyn/A 41494-2024 tillsynsbegäran.docx", "A 41494-2024")</f>
        <v/>
      </c>
      <c r="AD82">
        <f>HYPERLINK("https://klasma.github.io/Logging_2184/tillsynsmail/A 41494-2024 tillsynsbegäran mail.docx", "A 41494-2024")</f>
        <v/>
      </c>
    </row>
    <row r="83" ht="15" customHeight="1">
      <c r="A83" t="inlineStr">
        <is>
          <t>A 19427-2025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45769</v>
      </c>
      <c r="E83" s="1" t="n">
        <v>46307</v>
      </c>
      <c r="F83" t="inlineStr">
        <is>
          <t>GÄVLEBORGS LÄN</t>
        </is>
      </c>
      <c r="G83" t="inlineStr">
        <is>
          <t>HUDIKSVALL</t>
        </is>
      </c>
      <c r="H83" t="inlineStr">
        <is>
          <t>Holmen skog AB</t>
        </is>
      </c>
      <c r="I83" t="n">
        <v>3.1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2</v>
      </c>
      <c r="U83" t="n">
        <v>2</v>
      </c>
      <c r="V83" s="2" t="inlineStr">
        <is>
          <t>Garnlav</t>
        </is>
      </c>
      <c r="W83">
        <f>HYPERLINK("https://klasma.github.io/Logging_2184/artfynd/A 19427-2025 artfynd.xlsx", "A 19427-2025")</f>
        <v/>
      </c>
      <c r="X83">
        <f>HYPERLINK("https://klasma.github.io/Logging_2184/kartor/A 19427-2025 karta.png", "A 19427-2025")</f>
        <v/>
      </c>
      <c r="Y83">
        <f>HYPERLINK("https://klasma.github.io/Logging_2184/kartor_geotiff/A 19427-2025 georefererad karta.tif", "A 19427-2025")</f>
        <v/>
      </c>
      <c r="AA83">
        <f>HYPERLINK("https://klasma.github.io/Logging_2184/klagomål/A 19427-2025 FSC-klagomål.docx", "A 19427-2025")</f>
        <v/>
      </c>
      <c r="AB83">
        <f>HYPERLINK("https://klasma.github.io/Logging_2184/klagomålsmail/A 19427-2025 FSC-klagomål mail.docx", "A 19427-2025")</f>
        <v/>
      </c>
      <c r="AC83">
        <f>HYPERLINK("https://klasma.github.io/Logging_2184/tillsyn/A 19427-2025 tillsynsbegäran.docx", "A 19427-2025")</f>
        <v/>
      </c>
      <c r="AD83">
        <f>HYPERLINK("https://klasma.github.io/Logging_2184/tillsynsmail/A 19427-2025 tillsynsbegäran mail.docx", "A 19427-2025")</f>
        <v/>
      </c>
    </row>
    <row r="84" ht="15" customHeight="1">
      <c r="A84" t="inlineStr">
        <is>
          <t>A 53015-2024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45611</v>
      </c>
      <c r="E84" s="1" t="n">
        <v>46307</v>
      </c>
      <c r="F84" t="inlineStr">
        <is>
          <t>GÄVLEBORGS LÄN</t>
        </is>
      </c>
      <c r="G84" t="inlineStr">
        <is>
          <t>HUDIKSVALL</t>
        </is>
      </c>
      <c r="I84" t="n">
        <v>21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s="2" t="inlineStr">
        <is>
          <t>Stuplav</t>
        </is>
      </c>
      <c r="W84">
        <f>HYPERLINK("https://klasma.github.io/Logging_2184/artfynd/A 53015-2024 artfynd.xlsx", "A 53015-2024")</f>
        <v/>
      </c>
      <c r="X84">
        <f>HYPERLINK("https://klasma.github.io/Logging_2184/kartor/A 53015-2024 karta.png", "A 53015-2024")</f>
        <v/>
      </c>
      <c r="Y84">
        <f>HYPERLINK("https://klasma.github.io/Logging_2184/kartor_geotiff/A 53015-2024 georefererad karta.tif", "A 53015-2024")</f>
        <v/>
      </c>
      <c r="AA84">
        <f>HYPERLINK("https://klasma.github.io/Logging_2184/klagomål/A 53015-2024 FSC-klagomål.docx", "A 53015-2024")</f>
        <v/>
      </c>
      <c r="AB84">
        <f>HYPERLINK("https://klasma.github.io/Logging_2184/klagomålsmail/A 53015-2024 FSC-klagomål mail.docx", "A 53015-2024")</f>
        <v/>
      </c>
      <c r="AC84">
        <f>HYPERLINK("https://klasma.github.io/Logging_2184/tillsyn/A 53015-2024 tillsynsbegäran.docx", "A 53015-2024")</f>
        <v/>
      </c>
      <c r="AD84">
        <f>HYPERLINK("https://klasma.github.io/Logging_2184/tillsynsmail/A 53015-2024 tillsynsbegäran mail.docx", "A 53015-2024")</f>
        <v/>
      </c>
    </row>
    <row r="85" ht="15" customHeight="1">
      <c r="A85" t="inlineStr">
        <is>
          <t>A 58239-2024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45632</v>
      </c>
      <c r="E85" s="1" t="n">
        <v>46307</v>
      </c>
      <c r="F85" t="inlineStr">
        <is>
          <t>GÄVLEBORGS LÄN</t>
        </is>
      </c>
      <c r="G85" t="inlineStr">
        <is>
          <t>HUDIKSVALL</t>
        </is>
      </c>
      <c r="H85" t="inlineStr">
        <is>
          <t>Holmen skog AB</t>
        </is>
      </c>
      <c r="I85" t="n">
        <v>4.3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s="2" t="inlineStr">
        <is>
          <t>Kungsörn</t>
        </is>
      </c>
      <c r="W85">
        <f>HYPERLINK("https://klasma.github.io/Logging_2184/artfynd/A 58239-2024 artfynd.xlsx", "A 58239-2024")</f>
        <v/>
      </c>
      <c r="X85">
        <f>HYPERLINK("https://klasma.github.io/Logging_2184/kartor/A 58239-2024 karta.png", "A 58239-2024")</f>
        <v/>
      </c>
      <c r="Y85">
        <f>HYPERLINK("https://klasma.github.io/Logging_2184/kartor_geotiff/A 58239-2024 georefererad karta.tif", "A 58239-2024")</f>
        <v/>
      </c>
      <c r="AA85">
        <f>HYPERLINK("https://klasma.github.io/Logging_2184/klagomål/A 58239-2024 FSC-klagomål.docx", "A 58239-2024")</f>
        <v/>
      </c>
      <c r="AB85">
        <f>HYPERLINK("https://klasma.github.io/Logging_2184/klagomålsmail/A 58239-2024 FSC-klagomål mail.docx", "A 58239-2024")</f>
        <v/>
      </c>
      <c r="AC85">
        <f>HYPERLINK("https://klasma.github.io/Logging_2184/tillsyn/A 58239-2024 tillsynsbegäran.docx", "A 58239-2024")</f>
        <v/>
      </c>
      <c r="AD85">
        <f>HYPERLINK("https://klasma.github.io/Logging_2184/tillsynsmail/A 58239-2024 tillsynsbegäran mail.docx", "A 58239-2024")</f>
        <v/>
      </c>
      <c r="AE85">
        <f>HYPERLINK("https://klasma.github.io/Logging_2184/fåglar/A 58239-2024 prioriterade fågelarter.docx", "A 58239-2024")</f>
        <v/>
      </c>
    </row>
    <row r="86" ht="15" customHeight="1">
      <c r="A86" t="inlineStr">
        <is>
          <t>A 42355-2025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45904</v>
      </c>
      <c r="E86" s="1" t="n">
        <v>46307</v>
      </c>
      <c r="F86" t="inlineStr">
        <is>
          <t>GÄVLEBORGS LÄN</t>
        </is>
      </c>
      <c r="G86" t="inlineStr">
        <is>
          <t>HUDIKSVALL</t>
        </is>
      </c>
      <c r="I86" t="n">
        <v>1.3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s="2" t="inlineStr">
        <is>
          <t>Knärot</t>
        </is>
      </c>
      <c r="W86">
        <f>HYPERLINK("https://klasma.github.io/Logging_2184/artfynd/A 42355-2025 artfynd.xlsx", "A 42355-2025")</f>
        <v/>
      </c>
      <c r="X86">
        <f>HYPERLINK("https://klasma.github.io/Logging_2184/kartor/A 42355-2025 karta.png", "A 42355-2025")</f>
        <v/>
      </c>
      <c r="Y86">
        <f>HYPERLINK("https://klasma.github.io/Logging_2184/kartor_geotiff/A 42355-2025 georefererad karta.tif", "A 42355-2025")</f>
        <v/>
      </c>
      <c r="Z86">
        <f>HYPERLINK("https://klasma.github.io/Logging_2184/knärot/A 42355-2025 karta knärot.png", "A 42355-2025")</f>
        <v/>
      </c>
      <c r="AA86">
        <f>HYPERLINK("https://klasma.github.io/Logging_2184/klagomål/A 42355-2025 FSC-klagomål.docx", "A 42355-2025")</f>
        <v/>
      </c>
      <c r="AB86">
        <f>HYPERLINK("https://klasma.github.io/Logging_2184/klagomålsmail/A 42355-2025 FSC-klagomål mail.docx", "A 42355-2025")</f>
        <v/>
      </c>
      <c r="AC86">
        <f>HYPERLINK("https://klasma.github.io/Logging_2184/tillsyn/A 42355-2025 tillsynsbegäran.docx", "A 42355-2025")</f>
        <v/>
      </c>
      <c r="AD86">
        <f>HYPERLINK("https://klasma.github.io/Logging_2184/tillsynsmail/A 42355-2025 tillsynsbegäran mail.docx", "A 42355-2025")</f>
        <v/>
      </c>
    </row>
    <row r="87" ht="15" customHeight="1">
      <c r="A87" t="inlineStr">
        <is>
          <t>A 55445-2024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45622</v>
      </c>
      <c r="E87" s="1" t="n">
        <v>46307</v>
      </c>
      <c r="F87" t="inlineStr">
        <is>
          <t>GÄVLEBORGS LÄN</t>
        </is>
      </c>
      <c r="G87" t="inlineStr">
        <is>
          <t>HUDIKSVALL</t>
        </is>
      </c>
      <c r="I87" t="n">
        <v>7.2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Spädstarr</t>
        </is>
      </c>
      <c r="W87">
        <f>HYPERLINK("https://klasma.github.io/Logging_2184/artfynd/A 55445-2024 artfynd.xlsx", "A 55445-2024")</f>
        <v/>
      </c>
      <c r="X87">
        <f>HYPERLINK("https://klasma.github.io/Logging_2184/kartor/A 55445-2024 karta.png", "A 55445-2024")</f>
        <v/>
      </c>
      <c r="Y87">
        <f>HYPERLINK("https://klasma.github.io/Logging_2184/kartor_geotiff/A 55445-2024 georefererad karta.tif", "A 55445-2024")</f>
        <v/>
      </c>
      <c r="AA87">
        <f>HYPERLINK("https://klasma.github.io/Logging_2184/klagomål/A 55445-2024 FSC-klagomål.docx", "A 55445-2024")</f>
        <v/>
      </c>
      <c r="AB87">
        <f>HYPERLINK("https://klasma.github.io/Logging_2184/klagomålsmail/A 55445-2024 FSC-klagomål mail.docx", "A 55445-2024")</f>
        <v/>
      </c>
      <c r="AC87">
        <f>HYPERLINK("https://klasma.github.io/Logging_2184/tillsyn/A 55445-2024 tillsynsbegäran.docx", "A 55445-2024")</f>
        <v/>
      </c>
      <c r="AD87">
        <f>HYPERLINK("https://klasma.github.io/Logging_2184/tillsynsmail/A 55445-2024 tillsynsbegäran mail.docx", "A 55445-2024")</f>
        <v/>
      </c>
    </row>
    <row r="88" ht="15" customHeight="1">
      <c r="A88" t="inlineStr">
        <is>
          <t>A 47116-2024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45586</v>
      </c>
      <c r="E88" s="1" t="n">
        <v>46307</v>
      </c>
      <c r="F88" t="inlineStr">
        <is>
          <t>GÄVLEBORGS LÄN</t>
        </is>
      </c>
      <c r="G88" t="inlineStr">
        <is>
          <t>HUDIKSVALL</t>
        </is>
      </c>
      <c r="H88" t="inlineStr">
        <is>
          <t>Holmen skog AB</t>
        </is>
      </c>
      <c r="I88" t="n">
        <v>0.6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Mörk husmossa</t>
        </is>
      </c>
      <c r="W88">
        <f>HYPERLINK("https://klasma.github.io/Logging_2184/artfynd/A 47116-2024 artfynd.xlsx", "A 47116-2024")</f>
        <v/>
      </c>
      <c r="X88">
        <f>HYPERLINK("https://klasma.github.io/Logging_2184/kartor/A 47116-2024 karta.png", "A 47116-2024")</f>
        <v/>
      </c>
      <c r="Y88">
        <f>HYPERLINK("https://klasma.github.io/Logging_2184/kartor_geotiff/A 47116-2024 georefererad karta.tif", "A 47116-2024")</f>
        <v/>
      </c>
      <c r="AA88">
        <f>HYPERLINK("https://klasma.github.io/Logging_2184/klagomål/A 47116-2024 FSC-klagomål.docx", "A 47116-2024")</f>
        <v/>
      </c>
      <c r="AB88">
        <f>HYPERLINK("https://klasma.github.io/Logging_2184/klagomålsmail/A 47116-2024 FSC-klagomål mail.docx", "A 47116-2024")</f>
        <v/>
      </c>
      <c r="AC88">
        <f>HYPERLINK("https://klasma.github.io/Logging_2184/tillsyn/A 47116-2024 tillsynsbegäran.docx", "A 47116-2024")</f>
        <v/>
      </c>
      <c r="AD88">
        <f>HYPERLINK("https://klasma.github.io/Logging_2184/tillsynsmail/A 47116-2024 tillsynsbegäran mail.docx", "A 47116-2024")</f>
        <v/>
      </c>
    </row>
    <row r="89" ht="15" customHeight="1">
      <c r="A89" t="inlineStr">
        <is>
          <t>A 22131-2025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45785</v>
      </c>
      <c r="E89" s="1" t="n">
        <v>46307</v>
      </c>
      <c r="F89" t="inlineStr">
        <is>
          <t>GÄVLEBORGS LÄN</t>
        </is>
      </c>
      <c r="G89" t="inlineStr">
        <is>
          <t>HUDIKSVALL</t>
        </is>
      </c>
      <c r="I89" t="n">
        <v>6.6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s="2" t="inlineStr">
        <is>
          <t>Knärot</t>
        </is>
      </c>
      <c r="W89">
        <f>HYPERLINK("https://klasma.github.io/Logging_2184/artfynd/A 22131-2025 artfynd.xlsx", "A 22131-2025")</f>
        <v/>
      </c>
      <c r="X89">
        <f>HYPERLINK("https://klasma.github.io/Logging_2184/kartor/A 22131-2025 karta.png", "A 22131-2025")</f>
        <v/>
      </c>
      <c r="Y89">
        <f>HYPERLINK("https://klasma.github.io/Logging_2184/kartor_geotiff/A 22131-2025 georefererad karta.tif", "A 22131-2025")</f>
        <v/>
      </c>
      <c r="Z89">
        <f>HYPERLINK("https://klasma.github.io/Logging_2184/knärot/A 22131-2025 karta knärot.png", "A 22131-2025")</f>
        <v/>
      </c>
      <c r="AA89">
        <f>HYPERLINK("https://klasma.github.io/Logging_2184/klagomål/A 22131-2025 FSC-klagomål.docx", "A 22131-2025")</f>
        <v/>
      </c>
      <c r="AB89">
        <f>HYPERLINK("https://klasma.github.io/Logging_2184/klagomålsmail/A 22131-2025 FSC-klagomål mail.docx", "A 22131-2025")</f>
        <v/>
      </c>
      <c r="AC89">
        <f>HYPERLINK("https://klasma.github.io/Logging_2184/tillsyn/A 22131-2025 tillsynsbegäran.docx", "A 22131-2025")</f>
        <v/>
      </c>
      <c r="AD89">
        <f>HYPERLINK("https://klasma.github.io/Logging_2184/tillsynsmail/A 22131-2025 tillsynsbegäran mail.docx", "A 22131-2025")</f>
        <v/>
      </c>
    </row>
    <row r="90" ht="15" customHeight="1">
      <c r="A90" t="inlineStr">
        <is>
          <t>A 22859-2025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45790</v>
      </c>
      <c r="E90" s="1" t="n">
        <v>46307</v>
      </c>
      <c r="F90" t="inlineStr">
        <is>
          <t>GÄVLEBORGS LÄN</t>
        </is>
      </c>
      <c r="G90" t="inlineStr">
        <is>
          <t>HUDIKSVALL</t>
        </is>
      </c>
      <c r="H90" t="inlineStr">
        <is>
          <t>Holmen skog AB</t>
        </is>
      </c>
      <c r="I90" t="n">
        <v>14.7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s="2" t="inlineStr">
        <is>
          <t>Knärot</t>
        </is>
      </c>
      <c r="W90">
        <f>HYPERLINK("https://klasma.github.io/Logging_2184/artfynd/A 22859-2025 artfynd.xlsx", "A 22859-2025")</f>
        <v/>
      </c>
      <c r="X90">
        <f>HYPERLINK("https://klasma.github.io/Logging_2184/kartor/A 22859-2025 karta.png", "A 22859-2025")</f>
        <v/>
      </c>
      <c r="Y90">
        <f>HYPERLINK("https://klasma.github.io/Logging_2184/kartor_geotiff/A 22859-2025 georefererad karta.tif", "A 22859-2025")</f>
        <v/>
      </c>
      <c r="Z90">
        <f>HYPERLINK("https://klasma.github.io/Logging_2184/knärot/A 22859-2025 karta knärot.png", "A 22859-2025")</f>
        <v/>
      </c>
      <c r="AA90">
        <f>HYPERLINK("https://klasma.github.io/Logging_2184/klagomål/A 22859-2025 FSC-klagomål.docx", "A 22859-2025")</f>
        <v/>
      </c>
      <c r="AB90">
        <f>HYPERLINK("https://klasma.github.io/Logging_2184/klagomålsmail/A 22859-2025 FSC-klagomål mail.docx", "A 22859-2025")</f>
        <v/>
      </c>
      <c r="AC90">
        <f>HYPERLINK("https://klasma.github.io/Logging_2184/tillsyn/A 22859-2025 tillsynsbegäran.docx", "A 22859-2025")</f>
        <v/>
      </c>
      <c r="AD90">
        <f>HYPERLINK("https://klasma.github.io/Logging_2184/tillsynsmail/A 22859-2025 tillsynsbegäran mail.docx", "A 22859-2025")</f>
        <v/>
      </c>
    </row>
    <row r="91" ht="15" customHeight="1">
      <c r="A91" t="inlineStr">
        <is>
          <t>A 23732-2025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45793</v>
      </c>
      <c r="E91" s="1" t="n">
        <v>46307</v>
      </c>
      <c r="F91" t="inlineStr">
        <is>
          <t>GÄVLEBORGS LÄN</t>
        </is>
      </c>
      <c r="G91" t="inlineStr">
        <is>
          <t>HUDIKSVALL</t>
        </is>
      </c>
      <c r="H91" t="inlineStr">
        <is>
          <t>Sveaskog</t>
        </is>
      </c>
      <c r="I91" t="n">
        <v>11.9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s="2" t="inlineStr">
        <is>
          <t>Tibast</t>
        </is>
      </c>
      <c r="W91">
        <f>HYPERLINK("https://klasma.github.io/Logging_2184/artfynd/A 23732-2025 artfynd.xlsx", "A 23732-2025")</f>
        <v/>
      </c>
      <c r="X91">
        <f>HYPERLINK("https://klasma.github.io/Logging_2184/kartor/A 23732-2025 karta.png", "A 23732-2025")</f>
        <v/>
      </c>
      <c r="Y91">
        <f>HYPERLINK("https://klasma.github.io/Logging_2184/kartor_geotiff/A 23732-2025 georefererad karta.tif", "A 23732-2025")</f>
        <v/>
      </c>
      <c r="AA91">
        <f>HYPERLINK("https://klasma.github.io/Logging_2184/klagomål/A 23732-2025 FSC-klagomål.docx", "A 23732-2025")</f>
        <v/>
      </c>
      <c r="AB91">
        <f>HYPERLINK("https://klasma.github.io/Logging_2184/klagomålsmail/A 23732-2025 FSC-klagomål mail.docx", "A 23732-2025")</f>
        <v/>
      </c>
      <c r="AC91">
        <f>HYPERLINK("https://klasma.github.io/Logging_2184/tillsyn/A 23732-2025 tillsynsbegäran.docx", "A 23732-2025")</f>
        <v/>
      </c>
      <c r="AD91">
        <f>HYPERLINK("https://klasma.github.io/Logging_2184/tillsynsmail/A 23732-2025 tillsynsbegäran mail.docx", "A 23732-2025")</f>
        <v/>
      </c>
    </row>
    <row r="92" ht="15" customHeight="1">
      <c r="A92" t="inlineStr">
        <is>
          <t>A 8051-2024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45351</v>
      </c>
      <c r="E92" s="1" t="n">
        <v>46307</v>
      </c>
      <c r="F92" t="inlineStr">
        <is>
          <t>GÄVLEBORGS LÄN</t>
        </is>
      </c>
      <c r="G92" t="inlineStr">
        <is>
          <t>HUDIKSVALL</t>
        </is>
      </c>
      <c r="H92" t="inlineStr">
        <is>
          <t>Holmen skog AB</t>
        </is>
      </c>
      <c r="I92" t="n">
        <v>12.9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s="2" t="inlineStr">
        <is>
          <t>Bronshjon</t>
        </is>
      </c>
      <c r="W92">
        <f>HYPERLINK("https://klasma.github.io/Logging_2184/artfynd/A 8051-2024 artfynd.xlsx", "A 8051-2024")</f>
        <v/>
      </c>
      <c r="X92">
        <f>HYPERLINK("https://klasma.github.io/Logging_2184/kartor/A 8051-2024 karta.png", "A 8051-2024")</f>
        <v/>
      </c>
      <c r="Y92">
        <f>HYPERLINK("https://klasma.github.io/Logging_2184/kartor_geotiff/A 8051-2024 georefererad karta.tif", "A 8051-2024")</f>
        <v/>
      </c>
      <c r="AA92">
        <f>HYPERLINK("https://klasma.github.io/Logging_2184/klagomål/A 8051-2024 FSC-klagomål.docx", "A 8051-2024")</f>
        <v/>
      </c>
      <c r="AB92">
        <f>HYPERLINK("https://klasma.github.io/Logging_2184/klagomålsmail/A 8051-2024 FSC-klagomål mail.docx", "A 8051-2024")</f>
        <v/>
      </c>
      <c r="AC92">
        <f>HYPERLINK("https://klasma.github.io/Logging_2184/tillsyn/A 8051-2024 tillsynsbegäran.docx", "A 8051-2024")</f>
        <v/>
      </c>
      <c r="AD92">
        <f>HYPERLINK("https://klasma.github.io/Logging_2184/tillsynsmail/A 8051-2024 tillsynsbegäran mail.docx", "A 8051-2024")</f>
        <v/>
      </c>
    </row>
    <row r="93" ht="15" customHeight="1">
      <c r="A93" t="inlineStr">
        <is>
          <t>A 25784-2025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45804</v>
      </c>
      <c r="E93" s="1" t="n">
        <v>46307</v>
      </c>
      <c r="F93" t="inlineStr">
        <is>
          <t>GÄVLEBORGS LÄN</t>
        </is>
      </c>
      <c r="G93" t="inlineStr">
        <is>
          <t>HUDIKSVALL</t>
        </is>
      </c>
      <c r="H93" t="inlineStr">
        <is>
          <t>Holmen skog AB</t>
        </is>
      </c>
      <c r="I93" t="n">
        <v>18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s="2" t="inlineStr">
        <is>
          <t>Garnlav</t>
        </is>
      </c>
      <c r="W93">
        <f>HYPERLINK("https://klasma.github.io/Logging_2184/artfynd/A 25784-2025 artfynd.xlsx", "A 25784-2025")</f>
        <v/>
      </c>
      <c r="X93">
        <f>HYPERLINK("https://klasma.github.io/Logging_2184/kartor/A 25784-2025 karta.png", "A 25784-2025")</f>
        <v/>
      </c>
      <c r="Y93">
        <f>HYPERLINK("https://klasma.github.io/Logging_2184/kartor_geotiff/A 25784-2025 georefererad karta.tif", "A 25784-2025")</f>
        <v/>
      </c>
      <c r="AA93">
        <f>HYPERLINK("https://klasma.github.io/Logging_2184/klagomål/A 25784-2025 FSC-klagomål.docx", "A 25784-2025")</f>
        <v/>
      </c>
      <c r="AB93">
        <f>HYPERLINK("https://klasma.github.io/Logging_2184/klagomålsmail/A 25784-2025 FSC-klagomål mail.docx", "A 25784-2025")</f>
        <v/>
      </c>
      <c r="AC93">
        <f>HYPERLINK("https://klasma.github.io/Logging_2184/tillsyn/A 25784-2025 tillsynsbegäran.docx", "A 25784-2025")</f>
        <v/>
      </c>
      <c r="AD93">
        <f>HYPERLINK("https://klasma.github.io/Logging_2184/tillsynsmail/A 25784-2025 tillsynsbegäran mail.docx", "A 25784-2025")</f>
        <v/>
      </c>
    </row>
    <row r="94" ht="15" customHeight="1">
      <c r="A94" t="inlineStr">
        <is>
          <t>A 25828-2025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45804</v>
      </c>
      <c r="E94" s="1" t="n">
        <v>46307</v>
      </c>
      <c r="F94" t="inlineStr">
        <is>
          <t>GÄVLEBORGS LÄN</t>
        </is>
      </c>
      <c r="G94" t="inlineStr">
        <is>
          <t>HUDIKSVALL</t>
        </is>
      </c>
      <c r="H94" t="inlineStr">
        <is>
          <t>Holmen skog AB</t>
        </is>
      </c>
      <c r="I94" t="n">
        <v>7.3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s="2" t="inlineStr">
        <is>
          <t>Nattviol</t>
        </is>
      </c>
      <c r="W94">
        <f>HYPERLINK("https://klasma.github.io/Logging_2184/artfynd/A 25828-2025 artfynd.xlsx", "A 25828-2025")</f>
        <v/>
      </c>
      <c r="X94">
        <f>HYPERLINK("https://klasma.github.io/Logging_2184/kartor/A 25828-2025 karta.png", "A 25828-2025")</f>
        <v/>
      </c>
      <c r="Y94">
        <f>HYPERLINK("https://klasma.github.io/Logging_2184/kartor_geotiff/A 25828-2025 georefererad karta.tif", "A 25828-2025")</f>
        <v/>
      </c>
      <c r="AA94">
        <f>HYPERLINK("https://klasma.github.io/Logging_2184/klagomål/A 25828-2025 FSC-klagomål.docx", "A 25828-2025")</f>
        <v/>
      </c>
      <c r="AB94">
        <f>HYPERLINK("https://klasma.github.io/Logging_2184/klagomålsmail/A 25828-2025 FSC-klagomål mail.docx", "A 25828-2025")</f>
        <v/>
      </c>
      <c r="AC94">
        <f>HYPERLINK("https://klasma.github.io/Logging_2184/tillsyn/A 25828-2025 tillsynsbegäran.docx", "A 25828-2025")</f>
        <v/>
      </c>
      <c r="AD94">
        <f>HYPERLINK("https://klasma.github.io/Logging_2184/tillsynsmail/A 25828-2025 tillsynsbegäran mail.docx", "A 25828-2025")</f>
        <v/>
      </c>
    </row>
    <row r="95" ht="15" customHeight="1">
      <c r="A95" t="inlineStr">
        <is>
          <t>A 5977-2025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45695</v>
      </c>
      <c r="E95" s="1" t="n">
        <v>46307</v>
      </c>
      <c r="F95" t="inlineStr">
        <is>
          <t>GÄVLEBORGS LÄN</t>
        </is>
      </c>
      <c r="G95" t="inlineStr">
        <is>
          <t>HUDIKSVALL</t>
        </is>
      </c>
      <c r="I95" t="n">
        <v>4.9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s="2" t="inlineStr">
        <is>
          <t>Jorduggla</t>
        </is>
      </c>
      <c r="W95">
        <f>HYPERLINK("https://klasma.github.io/Logging_2184/artfynd/A 5977-2025 artfynd.xlsx", "A 5977-2025")</f>
        <v/>
      </c>
      <c r="X95">
        <f>HYPERLINK("https://klasma.github.io/Logging_2184/kartor/A 5977-2025 karta.png", "A 5977-2025")</f>
        <v/>
      </c>
      <c r="Y95">
        <f>HYPERLINK("https://klasma.github.io/Logging_2184/kartor_geotiff/A 5977-2025 georefererad karta.tif", "A 5977-2025")</f>
        <v/>
      </c>
      <c r="AA95">
        <f>HYPERLINK("https://klasma.github.io/Logging_2184/klagomål/A 5977-2025 FSC-klagomål.docx", "A 5977-2025")</f>
        <v/>
      </c>
      <c r="AB95">
        <f>HYPERLINK("https://klasma.github.io/Logging_2184/klagomålsmail/A 5977-2025 FSC-klagomål mail.docx", "A 5977-2025")</f>
        <v/>
      </c>
      <c r="AC95">
        <f>HYPERLINK("https://klasma.github.io/Logging_2184/tillsyn/A 5977-2025 tillsynsbegäran.docx", "A 5977-2025")</f>
        <v/>
      </c>
      <c r="AD95">
        <f>HYPERLINK("https://klasma.github.io/Logging_2184/tillsynsmail/A 5977-2025 tillsynsbegäran mail.docx", "A 5977-2025")</f>
        <v/>
      </c>
      <c r="AE95">
        <f>HYPERLINK("https://klasma.github.io/Logging_2184/fåglar/A 5977-2025 prioriterade fågelarter.docx", "A 5977-2025")</f>
        <v/>
      </c>
    </row>
    <row r="96" ht="15" customHeight="1">
      <c r="A96" t="inlineStr">
        <is>
          <t>A 5983-2025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45695</v>
      </c>
      <c r="E96" s="1" t="n">
        <v>46307</v>
      </c>
      <c r="F96" t="inlineStr">
        <is>
          <t>GÄVLEBORGS LÄN</t>
        </is>
      </c>
      <c r="G96" t="inlineStr">
        <is>
          <t>HUDIKSVALL</t>
        </is>
      </c>
      <c r="I96" t="n">
        <v>3.9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Jorduggla</t>
        </is>
      </c>
      <c r="W96">
        <f>HYPERLINK("https://klasma.github.io/Logging_2184/artfynd/A 5983-2025 artfynd.xlsx", "A 5983-2025")</f>
        <v/>
      </c>
      <c r="X96">
        <f>HYPERLINK("https://klasma.github.io/Logging_2184/kartor/A 5983-2025 karta.png", "A 5983-2025")</f>
        <v/>
      </c>
      <c r="Y96">
        <f>HYPERLINK("https://klasma.github.io/Logging_2184/kartor_geotiff/A 5983-2025 georefererad karta.tif", "A 5983-2025")</f>
        <v/>
      </c>
      <c r="AA96">
        <f>HYPERLINK("https://klasma.github.io/Logging_2184/klagomål/A 5983-2025 FSC-klagomål.docx", "A 5983-2025")</f>
        <v/>
      </c>
      <c r="AB96">
        <f>HYPERLINK("https://klasma.github.io/Logging_2184/klagomålsmail/A 5983-2025 FSC-klagomål mail.docx", "A 5983-2025")</f>
        <v/>
      </c>
      <c r="AC96">
        <f>HYPERLINK("https://klasma.github.io/Logging_2184/tillsyn/A 5983-2025 tillsynsbegäran.docx", "A 5983-2025")</f>
        <v/>
      </c>
      <c r="AD96">
        <f>HYPERLINK("https://klasma.github.io/Logging_2184/tillsynsmail/A 5983-2025 tillsynsbegäran mail.docx", "A 5983-2025")</f>
        <v/>
      </c>
      <c r="AE96">
        <f>HYPERLINK("https://klasma.github.io/Logging_2184/fåglar/A 5983-2025 prioriterade fågelarter.docx", "A 5983-2025")</f>
        <v/>
      </c>
    </row>
    <row r="97" ht="15" customHeight="1">
      <c r="A97" t="inlineStr">
        <is>
          <t>A 22595-2025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45789</v>
      </c>
      <c r="E97" s="1" t="n">
        <v>46307</v>
      </c>
      <c r="F97" t="inlineStr">
        <is>
          <t>GÄVLEBORGS LÄN</t>
        </is>
      </c>
      <c r="G97" t="inlineStr">
        <is>
          <t>HUDIKSVALL</t>
        </is>
      </c>
      <c r="H97" t="inlineStr">
        <is>
          <t>Holmen skog AB</t>
        </is>
      </c>
      <c r="I97" t="n">
        <v>6.6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Revlummer</t>
        </is>
      </c>
      <c r="W97">
        <f>HYPERLINK("https://klasma.github.io/Logging_2184/artfynd/A 22595-2025 artfynd.xlsx", "A 22595-2025")</f>
        <v/>
      </c>
      <c r="X97">
        <f>HYPERLINK("https://klasma.github.io/Logging_2184/kartor/A 22595-2025 karta.png", "A 22595-2025")</f>
        <v/>
      </c>
      <c r="Y97">
        <f>HYPERLINK("https://klasma.github.io/Logging_2184/kartor_geotiff/A 22595-2025 georefererad karta.tif", "A 22595-2025")</f>
        <v/>
      </c>
      <c r="AA97">
        <f>HYPERLINK("https://klasma.github.io/Logging_2184/klagomål/A 22595-2025 FSC-klagomål.docx", "A 22595-2025")</f>
        <v/>
      </c>
      <c r="AB97">
        <f>HYPERLINK("https://klasma.github.io/Logging_2184/klagomålsmail/A 22595-2025 FSC-klagomål mail.docx", "A 22595-2025")</f>
        <v/>
      </c>
      <c r="AC97">
        <f>HYPERLINK("https://klasma.github.io/Logging_2184/tillsyn/A 22595-2025 tillsynsbegäran.docx", "A 22595-2025")</f>
        <v/>
      </c>
      <c r="AD97">
        <f>HYPERLINK("https://klasma.github.io/Logging_2184/tillsynsmail/A 22595-2025 tillsynsbegäran mail.docx", "A 22595-2025")</f>
        <v/>
      </c>
    </row>
    <row r="98" ht="15" customHeight="1">
      <c r="A98" t="inlineStr">
        <is>
          <t>A 27176-2025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45812</v>
      </c>
      <c r="E98" s="1" t="n">
        <v>46307</v>
      </c>
      <c r="F98" t="inlineStr">
        <is>
          <t>GÄVLEBORGS LÄN</t>
        </is>
      </c>
      <c r="G98" t="inlineStr">
        <is>
          <t>HUDIKSVALL</t>
        </is>
      </c>
      <c r="H98" t="inlineStr">
        <is>
          <t>Holmen skog AB</t>
        </is>
      </c>
      <c r="I98" t="n">
        <v>6.9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s="2" t="inlineStr">
        <is>
          <t>Vedtrappmossa</t>
        </is>
      </c>
      <c r="W98">
        <f>HYPERLINK("https://klasma.github.io/Logging_2184/artfynd/A 27176-2025 artfynd.xlsx", "A 27176-2025")</f>
        <v/>
      </c>
      <c r="X98">
        <f>HYPERLINK("https://klasma.github.io/Logging_2184/kartor/A 27176-2025 karta.png", "A 27176-2025")</f>
        <v/>
      </c>
      <c r="Y98">
        <f>HYPERLINK("https://klasma.github.io/Logging_2184/kartor_geotiff/A 27176-2025 georefererad karta.tif", "A 27176-2025")</f>
        <v/>
      </c>
      <c r="AA98">
        <f>HYPERLINK("https://klasma.github.io/Logging_2184/klagomål/A 27176-2025 FSC-klagomål.docx", "A 27176-2025")</f>
        <v/>
      </c>
      <c r="AB98">
        <f>HYPERLINK("https://klasma.github.io/Logging_2184/klagomålsmail/A 27176-2025 FSC-klagomål mail.docx", "A 27176-2025")</f>
        <v/>
      </c>
      <c r="AC98">
        <f>HYPERLINK("https://klasma.github.io/Logging_2184/tillsyn/A 27176-2025 tillsynsbegäran.docx", "A 27176-2025")</f>
        <v/>
      </c>
      <c r="AD98">
        <f>HYPERLINK("https://klasma.github.io/Logging_2184/tillsynsmail/A 27176-2025 tillsynsbegäran mail.docx", "A 27176-2025")</f>
        <v/>
      </c>
    </row>
    <row r="99" ht="15" customHeight="1">
      <c r="A99" t="inlineStr">
        <is>
          <t>A 28381-2025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45819</v>
      </c>
      <c r="E99" s="1" t="n">
        <v>46307</v>
      </c>
      <c r="F99" t="inlineStr">
        <is>
          <t>GÄVLEBORGS LÄN</t>
        </is>
      </c>
      <c r="G99" t="inlineStr">
        <is>
          <t>HUDIKSVALL</t>
        </is>
      </c>
      <c r="H99" t="inlineStr">
        <is>
          <t>Holmen skog AB</t>
        </is>
      </c>
      <c r="I99" t="n">
        <v>8.699999999999999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s="2" t="inlineStr">
        <is>
          <t>Revlummer</t>
        </is>
      </c>
      <c r="W99">
        <f>HYPERLINK("https://klasma.github.io/Logging_2184/artfynd/A 28381-2025 artfynd.xlsx", "A 28381-2025")</f>
        <v/>
      </c>
      <c r="X99">
        <f>HYPERLINK("https://klasma.github.io/Logging_2184/kartor/A 28381-2025 karta.png", "A 28381-2025")</f>
        <v/>
      </c>
      <c r="Y99">
        <f>HYPERLINK("https://klasma.github.io/Logging_2184/kartor_geotiff/A 28381-2025 georefererad karta.tif", "A 28381-2025")</f>
        <v/>
      </c>
      <c r="AA99">
        <f>HYPERLINK("https://klasma.github.io/Logging_2184/klagomål/A 28381-2025 FSC-klagomål.docx", "A 28381-2025")</f>
        <v/>
      </c>
      <c r="AB99">
        <f>HYPERLINK("https://klasma.github.io/Logging_2184/klagomålsmail/A 28381-2025 FSC-klagomål mail.docx", "A 28381-2025")</f>
        <v/>
      </c>
      <c r="AC99">
        <f>HYPERLINK("https://klasma.github.io/Logging_2184/tillsyn/A 28381-2025 tillsynsbegäran.docx", "A 28381-2025")</f>
        <v/>
      </c>
      <c r="AD99">
        <f>HYPERLINK("https://klasma.github.io/Logging_2184/tillsynsmail/A 28381-2025 tillsynsbegäran mail.docx", "A 28381-2025")</f>
        <v/>
      </c>
    </row>
    <row r="100" ht="15" customHeight="1">
      <c r="A100" t="inlineStr">
        <is>
          <t>A 8157-2025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45708</v>
      </c>
      <c r="E100" s="1" t="n">
        <v>46307</v>
      </c>
      <c r="F100" t="inlineStr">
        <is>
          <t>GÄVLEBORGS LÄN</t>
        </is>
      </c>
      <c r="G100" t="inlineStr">
        <is>
          <t>HUDIKSVALL</t>
        </is>
      </c>
      <c r="I100" t="n">
        <v>7.7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s="2" t="inlineStr">
        <is>
          <t>Fläcknycklar</t>
        </is>
      </c>
      <c r="W100">
        <f>HYPERLINK("https://klasma.github.io/Logging_2184/artfynd/A 8157-2025 artfynd.xlsx", "A 8157-2025")</f>
        <v/>
      </c>
      <c r="X100">
        <f>HYPERLINK("https://klasma.github.io/Logging_2184/kartor/A 8157-2025 karta.png", "A 8157-2025")</f>
        <v/>
      </c>
      <c r="Y100">
        <f>HYPERLINK("https://klasma.github.io/Logging_2184/kartor_geotiff/A 8157-2025 georefererad karta.tif", "A 8157-2025")</f>
        <v/>
      </c>
      <c r="AA100">
        <f>HYPERLINK("https://klasma.github.io/Logging_2184/klagomål/A 8157-2025 FSC-klagomål.docx", "A 8157-2025")</f>
        <v/>
      </c>
      <c r="AB100">
        <f>HYPERLINK("https://klasma.github.io/Logging_2184/klagomålsmail/A 8157-2025 FSC-klagomål mail.docx", "A 8157-2025")</f>
        <v/>
      </c>
      <c r="AC100">
        <f>HYPERLINK("https://klasma.github.io/Logging_2184/tillsyn/A 8157-2025 tillsynsbegäran.docx", "A 8157-2025")</f>
        <v/>
      </c>
      <c r="AD100">
        <f>HYPERLINK("https://klasma.github.io/Logging_2184/tillsynsmail/A 8157-2025 tillsynsbegäran mail.docx", "A 8157-2025")</f>
        <v/>
      </c>
    </row>
    <row r="101" ht="15" customHeight="1">
      <c r="A101" t="inlineStr">
        <is>
          <t>A 29337-2024</t>
        </is>
      </c>
      <c r="B101" t="inlineStr">
        <is>
          <t>avverkningsanmälan</t>
        </is>
      </c>
      <c r="C101" t="inlineStr">
        <is>
          <t>Avverkning för annat ändamål</t>
        </is>
      </c>
      <c r="D101" s="1" t="n">
        <v>45483</v>
      </c>
      <c r="E101" s="1" t="n">
        <v>46307</v>
      </c>
      <c r="F101" t="inlineStr">
        <is>
          <t>GÄVLEBORGS LÄN</t>
        </is>
      </c>
      <c r="G101" t="inlineStr">
        <is>
          <t>HUDIKSVALL</t>
        </is>
      </c>
      <c r="H101" t="inlineStr">
        <is>
          <t>Holmen skog AB</t>
        </is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s="2" t="inlineStr">
        <is>
          <t>Järpe</t>
        </is>
      </c>
      <c r="W101">
        <f>HYPERLINK("https://klasma.github.io/Logging_2184/artfynd/A 29337-2024 artfynd.xlsx", "A 29337-2024")</f>
        <v/>
      </c>
      <c r="X101">
        <f>HYPERLINK("https://klasma.github.io/Logging_2184/kartor/A 29337-2024 karta.png", "A 29337-2024")</f>
        <v/>
      </c>
      <c r="Y101">
        <f>HYPERLINK("https://klasma.github.io/Logging_2184/kartor_geotiff/A 29337-2024 georefererad karta.tif", "A 29337-2024")</f>
        <v/>
      </c>
      <c r="AA101">
        <f>HYPERLINK("https://klasma.github.io/Logging_2184/klagomål/A 29337-2024 FSC-klagomål.docx", "A 29337-2024")</f>
        <v/>
      </c>
      <c r="AB101">
        <f>HYPERLINK("https://klasma.github.io/Logging_2184/klagomålsmail/A 29337-2024 FSC-klagomål mail.docx", "A 29337-2024")</f>
        <v/>
      </c>
      <c r="AC101">
        <f>HYPERLINK("https://klasma.github.io/Logging_2184/tillsyn/A 29337-2024 tillsynsbegäran.docx", "A 29337-2024")</f>
        <v/>
      </c>
      <c r="AD101">
        <f>HYPERLINK("https://klasma.github.io/Logging_2184/tillsynsmail/A 29337-2024 tillsynsbegäran mail.docx", "A 29337-2024")</f>
        <v/>
      </c>
      <c r="AE101">
        <f>HYPERLINK("https://klasma.github.io/Logging_2184/fåglar/A 29337-2024 prioriterade fågelarter.docx", "A 29337-2024")</f>
        <v/>
      </c>
    </row>
    <row r="102" ht="15" customHeight="1">
      <c r="A102" t="inlineStr">
        <is>
          <t>A 15883-2023</t>
        </is>
      </c>
      <c r="B102" t="inlineStr">
        <is>
          <t>avverkningsanmälan</t>
        </is>
      </c>
      <c r="C102" t="inlineStr">
        <is>
          <t>Avverkning för annat ändamål</t>
        </is>
      </c>
      <c r="D102" s="1" t="n">
        <v>45022</v>
      </c>
      <c r="E102" s="1" t="n">
        <v>46307</v>
      </c>
      <c r="F102" t="inlineStr">
        <is>
          <t>GÄVLEBORGS LÄN</t>
        </is>
      </c>
      <c r="G102" t="inlineStr">
        <is>
          <t>HUDIKSVALL</t>
        </is>
      </c>
      <c r="I102" t="n">
        <v>9.6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s="2" t="inlineStr">
        <is>
          <t>Knärot</t>
        </is>
      </c>
      <c r="W102">
        <f>HYPERLINK("https://klasma.github.io/Logging_2184/artfynd/A 15883-2023 artfynd.xlsx", "A 15883-2023")</f>
        <v/>
      </c>
      <c r="X102">
        <f>HYPERLINK("https://klasma.github.io/Logging_2184/kartor/A 15883-2023 karta.png", "A 15883-2023")</f>
        <v/>
      </c>
      <c r="Y102">
        <f>HYPERLINK("https://klasma.github.io/Logging_2184/kartor_geotiff/A 15883-2023 georefererad karta.tif", "A 15883-2023")</f>
        <v/>
      </c>
      <c r="Z102">
        <f>HYPERLINK("https://klasma.github.io/Logging_2184/knärot/A 15883-2023 karta knärot.png", "A 15883-2023")</f>
        <v/>
      </c>
      <c r="AA102">
        <f>HYPERLINK("https://klasma.github.io/Logging_2184/klagomål/A 15883-2023 FSC-klagomål.docx", "A 15883-2023")</f>
        <v/>
      </c>
      <c r="AB102">
        <f>HYPERLINK("https://klasma.github.io/Logging_2184/klagomålsmail/A 15883-2023 FSC-klagomål mail.docx", "A 15883-2023")</f>
        <v/>
      </c>
      <c r="AC102">
        <f>HYPERLINK("https://klasma.github.io/Logging_2184/tillsyn/A 15883-2023 tillsynsbegäran.docx", "A 15883-2023")</f>
        <v/>
      </c>
      <c r="AD102">
        <f>HYPERLINK("https://klasma.github.io/Logging_2184/tillsynsmail/A 15883-2023 tillsynsbegäran mail.docx", "A 15883-2023")</f>
        <v/>
      </c>
    </row>
    <row r="103" ht="15" customHeight="1">
      <c r="A103" t="inlineStr">
        <is>
          <t>A 51760-2025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45951</v>
      </c>
      <c r="E103" s="1" t="n">
        <v>46307</v>
      </c>
      <c r="F103" t="inlineStr">
        <is>
          <t>GÄVLEBORGS LÄN</t>
        </is>
      </c>
      <c r="G103" t="inlineStr">
        <is>
          <t>HUDIKSVALL</t>
        </is>
      </c>
      <c r="I103" t="n">
        <v>2.7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s="2" t="inlineStr">
        <is>
          <t>Vanlig groda</t>
        </is>
      </c>
      <c r="W103">
        <f>HYPERLINK("https://klasma.github.io/Logging_2184/artfynd/A 51760-2025 artfynd.xlsx", "A 51760-2025")</f>
        <v/>
      </c>
      <c r="X103">
        <f>HYPERLINK("https://klasma.github.io/Logging_2184/kartor/A 51760-2025 karta.png", "A 51760-2025")</f>
        <v/>
      </c>
      <c r="Y103">
        <f>HYPERLINK("https://klasma.github.io/Logging_2184/kartor_geotiff/A 51760-2025 georefererad karta.tif", "A 51760-2025")</f>
        <v/>
      </c>
      <c r="AA103">
        <f>HYPERLINK("https://klasma.github.io/Logging_2184/klagomål/A 51760-2025 FSC-klagomål.docx", "A 51760-2025")</f>
        <v/>
      </c>
      <c r="AB103">
        <f>HYPERLINK("https://klasma.github.io/Logging_2184/klagomålsmail/A 51760-2025 FSC-klagomål mail.docx", "A 51760-2025")</f>
        <v/>
      </c>
      <c r="AC103">
        <f>HYPERLINK("https://klasma.github.io/Logging_2184/tillsyn/A 51760-2025 tillsynsbegäran.docx", "A 51760-2025")</f>
        <v/>
      </c>
      <c r="AD103">
        <f>HYPERLINK("https://klasma.github.io/Logging_2184/tillsynsmail/A 51760-2025 tillsynsbegäran mail.docx", "A 51760-2025")</f>
        <v/>
      </c>
    </row>
    <row r="104" ht="15" customHeight="1">
      <c r="A104" t="inlineStr">
        <is>
          <t>A 36391-2025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45868</v>
      </c>
      <c r="E104" s="1" t="n">
        <v>46307</v>
      </c>
      <c r="F104" t="inlineStr">
        <is>
          <t>GÄVLEBORGS LÄN</t>
        </is>
      </c>
      <c r="G104" t="inlineStr">
        <is>
          <t>HUDIKSVALL</t>
        </is>
      </c>
      <c r="I104" t="n">
        <v>0.7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  <c r="V104" s="2" t="inlineStr">
        <is>
          <t>Motaggsvamp</t>
        </is>
      </c>
      <c r="W104">
        <f>HYPERLINK("https://klasma.github.io/Logging_2184/artfynd/A 36391-2025 artfynd.xlsx", "A 36391-2025")</f>
        <v/>
      </c>
      <c r="X104">
        <f>HYPERLINK("https://klasma.github.io/Logging_2184/kartor/A 36391-2025 karta.png", "A 36391-2025")</f>
        <v/>
      </c>
      <c r="Y104">
        <f>HYPERLINK("https://klasma.github.io/Logging_2184/kartor_geotiff/A 36391-2025 georefererad karta.tif", "A 36391-2025")</f>
        <v/>
      </c>
      <c r="AA104">
        <f>HYPERLINK("https://klasma.github.io/Logging_2184/klagomål/A 36391-2025 FSC-klagomål.docx", "A 36391-2025")</f>
        <v/>
      </c>
      <c r="AB104">
        <f>HYPERLINK("https://klasma.github.io/Logging_2184/klagomålsmail/A 36391-2025 FSC-klagomål mail.docx", "A 36391-2025")</f>
        <v/>
      </c>
      <c r="AC104">
        <f>HYPERLINK("https://klasma.github.io/Logging_2184/tillsyn/A 36391-2025 tillsynsbegäran.docx", "A 36391-2025")</f>
        <v/>
      </c>
      <c r="AD104">
        <f>HYPERLINK("https://klasma.github.io/Logging_2184/tillsynsmail/A 36391-2025 tillsynsbegäran mail.docx", "A 36391-2025")</f>
        <v/>
      </c>
    </row>
    <row r="105" ht="15" customHeight="1">
      <c r="A105" t="inlineStr">
        <is>
          <t>A 31802-2025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45834</v>
      </c>
      <c r="E105" s="1" t="n">
        <v>46307</v>
      </c>
      <c r="F105" t="inlineStr">
        <is>
          <t>GÄVLEBORGS LÄN</t>
        </is>
      </c>
      <c r="G105" t="inlineStr">
        <is>
          <t>HUDIKSVALL</t>
        </is>
      </c>
      <c r="I105" t="n">
        <v>2.2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s="2" t="inlineStr">
        <is>
          <t>Stor aspticka</t>
        </is>
      </c>
      <c r="W105">
        <f>HYPERLINK("https://klasma.github.io/Logging_2184/artfynd/A 31802-2025 artfynd.xlsx", "A 31802-2025")</f>
        <v/>
      </c>
      <c r="X105">
        <f>HYPERLINK("https://klasma.github.io/Logging_2184/kartor/A 31802-2025 karta.png", "A 31802-2025")</f>
        <v/>
      </c>
      <c r="Y105">
        <f>HYPERLINK("https://klasma.github.io/Logging_2184/kartor_geotiff/A 31802-2025 georefererad karta.tif", "A 31802-2025")</f>
        <v/>
      </c>
      <c r="AA105">
        <f>HYPERLINK("https://klasma.github.io/Logging_2184/klagomål/A 31802-2025 FSC-klagomål.docx", "A 31802-2025")</f>
        <v/>
      </c>
      <c r="AB105">
        <f>HYPERLINK("https://klasma.github.io/Logging_2184/klagomålsmail/A 31802-2025 FSC-klagomål mail.docx", "A 31802-2025")</f>
        <v/>
      </c>
      <c r="AC105">
        <f>HYPERLINK("https://klasma.github.io/Logging_2184/tillsyn/A 31802-2025 tillsynsbegäran.docx", "A 31802-2025")</f>
        <v/>
      </c>
      <c r="AD105">
        <f>HYPERLINK("https://klasma.github.io/Logging_2184/tillsynsmail/A 31802-2025 tillsynsbegäran mail.docx", "A 31802-2025")</f>
        <v/>
      </c>
    </row>
    <row r="106" ht="15" customHeight="1">
      <c r="A106" t="inlineStr">
        <is>
          <t>A 4107-2026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46044</v>
      </c>
      <c r="E106" s="1" t="n">
        <v>46307</v>
      </c>
      <c r="F106" t="inlineStr">
        <is>
          <t>GÄVLEBORGS LÄN</t>
        </is>
      </c>
      <c r="G106" t="inlineStr">
        <is>
          <t>HUDIKSVALL</t>
        </is>
      </c>
      <c r="I106" t="n">
        <v>0.9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s="2" t="inlineStr">
        <is>
          <t>Järpe</t>
        </is>
      </c>
      <c r="W106">
        <f>HYPERLINK("https://klasma.github.io/Logging_2184/artfynd/A 4107-2026 artfynd.xlsx", "A 4107-2026")</f>
        <v/>
      </c>
      <c r="X106">
        <f>HYPERLINK("https://klasma.github.io/Logging_2184/kartor/A 4107-2026 karta.png", "A 4107-2026")</f>
        <v/>
      </c>
      <c r="Y106">
        <f>HYPERLINK("https://klasma.github.io/Logging_2184/kartor_geotiff/A 4107-2026 georefererad karta.tif", "A 4107-2026")</f>
        <v/>
      </c>
      <c r="AA106">
        <f>HYPERLINK("https://klasma.github.io/Logging_2184/klagomål/A 4107-2026 FSC-klagomål.docx", "A 4107-2026")</f>
        <v/>
      </c>
      <c r="AB106">
        <f>HYPERLINK("https://klasma.github.io/Logging_2184/klagomålsmail/A 4107-2026 FSC-klagomål mail.docx", "A 4107-2026")</f>
        <v/>
      </c>
      <c r="AC106">
        <f>HYPERLINK("https://klasma.github.io/Logging_2184/tillsyn/A 4107-2026 tillsynsbegäran.docx", "A 4107-2026")</f>
        <v/>
      </c>
      <c r="AD106">
        <f>HYPERLINK("https://klasma.github.io/Logging_2184/tillsynsmail/A 4107-2026 tillsynsbegäran mail.docx", "A 4107-2026")</f>
        <v/>
      </c>
      <c r="AE106">
        <f>HYPERLINK("https://klasma.github.io/Logging_2184/fåglar/A 4107-2026 prioriterade fågelarter.docx", "A 4107-2026")</f>
        <v/>
      </c>
    </row>
    <row r="107" ht="15" customHeight="1">
      <c r="A107" t="inlineStr">
        <is>
          <t>A 2482-2026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46037</v>
      </c>
      <c r="E107" s="1" t="n">
        <v>46307</v>
      </c>
      <c r="F107" t="inlineStr">
        <is>
          <t>GÄVLEBORGS LÄN</t>
        </is>
      </c>
      <c r="G107" t="inlineStr">
        <is>
          <t>HUDIKSVALL</t>
        </is>
      </c>
      <c r="I107" t="n">
        <v>6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2</v>
      </c>
      <c r="U107" t="n">
        <v>0</v>
      </c>
      <c r="V107" s="2" t="inlineStr">
        <is>
          <t>Violettgrå tagellav</t>
        </is>
      </c>
      <c r="W107">
        <f>HYPERLINK("https://klasma.github.io/Logging_2184/artfynd/A 2482-2026 artfynd.xlsx", "A 2482-2026")</f>
        <v/>
      </c>
      <c r="X107">
        <f>HYPERLINK("https://klasma.github.io/Logging_2184/kartor/A 2482-2026 karta.png", "A 2482-2026")</f>
        <v/>
      </c>
      <c r="Y107">
        <f>HYPERLINK("https://klasma.github.io/Logging_2184/kartor_geotiff/A 2482-2026 georefererad karta.tif", "A 2482-2026")</f>
        <v/>
      </c>
      <c r="AA107">
        <f>HYPERLINK("https://klasma.github.io/Logging_2184/klagomål/A 2482-2026 FSC-klagomål.docx", "A 2482-2026")</f>
        <v/>
      </c>
      <c r="AB107">
        <f>HYPERLINK("https://klasma.github.io/Logging_2184/klagomålsmail/A 2482-2026 FSC-klagomål mail.docx", "A 2482-2026")</f>
        <v/>
      </c>
      <c r="AC107">
        <f>HYPERLINK("https://klasma.github.io/Logging_2184/tillsyn/A 2482-2026 tillsynsbegäran.docx", "A 2482-2026")</f>
        <v/>
      </c>
      <c r="AD107">
        <f>HYPERLINK("https://klasma.github.io/Logging_2184/tillsynsmail/A 2482-2026 tillsynsbegäran mail.docx", "A 2482-2026")</f>
        <v/>
      </c>
    </row>
    <row r="108" ht="15" customHeight="1">
      <c r="A108" t="inlineStr">
        <is>
          <t>A 4473-2026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46045</v>
      </c>
      <c r="E108" s="1" t="n">
        <v>46307</v>
      </c>
      <c r="F108" t="inlineStr">
        <is>
          <t>GÄVLEBORGS LÄN</t>
        </is>
      </c>
      <c r="G108" t="inlineStr">
        <is>
          <t>HUDIKSVALL</t>
        </is>
      </c>
      <c r="I108" t="n">
        <v>6.6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Tibast</t>
        </is>
      </c>
      <c r="W108">
        <f>HYPERLINK("https://klasma.github.io/Logging_2184/artfynd/A 4473-2026 artfynd.xlsx", "A 4473-2026")</f>
        <v/>
      </c>
      <c r="X108">
        <f>HYPERLINK("https://klasma.github.io/Logging_2184/kartor/A 4473-2026 karta.png", "A 4473-2026")</f>
        <v/>
      </c>
      <c r="Y108">
        <f>HYPERLINK("https://klasma.github.io/Logging_2184/kartor_geotiff/A 4473-2026 georefererad karta.tif", "A 4473-2026")</f>
        <v/>
      </c>
      <c r="AA108">
        <f>HYPERLINK("https://klasma.github.io/Logging_2184/klagomål/A 4473-2026 FSC-klagomål.docx", "A 4473-2026")</f>
        <v/>
      </c>
      <c r="AB108">
        <f>HYPERLINK("https://klasma.github.io/Logging_2184/klagomålsmail/A 4473-2026 FSC-klagomål mail.docx", "A 4473-2026")</f>
        <v/>
      </c>
      <c r="AC108">
        <f>HYPERLINK("https://klasma.github.io/Logging_2184/tillsyn/A 4473-2026 tillsynsbegäran.docx", "A 4473-2026")</f>
        <v/>
      </c>
      <c r="AD108">
        <f>HYPERLINK("https://klasma.github.io/Logging_2184/tillsynsmail/A 4473-2026 tillsynsbegäran mail.docx", "A 4473-2026")</f>
        <v/>
      </c>
    </row>
    <row r="109" ht="15" customHeight="1">
      <c r="A109" t="inlineStr">
        <is>
          <t>A 4844-2026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46048</v>
      </c>
      <c r="E109" s="1" t="n">
        <v>46307</v>
      </c>
      <c r="F109" t="inlineStr">
        <is>
          <t>GÄVLEBORGS LÄN</t>
        </is>
      </c>
      <c r="G109" t="inlineStr">
        <is>
          <t>HUDIKSVALL</t>
        </is>
      </c>
      <c r="I109" t="n">
        <v>9.1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s="2" t="inlineStr">
        <is>
          <t>Skinnlav</t>
        </is>
      </c>
      <c r="W109">
        <f>HYPERLINK("https://klasma.github.io/Logging_2184/artfynd/A 4844-2026 artfynd.xlsx", "A 4844-2026")</f>
        <v/>
      </c>
      <c r="X109">
        <f>HYPERLINK("https://klasma.github.io/Logging_2184/kartor/A 4844-2026 karta.png", "A 4844-2026")</f>
        <v/>
      </c>
      <c r="Y109">
        <f>HYPERLINK("https://klasma.github.io/Logging_2184/kartor_geotiff/A 4844-2026 georefererad karta.tif", "A 4844-2026")</f>
        <v/>
      </c>
      <c r="AA109">
        <f>HYPERLINK("https://klasma.github.io/Logging_2184/klagomål/A 4844-2026 FSC-klagomål.docx", "A 4844-2026")</f>
        <v/>
      </c>
      <c r="AB109">
        <f>HYPERLINK("https://klasma.github.io/Logging_2184/klagomålsmail/A 4844-2026 FSC-klagomål mail.docx", "A 4844-2026")</f>
        <v/>
      </c>
      <c r="AC109">
        <f>HYPERLINK("https://klasma.github.io/Logging_2184/tillsyn/A 4844-2026 tillsynsbegäran.docx", "A 4844-2026")</f>
        <v/>
      </c>
      <c r="AD109">
        <f>HYPERLINK("https://klasma.github.io/Logging_2184/tillsynsmail/A 4844-2026 tillsynsbegäran mail.docx", "A 4844-2026")</f>
        <v/>
      </c>
    </row>
    <row r="110" ht="15" customHeight="1">
      <c r="A110" t="inlineStr">
        <is>
          <t>A 7053-2026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46057</v>
      </c>
      <c r="E110" s="1" t="n">
        <v>46307</v>
      </c>
      <c r="F110" t="inlineStr">
        <is>
          <t>GÄVLEBORGS LÄN</t>
        </is>
      </c>
      <c r="G110" t="inlineStr">
        <is>
          <t>HUDIKSVALL</t>
        </is>
      </c>
      <c r="H110" t="inlineStr">
        <is>
          <t>Holmen skog AB</t>
        </is>
      </c>
      <c r="I110" t="n">
        <v>2.5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Stuplav</t>
        </is>
      </c>
      <c r="W110">
        <f>HYPERLINK("https://klasma.github.io/Logging_2184/artfynd/A 7053-2026 artfynd.xlsx", "A 7053-2026")</f>
        <v/>
      </c>
      <c r="X110">
        <f>HYPERLINK("https://klasma.github.io/Logging_2184/kartor/A 7053-2026 karta.png", "A 7053-2026")</f>
        <v/>
      </c>
      <c r="Y110">
        <f>HYPERLINK("https://klasma.github.io/Logging_2184/kartor_geotiff/A 7053-2026 georefererad karta.tif", "A 7053-2026")</f>
        <v/>
      </c>
      <c r="AA110">
        <f>HYPERLINK("https://klasma.github.io/Logging_2184/klagomål/A 7053-2026 FSC-klagomål.docx", "A 7053-2026")</f>
        <v/>
      </c>
      <c r="AB110">
        <f>HYPERLINK("https://klasma.github.io/Logging_2184/klagomålsmail/A 7053-2026 FSC-klagomål mail.docx", "A 7053-2026")</f>
        <v/>
      </c>
      <c r="AC110">
        <f>HYPERLINK("https://klasma.github.io/Logging_2184/tillsyn/A 7053-2026 tillsynsbegäran.docx", "A 7053-2026")</f>
        <v/>
      </c>
      <c r="AD110">
        <f>HYPERLINK("https://klasma.github.io/Logging_2184/tillsynsmail/A 7053-2026 tillsynsbegäran mail.docx", "A 7053-2026")</f>
        <v/>
      </c>
    </row>
    <row r="111" ht="15" customHeight="1">
      <c r="A111" t="inlineStr">
        <is>
          <t>A 20640-2026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46141</v>
      </c>
      <c r="E111" s="1" t="n">
        <v>46307</v>
      </c>
      <c r="F111" t="inlineStr">
        <is>
          <t>GÄVLEBORGS LÄN</t>
        </is>
      </c>
      <c r="G111" t="inlineStr">
        <is>
          <t>HUDIKSVALL</t>
        </is>
      </c>
      <c r="H111" t="inlineStr">
        <is>
          <t>Holmen skog AB</t>
        </is>
      </c>
      <c r="I111" t="n">
        <v>6.8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s="2" t="inlineStr">
        <is>
          <t>Knärot</t>
        </is>
      </c>
      <c r="W111">
        <f>HYPERLINK("https://klasma.github.io/Logging_2184/artfynd/A 20640-2026 artfynd.xlsx", "A 20640-2026")</f>
        <v/>
      </c>
      <c r="X111">
        <f>HYPERLINK("https://klasma.github.io/Logging_2184/kartor/A 20640-2026 karta.png", "A 20640-2026")</f>
        <v/>
      </c>
      <c r="Y111">
        <f>HYPERLINK("https://klasma.github.io/Logging_2184/kartor_geotiff/A 20640-2026 georefererad karta.tif", "A 20640-2026")</f>
        <v/>
      </c>
      <c r="Z111">
        <f>HYPERLINK("https://klasma.github.io/Logging_2184/knärot/A 20640-2026 karta knärot.png", "A 20640-2026")</f>
        <v/>
      </c>
      <c r="AA111">
        <f>HYPERLINK("https://klasma.github.io/Logging_2184/klagomål/A 20640-2026 FSC-klagomål.docx", "A 20640-2026")</f>
        <v/>
      </c>
      <c r="AB111">
        <f>HYPERLINK("https://klasma.github.io/Logging_2184/klagomålsmail/A 20640-2026 FSC-klagomål mail.docx", "A 20640-2026")</f>
        <v/>
      </c>
      <c r="AC111">
        <f>HYPERLINK("https://klasma.github.io/Logging_2184/tillsyn/A 20640-2026 tillsynsbegäran.docx", "A 20640-2026")</f>
        <v/>
      </c>
      <c r="AD111">
        <f>HYPERLINK("https://klasma.github.io/Logging_2184/tillsynsmail/A 20640-2026 tillsynsbegäran mail.docx", "A 20640-2026")</f>
        <v/>
      </c>
    </row>
    <row r="112" ht="15" customHeight="1">
      <c r="A112" t="inlineStr">
        <is>
          <t>A 25040-2026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46174</v>
      </c>
      <c r="E112" s="1" t="n">
        <v>46307</v>
      </c>
      <c r="F112" t="inlineStr">
        <is>
          <t>GÄVLEBORGS LÄN</t>
        </is>
      </c>
      <c r="G112" t="inlineStr">
        <is>
          <t>HUDIKSVALL</t>
        </is>
      </c>
      <c r="H112" t="inlineStr">
        <is>
          <t>Holmen skog AB</t>
        </is>
      </c>
      <c r="I112" t="n">
        <v>3.1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0</v>
      </c>
      <c r="V112" s="2" t="inlineStr">
        <is>
          <t>Skogssvingel</t>
        </is>
      </c>
      <c r="W112">
        <f>HYPERLINK("https://klasma.github.io/Logging_2184/artfynd/A 25040-2026 artfynd.xlsx", "A 25040-2026")</f>
        <v/>
      </c>
      <c r="X112">
        <f>HYPERLINK("https://klasma.github.io/Logging_2184/kartor/A 25040-2026 karta.png", "A 25040-2026")</f>
        <v/>
      </c>
      <c r="Y112">
        <f>HYPERLINK("https://klasma.github.io/Logging_2184/kartor_geotiff/A 25040-2026 georefererad karta.tif", "A 25040-2026")</f>
        <v/>
      </c>
      <c r="AA112">
        <f>HYPERLINK("https://klasma.github.io/Logging_2184/klagomål/A 25040-2026 FSC-klagomål.docx", "A 25040-2026")</f>
        <v/>
      </c>
      <c r="AB112">
        <f>HYPERLINK("https://klasma.github.io/Logging_2184/klagomålsmail/A 25040-2026 FSC-klagomål mail.docx", "A 25040-2026")</f>
        <v/>
      </c>
      <c r="AC112">
        <f>HYPERLINK("https://klasma.github.io/Logging_2184/tillsyn/A 25040-2026 tillsynsbegäran.docx", "A 25040-2026")</f>
        <v/>
      </c>
      <c r="AD112">
        <f>HYPERLINK("https://klasma.github.io/Logging_2184/tillsynsmail/A 25040-2026 tillsynsbegäran mail.docx", "A 25040-2026")</f>
        <v/>
      </c>
    </row>
    <row r="113" ht="15" customHeight="1">
      <c r="A113" t="inlineStr">
        <is>
          <t>A 29134-2026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46202</v>
      </c>
      <c r="E113" s="1" t="n">
        <v>46307</v>
      </c>
      <c r="F113" t="inlineStr">
        <is>
          <t>GÄVLEBORGS LÄN</t>
        </is>
      </c>
      <c r="G113" t="inlineStr">
        <is>
          <t>HUDIKSVALL</t>
        </is>
      </c>
      <c r="H113" t="inlineStr">
        <is>
          <t>Holmen skog AB</t>
        </is>
      </c>
      <c r="I113" t="n">
        <v>19.2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s="2" t="inlineStr">
        <is>
          <t>Garnlav</t>
        </is>
      </c>
      <c r="W113">
        <f>HYPERLINK("https://klasma.github.io/Logging_2184/artfynd/A 29134-2026 artfynd.xlsx", "A 29134-2026")</f>
        <v/>
      </c>
      <c r="X113">
        <f>HYPERLINK("https://klasma.github.io/Logging_2184/kartor/A 29134-2026 karta.png", "A 29134-2026")</f>
        <v/>
      </c>
      <c r="Y113">
        <f>HYPERLINK("https://klasma.github.io/Logging_2184/kartor_geotiff/A 29134-2026 georefererad karta.tif", "A 29134-2026")</f>
        <v/>
      </c>
      <c r="AA113">
        <f>HYPERLINK("https://klasma.github.io/Logging_2184/klagomål/A 29134-2026 FSC-klagomål.docx", "A 29134-2026")</f>
        <v/>
      </c>
      <c r="AB113">
        <f>HYPERLINK("https://klasma.github.io/Logging_2184/klagomålsmail/A 29134-2026 FSC-klagomål mail.docx", "A 29134-2026")</f>
        <v/>
      </c>
      <c r="AC113">
        <f>HYPERLINK("https://klasma.github.io/Logging_2184/tillsyn/A 29134-2026 tillsynsbegäran.docx", "A 29134-2026")</f>
        <v/>
      </c>
      <c r="AD113">
        <f>HYPERLINK("https://klasma.github.io/Logging_2184/tillsynsmail/A 29134-2026 tillsynsbegäran mail.docx", "A 29134-2026")</f>
        <v/>
      </c>
    </row>
    <row r="114" ht="15" customHeight="1">
      <c r="A114" t="inlineStr">
        <is>
          <t>A 34540-2026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46255</v>
      </c>
      <c r="E114" s="1" t="n">
        <v>46307</v>
      </c>
      <c r="F114" t="inlineStr">
        <is>
          <t>GÄVLEBORGS LÄN</t>
        </is>
      </c>
      <c r="G114" t="inlineStr">
        <is>
          <t>HUDIKSVALL</t>
        </is>
      </c>
      <c r="H114" t="inlineStr">
        <is>
          <t>Holmen skog AB</t>
        </is>
      </c>
      <c r="I114" t="n">
        <v>17.9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s="2" t="inlineStr">
        <is>
          <t>Grön sköldmossa</t>
        </is>
      </c>
      <c r="W114">
        <f>HYPERLINK("https://klasma.github.io/Logging_2184/artfynd/A 34540-2026 artfynd.xlsx", "A 34540-2026")</f>
        <v/>
      </c>
      <c r="X114">
        <f>HYPERLINK("https://klasma.github.io/Logging_2184/kartor/A 34540-2026 karta.png", "A 34540-2026")</f>
        <v/>
      </c>
      <c r="Y114">
        <f>HYPERLINK("https://klasma.github.io/Logging_2184/kartor_geotiff/A 34540-2026 georefererad karta.tif", "A 34540-2026")</f>
        <v/>
      </c>
      <c r="AA114">
        <f>HYPERLINK("https://klasma.github.io/Logging_2184/klagomål/A 34540-2026 FSC-klagomål.docx", "A 34540-2026")</f>
        <v/>
      </c>
      <c r="AB114">
        <f>HYPERLINK("https://klasma.github.io/Logging_2184/klagomålsmail/A 34540-2026 FSC-klagomål mail.docx", "A 34540-2026")</f>
        <v/>
      </c>
      <c r="AC114">
        <f>HYPERLINK("https://klasma.github.io/Logging_2184/tillsyn/A 34540-2026 tillsynsbegäran.docx", "A 34540-2026")</f>
        <v/>
      </c>
      <c r="AD114">
        <f>HYPERLINK("https://klasma.github.io/Logging_2184/tillsynsmail/A 34540-2026 tillsynsbegäran mail.docx", "A 34540-2026")</f>
        <v/>
      </c>
    </row>
    <row r="115" ht="15" customHeight="1">
      <c r="A115" t="inlineStr">
        <is>
          <t>S 4020-2023</t>
        </is>
      </c>
      <c r="B115" t="inlineStr">
        <is>
          <t>samrådsanmälan</t>
        </is>
      </c>
      <c r="C115" t="inlineStr">
        <is>
          <t>Skogsgödsling</t>
        </is>
      </c>
      <c r="D115" s="1" t="n">
        <v>45237</v>
      </c>
      <c r="E115" s="1" t="n">
        <v>46307</v>
      </c>
      <c r="F115" t="inlineStr">
        <is>
          <t>GÄVLEBORGS LÄN</t>
        </is>
      </c>
      <c r="G115" t="inlineStr">
        <is>
          <t>HUDIKSVALL</t>
        </is>
      </c>
      <c r="H115" t="inlineStr">
        <is>
          <t>Holmen skog AB</t>
        </is>
      </c>
      <c r="I115" t="n">
        <v>96.3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s="2" t="inlineStr">
        <is>
          <t>Kolflarnlav</t>
        </is>
      </c>
      <c r="W115">
        <f>HYPERLINK("https://klasma.github.io/Logging_2184/artfynd/S 4020-2023 artfynd.xlsx", "S 4020-2023")</f>
        <v/>
      </c>
      <c r="X115">
        <f>HYPERLINK("https://klasma.github.io/Logging_2184/kartor/S 4020-2023 karta.png", "S 4020-2023")</f>
        <v/>
      </c>
      <c r="Y115">
        <f>HYPERLINK("https://klasma.github.io/Logging_2184/kartor_geotiff/S 4020-2023 georefererad karta.tif", "S 4020-2023")</f>
        <v/>
      </c>
      <c r="AA115">
        <f>HYPERLINK("https://klasma.github.io/Logging_2184/klagomål/S 4020-2023 FSC-klagomål.docx", "S 4020-2023")</f>
        <v/>
      </c>
      <c r="AB115">
        <f>HYPERLINK("https://klasma.github.io/Logging_2184/klagomålsmail/S 4020-2023 FSC-klagomål mail.docx", "S 4020-2023")</f>
        <v/>
      </c>
      <c r="AC115">
        <f>HYPERLINK("https://klasma.github.io/Logging_2184/tillsyn/S 4020-2023 tillsynsbegäran.docx", "S 4020-2023")</f>
        <v/>
      </c>
      <c r="AD115">
        <f>HYPERLINK("https://klasma.github.io/Logging_2184/tillsynsmail/S 4020-2023 tillsynsbegäran mail.docx", "S 4020-2023")</f>
        <v/>
      </c>
    </row>
    <row r="116" ht="15" customHeight="1">
      <c r="A116" t="inlineStr">
        <is>
          <t>S 79-2026</t>
        </is>
      </c>
      <c r="B116" t="inlineStr">
        <is>
          <t>samrådsanmälan</t>
        </is>
      </c>
      <c r="C116" t="inlineStr">
        <is>
          <t>Annan skogsbruksåtgärd</t>
        </is>
      </c>
      <c r="D116" s="1" t="n">
        <v>46035</v>
      </c>
      <c r="E116" s="1" t="n">
        <v>46307</v>
      </c>
      <c r="F116" t="inlineStr">
        <is>
          <t>GÄVLEBORGS LÄN</t>
        </is>
      </c>
      <c r="G116" t="inlineStr">
        <is>
          <t>HUDIKSVALL</t>
        </is>
      </c>
      <c r="I116" t="n">
        <v>1.6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s="2" t="inlineStr">
        <is>
          <t>Rosenticka</t>
        </is>
      </c>
      <c r="W116">
        <f>HYPERLINK("https://klasma.github.io/Logging_2184/artfynd/S 79-2026 artfynd.xlsx", "S 79-2026")</f>
        <v/>
      </c>
      <c r="X116">
        <f>HYPERLINK("https://klasma.github.io/Logging_2184/kartor/S 79-2026 karta.png", "S 79-2026")</f>
        <v/>
      </c>
      <c r="Y116">
        <f>HYPERLINK("https://klasma.github.io/Logging_2184/kartor_geotiff/S 79-2026 georefererad karta.tif", "S 79-2026")</f>
        <v/>
      </c>
      <c r="AA116">
        <f>HYPERLINK("https://klasma.github.io/Logging_2184/klagomål/S 79-2026 FSC-klagomål.docx", "S 79-2026")</f>
        <v/>
      </c>
      <c r="AB116">
        <f>HYPERLINK("https://klasma.github.io/Logging_2184/klagomålsmail/S 79-2026 FSC-klagomål mail.docx", "S 79-2026")</f>
        <v/>
      </c>
      <c r="AC116">
        <f>HYPERLINK("https://klasma.github.io/Logging_2184/tillsyn/S 79-2026 tillsynsbegäran.docx", "S 79-2026")</f>
        <v/>
      </c>
      <c r="AD116">
        <f>HYPERLINK("https://klasma.github.io/Logging_2184/tillsynsmail/S 79-2026 tillsynsbegäran mail.docx", "S 79-2026")</f>
        <v/>
      </c>
    </row>
    <row r="117" ht="15" customHeight="1">
      <c r="A117" t="inlineStr">
        <is>
          <t>A 24470-2022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44726</v>
      </c>
      <c r="E117" s="1" t="n">
        <v>46307</v>
      </c>
      <c r="F117" t="inlineStr">
        <is>
          <t>GÄVLEBORGS LÄN</t>
        </is>
      </c>
      <c r="G117" t="inlineStr">
        <is>
          <t>HUDIKSVALL</t>
        </is>
      </c>
      <c r="I117" t="n">
        <v>1.3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7548-2022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44607</v>
      </c>
      <c r="E118" s="1" t="n">
        <v>46307</v>
      </c>
      <c r="F118" t="inlineStr">
        <is>
          <t>GÄVLEBORGS LÄN</t>
        </is>
      </c>
      <c r="G118" t="inlineStr">
        <is>
          <t>HUDIKSVALL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34116-2022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44791</v>
      </c>
      <c r="E119" s="1" t="n">
        <v>46307</v>
      </c>
      <c r="F119" t="inlineStr">
        <is>
          <t>GÄVLEBORGS LÄN</t>
        </is>
      </c>
      <c r="G119" t="inlineStr">
        <is>
          <t>HUDIKSVALL</t>
        </is>
      </c>
      <c r="H119" t="inlineStr">
        <is>
          <t>Holmen skog AB</t>
        </is>
      </c>
      <c r="I119" t="n">
        <v>1.7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17962-2022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44683</v>
      </c>
      <c r="E120" s="1" t="n">
        <v>46307</v>
      </c>
      <c r="F120" t="inlineStr">
        <is>
          <t>GÄVLEBORGS LÄN</t>
        </is>
      </c>
      <c r="G120" t="inlineStr">
        <is>
          <t>HUDIKSVALL</t>
        </is>
      </c>
      <c r="H120" t="inlineStr">
        <is>
          <t>Holmen skog AB</t>
        </is>
      </c>
      <c r="I120" t="n">
        <v>9.1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28023-2022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44746</v>
      </c>
      <c r="E121" s="1" t="n">
        <v>46307</v>
      </c>
      <c r="F121" t="inlineStr">
        <is>
          <t>GÄVLEBORGS LÄN</t>
        </is>
      </c>
      <c r="G121" t="inlineStr">
        <is>
          <t>HUDIKSVALL</t>
        </is>
      </c>
      <c r="I121" t="n">
        <v>2.9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38480-2022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44813</v>
      </c>
      <c r="E122" s="1" t="n">
        <v>46307</v>
      </c>
      <c r="F122" t="inlineStr">
        <is>
          <t>GÄVLEBORGS LÄN</t>
        </is>
      </c>
      <c r="G122" t="inlineStr">
        <is>
          <t>HUDIKSVALL</t>
        </is>
      </c>
      <c r="I122" t="n">
        <v>0.8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21382-2022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44705</v>
      </c>
      <c r="E123" s="1" t="n">
        <v>46307</v>
      </c>
      <c r="F123" t="inlineStr">
        <is>
          <t>GÄVLEBORGS LÄN</t>
        </is>
      </c>
      <c r="G123" t="inlineStr">
        <is>
          <t>HUDIKSVALL</t>
        </is>
      </c>
      <c r="I123" t="n">
        <v>1.6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54014-2022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44881</v>
      </c>
      <c r="E124" s="1" t="n">
        <v>46307</v>
      </c>
      <c r="F124" t="inlineStr">
        <is>
          <t>GÄVLEBORGS LÄN</t>
        </is>
      </c>
      <c r="G124" t="inlineStr">
        <is>
          <t>HUDIKSVALL</t>
        </is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66758-2021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44521</v>
      </c>
      <c r="E125" s="1" t="n">
        <v>46307</v>
      </c>
      <c r="F125" t="inlineStr">
        <is>
          <t>GÄVLEBORGS LÄN</t>
        </is>
      </c>
      <c r="G125" t="inlineStr">
        <is>
          <t>HUDIKSVALL</t>
        </is>
      </c>
      <c r="I125" t="n">
        <v>0.5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51590-2022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44871</v>
      </c>
      <c r="E126" s="1" t="n">
        <v>46307</v>
      </c>
      <c r="F126" t="inlineStr">
        <is>
          <t>GÄVLEBORGS LÄN</t>
        </is>
      </c>
      <c r="G126" t="inlineStr">
        <is>
          <t>HUDIKSVALL</t>
        </is>
      </c>
      <c r="I126" t="n">
        <v>1.6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50818-2022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44867</v>
      </c>
      <c r="E127" s="1" t="n">
        <v>46307</v>
      </c>
      <c r="F127" t="inlineStr">
        <is>
          <t>GÄVLEBORGS LÄN</t>
        </is>
      </c>
      <c r="G127" t="inlineStr">
        <is>
          <t>HUDIKSVALL</t>
        </is>
      </c>
      <c r="I127" t="n">
        <v>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70219-2021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44535</v>
      </c>
      <c r="E128" s="1" t="n">
        <v>46307</v>
      </c>
      <c r="F128" t="inlineStr">
        <is>
          <t>GÄVLEBORGS LÄN</t>
        </is>
      </c>
      <c r="G128" t="inlineStr">
        <is>
          <t>HUDIKSVALL</t>
        </is>
      </c>
      <c r="I128" t="n">
        <v>1.5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60040-2021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44495</v>
      </c>
      <c r="E129" s="1" t="n">
        <v>46307</v>
      </c>
      <c r="F129" t="inlineStr">
        <is>
          <t>GÄVLEBORGS LÄN</t>
        </is>
      </c>
      <c r="G129" t="inlineStr">
        <is>
          <t>HUDIKSVALL</t>
        </is>
      </c>
      <c r="H129" t="inlineStr">
        <is>
          <t>Holmen skog AB</t>
        </is>
      </c>
      <c r="I129" t="n">
        <v>10.4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54706-2022</t>
        </is>
      </c>
      <c r="B130" t="inlineStr">
        <is>
          <t>avverkningsanmälan</t>
        </is>
      </c>
      <c r="C130" t="inlineStr">
        <is>
          <t>Avverkning för annat ändamål</t>
        </is>
      </c>
      <c r="D130" s="1" t="n">
        <v>44883</v>
      </c>
      <c r="E130" s="1" t="n">
        <v>46307</v>
      </c>
      <c r="F130" t="inlineStr">
        <is>
          <t>GÄVLEBORGS LÄN</t>
        </is>
      </c>
      <c r="G130" t="inlineStr">
        <is>
          <t>HUDIKSVALL</t>
        </is>
      </c>
      <c r="I130" t="n">
        <v>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50235-2022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44865</v>
      </c>
      <c r="E131" s="1" t="n">
        <v>46307</v>
      </c>
      <c r="F131" t="inlineStr">
        <is>
          <t>GÄVLEBORGS LÄN</t>
        </is>
      </c>
      <c r="G131" t="inlineStr">
        <is>
          <t>HUDIKSVALL</t>
        </is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63783-2021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44509</v>
      </c>
      <c r="E132" s="1" t="n">
        <v>46307</v>
      </c>
      <c r="F132" t="inlineStr">
        <is>
          <t>GÄVLEBORGS LÄN</t>
        </is>
      </c>
      <c r="G132" t="inlineStr">
        <is>
          <t>HUDIKSVALL</t>
        </is>
      </c>
      <c r="I132" t="n">
        <v>1.2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486-2022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44566</v>
      </c>
      <c r="E133" s="1" t="n">
        <v>46307</v>
      </c>
      <c r="F133" t="inlineStr">
        <is>
          <t>GÄVLEBORGS LÄN</t>
        </is>
      </c>
      <c r="G133" t="inlineStr">
        <is>
          <t>HUDIKSVALL</t>
        </is>
      </c>
      <c r="I133" t="n">
        <v>3.5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15876-2022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44664</v>
      </c>
      <c r="E134" s="1" t="n">
        <v>46307</v>
      </c>
      <c r="F134" t="inlineStr">
        <is>
          <t>GÄVLEBORGS LÄN</t>
        </is>
      </c>
      <c r="G134" t="inlineStr">
        <is>
          <t>HUDIKSVALL</t>
        </is>
      </c>
      <c r="H134" t="inlineStr">
        <is>
          <t>Holmen skog AB</t>
        </is>
      </c>
      <c r="I134" t="n">
        <v>1.8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21436-2022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44706</v>
      </c>
      <c r="E135" s="1" t="n">
        <v>46307</v>
      </c>
      <c r="F135" t="inlineStr">
        <is>
          <t>GÄVLEBORGS LÄN</t>
        </is>
      </c>
      <c r="G135" t="inlineStr">
        <is>
          <t>HUDIKSVALL</t>
        </is>
      </c>
      <c r="I135" t="n">
        <v>0.9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16344-2022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44670</v>
      </c>
      <c r="E136" s="1" t="n">
        <v>46307</v>
      </c>
      <c r="F136" t="inlineStr">
        <is>
          <t>GÄVLEBORGS LÄN</t>
        </is>
      </c>
      <c r="G136" t="inlineStr">
        <is>
          <t>HUDIKSVALL</t>
        </is>
      </c>
      <c r="I136" t="n">
        <v>0.8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480-2022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44566</v>
      </c>
      <c r="E137" s="1" t="n">
        <v>46307</v>
      </c>
      <c r="F137" t="inlineStr">
        <is>
          <t>GÄVLEBORGS LÄN</t>
        </is>
      </c>
      <c r="G137" t="inlineStr">
        <is>
          <t>HUDIKSVALL</t>
        </is>
      </c>
      <c r="I137" t="n">
        <v>4.9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62321-2021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44503</v>
      </c>
      <c r="E138" s="1" t="n">
        <v>46307</v>
      </c>
      <c r="F138" t="inlineStr">
        <is>
          <t>GÄVLEBORGS LÄN</t>
        </is>
      </c>
      <c r="G138" t="inlineStr">
        <is>
          <t>HUDIKSVALL</t>
        </is>
      </c>
      <c r="I138" t="n">
        <v>3.2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52947-2022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44875</v>
      </c>
      <c r="E139" s="1" t="n">
        <v>46307</v>
      </c>
      <c r="F139" t="inlineStr">
        <is>
          <t>GÄVLEBORGS LÄN</t>
        </is>
      </c>
      <c r="G139" t="inlineStr">
        <is>
          <t>HUDIKSVALL</t>
        </is>
      </c>
      <c r="H139" t="inlineStr">
        <is>
          <t>Holmen skog AB</t>
        </is>
      </c>
      <c r="I139" t="n">
        <v>1.1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57369-2021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44483</v>
      </c>
      <c r="E140" s="1" t="n">
        <v>46307</v>
      </c>
      <c r="F140" t="inlineStr">
        <is>
          <t>GÄVLEBORGS LÄN</t>
        </is>
      </c>
      <c r="G140" t="inlineStr">
        <is>
          <t>HUDIKSVALL</t>
        </is>
      </c>
      <c r="H140" t="inlineStr">
        <is>
          <t>Holmen skog AB</t>
        </is>
      </c>
      <c r="I140" t="n">
        <v>3.1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22198-2022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44712</v>
      </c>
      <c r="E141" s="1" t="n">
        <v>46307</v>
      </c>
      <c r="F141" t="inlineStr">
        <is>
          <t>GÄVLEBORGS LÄN</t>
        </is>
      </c>
      <c r="G141" t="inlineStr">
        <is>
          <t>HUDIKSVALL</t>
        </is>
      </c>
      <c r="H141" t="inlineStr">
        <is>
          <t>Holmen skog AB</t>
        </is>
      </c>
      <c r="I141" t="n">
        <v>4.5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1707-2022</t>
        </is>
      </c>
      <c r="B142" t="inlineStr">
        <is>
          <t>avverkningsanmälan</t>
        </is>
      </c>
      <c r="C142" t="inlineStr">
        <is>
          <t>Avverkning för annat ändamål</t>
        </is>
      </c>
      <c r="D142" s="1" t="n">
        <v>44574</v>
      </c>
      <c r="E142" s="1" t="n">
        <v>46307</v>
      </c>
      <c r="F142" t="inlineStr">
        <is>
          <t>GÄVLEBORGS LÄN</t>
        </is>
      </c>
      <c r="G142" t="inlineStr">
        <is>
          <t>HUDIKSVALL</t>
        </is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8328-2022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44610</v>
      </c>
      <c r="E143" s="1" t="n">
        <v>46307</v>
      </c>
      <c r="F143" t="inlineStr">
        <is>
          <t>GÄVLEBORGS LÄN</t>
        </is>
      </c>
      <c r="G143" t="inlineStr">
        <is>
          <t>HUDIKSVALL</t>
        </is>
      </c>
      <c r="I143" t="n">
        <v>11.9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20602-2022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44700</v>
      </c>
      <c r="E144" s="1" t="n">
        <v>46307</v>
      </c>
      <c r="F144" t="inlineStr">
        <is>
          <t>GÄVLEBORGS LÄN</t>
        </is>
      </c>
      <c r="G144" t="inlineStr">
        <is>
          <t>HUDIKSVALL</t>
        </is>
      </c>
      <c r="H144" t="inlineStr">
        <is>
          <t>Holmen skog AB</t>
        </is>
      </c>
      <c r="I144" t="n">
        <v>1.2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14394-2022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44652</v>
      </c>
      <c r="E145" s="1" t="n">
        <v>46307</v>
      </c>
      <c r="F145" t="inlineStr">
        <is>
          <t>GÄVLEBORGS LÄN</t>
        </is>
      </c>
      <c r="G145" t="inlineStr">
        <is>
          <t>HUDIKSVALL</t>
        </is>
      </c>
      <c r="I145" t="n">
        <v>1.7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14409-2022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44652</v>
      </c>
      <c r="E146" s="1" t="n">
        <v>46307</v>
      </c>
      <c r="F146" t="inlineStr">
        <is>
          <t>GÄVLEBORGS LÄN</t>
        </is>
      </c>
      <c r="G146" t="inlineStr">
        <is>
          <t>HUDIKSVALL</t>
        </is>
      </c>
      <c r="I146" t="n">
        <v>23.2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11172-2022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44629</v>
      </c>
      <c r="E147" s="1" t="n">
        <v>46307</v>
      </c>
      <c r="F147" t="inlineStr">
        <is>
          <t>GÄVLEBORGS LÄN</t>
        </is>
      </c>
      <c r="G147" t="inlineStr">
        <is>
          <t>HUDIKSVALL</t>
        </is>
      </c>
      <c r="H147" t="inlineStr">
        <is>
          <t>Holmen skog AB</t>
        </is>
      </c>
      <c r="I147" t="n">
        <v>3.2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20022-2022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44697</v>
      </c>
      <c r="E148" s="1" t="n">
        <v>46307</v>
      </c>
      <c r="F148" t="inlineStr">
        <is>
          <t>GÄVLEBORGS LÄN</t>
        </is>
      </c>
      <c r="G148" t="inlineStr">
        <is>
          <t>HUDIKSVALL</t>
        </is>
      </c>
      <c r="I148" t="n">
        <v>1.1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44425-2022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44839</v>
      </c>
      <c r="E149" s="1" t="n">
        <v>46307</v>
      </c>
      <c r="F149" t="inlineStr">
        <is>
          <t>GÄVLEBORGS LÄN</t>
        </is>
      </c>
      <c r="G149" t="inlineStr">
        <is>
          <t>HUDIKSVALL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19343-2022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44692</v>
      </c>
      <c r="E150" s="1" t="n">
        <v>46307</v>
      </c>
      <c r="F150" t="inlineStr">
        <is>
          <t>GÄVLEBORGS LÄN</t>
        </is>
      </c>
      <c r="G150" t="inlineStr">
        <is>
          <t>HUDIKSVALL</t>
        </is>
      </c>
      <c r="H150" t="inlineStr">
        <is>
          <t>Holmen skog AB</t>
        </is>
      </c>
      <c r="I150" t="n">
        <v>1.4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19346-2022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44692</v>
      </c>
      <c r="E151" s="1" t="n">
        <v>46307</v>
      </c>
      <c r="F151" t="inlineStr">
        <is>
          <t>GÄVLEBORGS LÄN</t>
        </is>
      </c>
      <c r="G151" t="inlineStr">
        <is>
          <t>HUDIKSVALL</t>
        </is>
      </c>
      <c r="H151" t="inlineStr">
        <is>
          <t>Holmen skog AB</t>
        </is>
      </c>
      <c r="I151" t="n">
        <v>1.4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39114-2022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44817</v>
      </c>
      <c r="E152" s="1" t="n">
        <v>46307</v>
      </c>
      <c r="F152" t="inlineStr">
        <is>
          <t>GÄVLEBORGS LÄN</t>
        </is>
      </c>
      <c r="G152" t="inlineStr">
        <is>
          <t>HUDIKSVALL</t>
        </is>
      </c>
      <c r="H152" t="inlineStr">
        <is>
          <t>Holmen skog AB</t>
        </is>
      </c>
      <c r="I152" t="n">
        <v>1.7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8281-2022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44610</v>
      </c>
      <c r="E153" s="1" t="n">
        <v>46307</v>
      </c>
      <c r="F153" t="inlineStr">
        <is>
          <t>GÄVLEBORGS LÄN</t>
        </is>
      </c>
      <c r="G153" t="inlineStr">
        <is>
          <t>HUDIKSVALL</t>
        </is>
      </c>
      <c r="I153" t="n">
        <v>13.9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10858-2022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44627</v>
      </c>
      <c r="E154" s="1" t="n">
        <v>46307</v>
      </c>
      <c r="F154" t="inlineStr">
        <is>
          <t>GÄVLEBORGS LÄN</t>
        </is>
      </c>
      <c r="G154" t="inlineStr">
        <is>
          <t>HUDIKSVALL</t>
        </is>
      </c>
      <c r="I154" t="n">
        <v>1.8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46064-2022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44847</v>
      </c>
      <c r="E155" s="1" t="n">
        <v>46307</v>
      </c>
      <c r="F155" t="inlineStr">
        <is>
          <t>GÄVLEBORGS LÄN</t>
        </is>
      </c>
      <c r="G155" t="inlineStr">
        <is>
          <t>HUDIKSVALL</t>
        </is>
      </c>
      <c r="H155" t="inlineStr">
        <is>
          <t>Naturvårdsverket</t>
        </is>
      </c>
      <c r="I155" t="n">
        <v>0.8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18235-2022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44685</v>
      </c>
      <c r="E156" s="1" t="n">
        <v>46307</v>
      </c>
      <c r="F156" t="inlineStr">
        <is>
          <t>GÄVLEBORGS LÄN</t>
        </is>
      </c>
      <c r="G156" t="inlineStr">
        <is>
          <t>HUDIKSVALL</t>
        </is>
      </c>
      <c r="I156" t="n">
        <v>0.6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13819-2022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44649</v>
      </c>
      <c r="E157" s="1" t="n">
        <v>46307</v>
      </c>
      <c r="F157" t="inlineStr">
        <is>
          <t>GÄVLEBORGS LÄN</t>
        </is>
      </c>
      <c r="G157" t="inlineStr">
        <is>
          <t>HUDIKSVALL</t>
        </is>
      </c>
      <c r="H157" t="inlineStr">
        <is>
          <t>Holmen skog AB</t>
        </is>
      </c>
      <c r="I157" t="n">
        <v>0.9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65907-2021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44517</v>
      </c>
      <c r="E158" s="1" t="n">
        <v>46307</v>
      </c>
      <c r="F158" t="inlineStr">
        <is>
          <t>GÄVLEBORGS LÄN</t>
        </is>
      </c>
      <c r="G158" t="inlineStr">
        <is>
          <t>HUDIKSVALL</t>
        </is>
      </c>
      <c r="H158" t="inlineStr">
        <is>
          <t>Holmen skog AB</t>
        </is>
      </c>
      <c r="I158" t="n">
        <v>1.9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60626-2021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44496</v>
      </c>
      <c r="E159" s="1" t="n">
        <v>46307</v>
      </c>
      <c r="F159" t="inlineStr">
        <is>
          <t>GÄVLEBORGS LÄN</t>
        </is>
      </c>
      <c r="G159" t="inlineStr">
        <is>
          <t>HUDIKSVALL</t>
        </is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8081-2022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44609</v>
      </c>
      <c r="E160" s="1" t="n">
        <v>46307</v>
      </c>
      <c r="F160" t="inlineStr">
        <is>
          <t>GÄVLEBORGS LÄN</t>
        </is>
      </c>
      <c r="G160" t="inlineStr">
        <is>
          <t>HUDIKSVALL</t>
        </is>
      </c>
      <c r="I160" t="n">
        <v>0.9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8133-2022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44609</v>
      </c>
      <c r="E161" s="1" t="n">
        <v>46307</v>
      </c>
      <c r="F161" t="inlineStr">
        <is>
          <t>GÄVLEBORGS LÄN</t>
        </is>
      </c>
      <c r="G161" t="inlineStr">
        <is>
          <t>HUDIKSVALL</t>
        </is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40593-2022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44823</v>
      </c>
      <c r="E162" s="1" t="n">
        <v>46307</v>
      </c>
      <c r="F162" t="inlineStr">
        <is>
          <t>GÄVLEBORGS LÄN</t>
        </is>
      </c>
      <c r="G162" t="inlineStr">
        <is>
          <t>HUDIKSVALL</t>
        </is>
      </c>
      <c r="H162" t="inlineStr">
        <is>
          <t>Holmen skog AB</t>
        </is>
      </c>
      <c r="I162" t="n">
        <v>15.3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39258-2022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44817</v>
      </c>
      <c r="E163" s="1" t="n">
        <v>46307</v>
      </c>
      <c r="F163" t="inlineStr">
        <is>
          <t>GÄVLEBORGS LÄN</t>
        </is>
      </c>
      <c r="G163" t="inlineStr">
        <is>
          <t>HUDIKSVALL</t>
        </is>
      </c>
      <c r="H163" t="inlineStr">
        <is>
          <t>Holmen skog AB</t>
        </is>
      </c>
      <c r="I163" t="n">
        <v>3.4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44181-2022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44839</v>
      </c>
      <c r="E164" s="1" t="n">
        <v>46307</v>
      </c>
      <c r="F164" t="inlineStr">
        <is>
          <t>GÄVLEBORGS LÄN</t>
        </is>
      </c>
      <c r="G164" t="inlineStr">
        <is>
          <t>HUDIKSVALL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17342-2022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44678</v>
      </c>
      <c r="E165" s="1" t="n">
        <v>46307</v>
      </c>
      <c r="F165" t="inlineStr">
        <is>
          <t>GÄVLEBORGS LÄN</t>
        </is>
      </c>
      <c r="G165" t="inlineStr">
        <is>
          <t>HUDIKSVALL</t>
        </is>
      </c>
      <c r="H165" t="inlineStr">
        <is>
          <t>Holmen skog AB</t>
        </is>
      </c>
      <c r="I165" t="n">
        <v>2.7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59742-2022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44908</v>
      </c>
      <c r="E166" s="1" t="n">
        <v>46307</v>
      </c>
      <c r="F166" t="inlineStr">
        <is>
          <t>GÄVLEBORGS LÄN</t>
        </is>
      </c>
      <c r="G166" t="inlineStr">
        <is>
          <t>HUDIKSVALL</t>
        </is>
      </c>
      <c r="H166" t="inlineStr">
        <is>
          <t>Holmen skog AB</t>
        </is>
      </c>
      <c r="I166" t="n">
        <v>0.8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51567-2022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44869</v>
      </c>
      <c r="E167" s="1" t="n">
        <v>46307</v>
      </c>
      <c r="F167" t="inlineStr">
        <is>
          <t>GÄVLEBORGS LÄN</t>
        </is>
      </c>
      <c r="G167" t="inlineStr">
        <is>
          <t>HUDIKSVALL</t>
        </is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24033-2024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45456</v>
      </c>
      <c r="E168" s="1" t="n">
        <v>46307</v>
      </c>
      <c r="F168" t="inlineStr">
        <is>
          <t>GÄVLEBORGS LÄN</t>
        </is>
      </c>
      <c r="G168" t="inlineStr">
        <is>
          <t>HUDIKSVALL</t>
        </is>
      </c>
      <c r="H168" t="inlineStr">
        <is>
          <t>Holmen skog AB</t>
        </is>
      </c>
      <c r="I168" t="n">
        <v>22.8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16093-2024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45406</v>
      </c>
      <c r="E169" s="1" t="n">
        <v>46307</v>
      </c>
      <c r="F169" t="inlineStr">
        <is>
          <t>GÄVLEBORGS LÄN</t>
        </is>
      </c>
      <c r="G169" t="inlineStr">
        <is>
          <t>HUDIKSVALL</t>
        </is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8595-2023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44977</v>
      </c>
      <c r="E170" s="1" t="n">
        <v>46307</v>
      </c>
      <c r="F170" t="inlineStr">
        <is>
          <t>GÄVLEBORGS LÄN</t>
        </is>
      </c>
      <c r="G170" t="inlineStr">
        <is>
          <t>HUDIKSVALL</t>
        </is>
      </c>
      <c r="I170" t="n">
        <v>0.4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54173-2023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45232</v>
      </c>
      <c r="E171" s="1" t="n">
        <v>46307</v>
      </c>
      <c r="F171" t="inlineStr">
        <is>
          <t>GÄVLEBORGS LÄN</t>
        </is>
      </c>
      <c r="G171" t="inlineStr">
        <is>
          <t>HUDIKSVALL</t>
        </is>
      </c>
      <c r="I171" t="n">
        <v>3.2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16768-2024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45411</v>
      </c>
      <c r="E172" s="1" t="n">
        <v>46307</v>
      </c>
      <c r="F172" t="inlineStr">
        <is>
          <t>GÄVLEBORGS LÄN</t>
        </is>
      </c>
      <c r="G172" t="inlineStr">
        <is>
          <t>HUDIKSVALL</t>
        </is>
      </c>
      <c r="H172" t="inlineStr">
        <is>
          <t>Holmen skog AB</t>
        </is>
      </c>
      <c r="I172" t="n">
        <v>0.6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16827-2024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45411</v>
      </c>
      <c r="E173" s="1" t="n">
        <v>46307</v>
      </c>
      <c r="F173" t="inlineStr">
        <is>
          <t>GÄVLEBORGS LÄN</t>
        </is>
      </c>
      <c r="G173" t="inlineStr">
        <is>
          <t>HUDIKSVALL</t>
        </is>
      </c>
      <c r="H173" t="inlineStr">
        <is>
          <t>Holmen skog AB</t>
        </is>
      </c>
      <c r="I173" t="n">
        <v>5.9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42981-2022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44833</v>
      </c>
      <c r="E174" s="1" t="n">
        <v>46307</v>
      </c>
      <c r="F174" t="inlineStr">
        <is>
          <t>GÄVLEBORGS LÄN</t>
        </is>
      </c>
      <c r="G174" t="inlineStr">
        <is>
          <t>HUDIKSVALL</t>
        </is>
      </c>
      <c r="H174" t="inlineStr">
        <is>
          <t>Holmen skog AB</t>
        </is>
      </c>
      <c r="I174" t="n">
        <v>4.3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14955-2023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45015</v>
      </c>
      <c r="E175" s="1" t="n">
        <v>46307</v>
      </c>
      <c r="F175" t="inlineStr">
        <is>
          <t>GÄVLEBORGS LÄN</t>
        </is>
      </c>
      <c r="G175" t="inlineStr">
        <is>
          <t>HUDIKSVALL</t>
        </is>
      </c>
      <c r="I175" t="n">
        <v>9.699999999999999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26547-2024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45469</v>
      </c>
      <c r="E176" s="1" t="n">
        <v>46307</v>
      </c>
      <c r="F176" t="inlineStr">
        <is>
          <t>GÄVLEBORGS LÄN</t>
        </is>
      </c>
      <c r="G176" t="inlineStr">
        <is>
          <t>HUDIKSVALL</t>
        </is>
      </c>
      <c r="H176" t="inlineStr">
        <is>
          <t>Holmen skog AB</t>
        </is>
      </c>
      <c r="I176" t="n">
        <v>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57967-2022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44900</v>
      </c>
      <c r="E177" s="1" t="n">
        <v>46307</v>
      </c>
      <c r="F177" t="inlineStr">
        <is>
          <t>GÄVLEBORGS LÄN</t>
        </is>
      </c>
      <c r="G177" t="inlineStr">
        <is>
          <t>HUDIKSVALL</t>
        </is>
      </c>
      <c r="H177" t="inlineStr">
        <is>
          <t>Holmen skog AB</t>
        </is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4300-2024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45324</v>
      </c>
      <c r="E178" s="1" t="n">
        <v>46307</v>
      </c>
      <c r="F178" t="inlineStr">
        <is>
          <t>GÄVLEBORGS LÄN</t>
        </is>
      </c>
      <c r="G178" t="inlineStr">
        <is>
          <t>HUDIKSVALL</t>
        </is>
      </c>
      <c r="I178" t="n">
        <v>3.6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33704-2023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45132</v>
      </c>
      <c r="E179" s="1" t="n">
        <v>46307</v>
      </c>
      <c r="F179" t="inlineStr">
        <is>
          <t>GÄVLEBORGS LÄN</t>
        </is>
      </c>
      <c r="G179" t="inlineStr">
        <is>
          <t>HUDIKSVALL</t>
        </is>
      </c>
      <c r="I179" t="n">
        <v>7.8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56637-2022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44893</v>
      </c>
      <c r="E180" s="1" t="n">
        <v>46307</v>
      </c>
      <c r="F180" t="inlineStr">
        <is>
          <t>GÄVLEBORGS LÄN</t>
        </is>
      </c>
      <c r="G180" t="inlineStr">
        <is>
          <t>HUDIKSVALL</t>
        </is>
      </c>
      <c r="H180" t="inlineStr">
        <is>
          <t>Holmen skog AB</t>
        </is>
      </c>
      <c r="I180" t="n">
        <v>0.8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49713-2022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44862</v>
      </c>
      <c r="E181" s="1" t="n">
        <v>46307</v>
      </c>
      <c r="F181" t="inlineStr">
        <is>
          <t>GÄVLEBORGS LÄN</t>
        </is>
      </c>
      <c r="G181" t="inlineStr">
        <is>
          <t>HUDIKSVALL</t>
        </is>
      </c>
      <c r="I181" t="n">
        <v>3.1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11107-2024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45371</v>
      </c>
      <c r="E182" s="1" t="n">
        <v>46307</v>
      </c>
      <c r="F182" t="inlineStr">
        <is>
          <t>GÄVLEBORGS LÄN</t>
        </is>
      </c>
      <c r="G182" t="inlineStr">
        <is>
          <t>HUDIKSVALL</t>
        </is>
      </c>
      <c r="H182" t="inlineStr">
        <is>
          <t>Holmen skog AB</t>
        </is>
      </c>
      <c r="I182" t="n">
        <v>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30122-2023</t>
        </is>
      </c>
      <c r="B183" t="inlineStr">
        <is>
          <t>avverkningsanmälan</t>
        </is>
      </c>
      <c r="C183" t="inlineStr">
        <is>
          <t>Avverkning för annat ändamål</t>
        </is>
      </c>
      <c r="D183" s="1" t="n">
        <v>45110</v>
      </c>
      <c r="E183" s="1" t="n">
        <v>46307</v>
      </c>
      <c r="F183" t="inlineStr">
        <is>
          <t>GÄVLEBORGS LÄN</t>
        </is>
      </c>
      <c r="G183" t="inlineStr">
        <is>
          <t>HUDIKSVALL</t>
        </is>
      </c>
      <c r="I183" t="n">
        <v>0.4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13484-2023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45005</v>
      </c>
      <c r="E184" s="1" t="n">
        <v>46307</v>
      </c>
      <c r="F184" t="inlineStr">
        <is>
          <t>GÄVLEBORGS LÄN</t>
        </is>
      </c>
      <c r="G184" t="inlineStr">
        <is>
          <t>HUDIKSVALL</t>
        </is>
      </c>
      <c r="I184" t="n">
        <v>4.3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56709-2024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45627</v>
      </c>
      <c r="E185" s="1" t="n">
        <v>46307</v>
      </c>
      <c r="F185" t="inlineStr">
        <is>
          <t>GÄVLEBORGS LÄN</t>
        </is>
      </c>
      <c r="G185" t="inlineStr">
        <is>
          <t>HUDIKSVALL</t>
        </is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61785-2024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45649</v>
      </c>
      <c r="E186" s="1" t="n">
        <v>46307</v>
      </c>
      <c r="F186" t="inlineStr">
        <is>
          <t>GÄVLEBORGS LÄN</t>
        </is>
      </c>
      <c r="G186" t="inlineStr">
        <is>
          <t>HUDIKSVALL</t>
        </is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61792-2024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45649</v>
      </c>
      <c r="E187" s="1" t="n">
        <v>46307</v>
      </c>
      <c r="F187" t="inlineStr">
        <is>
          <t>GÄVLEBORGS LÄN</t>
        </is>
      </c>
      <c r="G187" t="inlineStr">
        <is>
          <t>HUDIKSVALL</t>
        </is>
      </c>
      <c r="I187" t="n">
        <v>1.2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15233-2023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45019</v>
      </c>
      <c r="E188" s="1" t="n">
        <v>46307</v>
      </c>
      <c r="F188" t="inlineStr">
        <is>
          <t>GÄVLEBORGS LÄN</t>
        </is>
      </c>
      <c r="G188" t="inlineStr">
        <is>
          <t>HUDIKSVALL</t>
        </is>
      </c>
      <c r="H188" t="inlineStr">
        <is>
          <t>Holmen skog AB</t>
        </is>
      </c>
      <c r="I188" t="n">
        <v>4.8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59798-2022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44908</v>
      </c>
      <c r="E189" s="1" t="n">
        <v>46307</v>
      </c>
      <c r="F189" t="inlineStr">
        <is>
          <t>GÄVLEBORGS LÄN</t>
        </is>
      </c>
      <c r="G189" t="inlineStr">
        <is>
          <t>HUDIKSVALL</t>
        </is>
      </c>
      <c r="I189" t="n">
        <v>0.4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34982-2024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45527</v>
      </c>
      <c r="E190" s="1" t="n">
        <v>46307</v>
      </c>
      <c r="F190" t="inlineStr">
        <is>
          <t>GÄVLEBORGS LÄN</t>
        </is>
      </c>
      <c r="G190" t="inlineStr">
        <is>
          <t>HUDIKSVALL</t>
        </is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57716-2022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44897</v>
      </c>
      <c r="E191" s="1" t="n">
        <v>46307</v>
      </c>
      <c r="F191" t="inlineStr">
        <is>
          <t>GÄVLEBORGS LÄN</t>
        </is>
      </c>
      <c r="G191" t="inlineStr">
        <is>
          <t>HUDIKSVALL</t>
        </is>
      </c>
      <c r="H191" t="inlineStr">
        <is>
          <t>Holmen skog AB</t>
        </is>
      </c>
      <c r="I191" t="n">
        <v>2.7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7237-2025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45702</v>
      </c>
      <c r="E192" s="1" t="n">
        <v>46307</v>
      </c>
      <c r="F192" t="inlineStr">
        <is>
          <t>GÄVLEBORGS LÄN</t>
        </is>
      </c>
      <c r="G192" t="inlineStr">
        <is>
          <t>HUDIKSVALL</t>
        </is>
      </c>
      <c r="I192" t="n">
        <v>3.4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9366-2024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45359</v>
      </c>
      <c r="E193" s="1" t="n">
        <v>46307</v>
      </c>
      <c r="F193" t="inlineStr">
        <is>
          <t>GÄVLEBORGS LÄN</t>
        </is>
      </c>
      <c r="G193" t="inlineStr">
        <is>
          <t>HUDIKSVALL</t>
        </is>
      </c>
      <c r="H193" t="inlineStr">
        <is>
          <t>Holmen skog AB</t>
        </is>
      </c>
      <c r="I193" t="n">
        <v>13.6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11409-2024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45372</v>
      </c>
      <c r="E194" s="1" t="n">
        <v>46307</v>
      </c>
      <c r="F194" t="inlineStr">
        <is>
          <t>GÄVLEBORGS LÄN</t>
        </is>
      </c>
      <c r="G194" t="inlineStr">
        <is>
          <t>HUDIKSVALL</t>
        </is>
      </c>
      <c r="H194" t="inlineStr">
        <is>
          <t>Holmen skog AB</t>
        </is>
      </c>
      <c r="I194" t="n">
        <v>8.199999999999999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24201-2023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45079</v>
      </c>
      <c r="E195" s="1" t="n">
        <v>46307</v>
      </c>
      <c r="F195" t="inlineStr">
        <is>
          <t>GÄVLEBORGS LÄN</t>
        </is>
      </c>
      <c r="G195" t="inlineStr">
        <is>
          <t>HUDIKSVALL</t>
        </is>
      </c>
      <c r="I195" t="n">
        <v>1.4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54625-2023</t>
        </is>
      </c>
      <c r="B196" t="inlineStr">
        <is>
          <t>avverkningsanmälan</t>
        </is>
      </c>
      <c r="C196" t="inlineStr">
        <is>
          <t>Avverkning för annat ändamål</t>
        </is>
      </c>
      <c r="D196" s="1" t="n">
        <v>45234</v>
      </c>
      <c r="E196" s="1" t="n">
        <v>46307</v>
      </c>
      <c r="F196" t="inlineStr">
        <is>
          <t>GÄVLEBORGS LÄN</t>
        </is>
      </c>
      <c r="G196" t="inlineStr">
        <is>
          <t>HUDIKSVALL</t>
        </is>
      </c>
      <c r="I196" t="n">
        <v>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55460-2024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45622</v>
      </c>
      <c r="E197" s="1" t="n">
        <v>46307</v>
      </c>
      <c r="F197" t="inlineStr">
        <is>
          <t>GÄVLEBORGS LÄN</t>
        </is>
      </c>
      <c r="G197" t="inlineStr">
        <is>
          <t>HUDIKSVALL</t>
        </is>
      </c>
      <c r="H197" t="inlineStr">
        <is>
          <t>Holmen skog AB</t>
        </is>
      </c>
      <c r="I197" t="n">
        <v>0.6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44168-2022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44839</v>
      </c>
      <c r="E198" s="1" t="n">
        <v>46307</v>
      </c>
      <c r="F198" t="inlineStr">
        <is>
          <t>GÄVLEBORGS LÄN</t>
        </is>
      </c>
      <c r="G198" t="inlineStr">
        <is>
          <t>HUDIKSVALL</t>
        </is>
      </c>
      <c r="I198" t="n">
        <v>3.2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18887-2023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45044</v>
      </c>
      <c r="E199" s="1" t="n">
        <v>46307</v>
      </c>
      <c r="F199" t="inlineStr">
        <is>
          <t>GÄVLEBORGS LÄN</t>
        </is>
      </c>
      <c r="G199" t="inlineStr">
        <is>
          <t>HUDIKSVALL</t>
        </is>
      </c>
      <c r="I199" t="n">
        <v>2.6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47149-2024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45586</v>
      </c>
      <c r="E200" s="1" t="n">
        <v>46307</v>
      </c>
      <c r="F200" t="inlineStr">
        <is>
          <t>GÄVLEBORGS LÄN</t>
        </is>
      </c>
      <c r="G200" t="inlineStr">
        <is>
          <t>HUDIKSVALL</t>
        </is>
      </c>
      <c r="I200" t="n">
        <v>0.8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18912-2025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45764</v>
      </c>
      <c r="E201" s="1" t="n">
        <v>46307</v>
      </c>
      <c r="F201" t="inlineStr">
        <is>
          <t>GÄVLEBORGS LÄN</t>
        </is>
      </c>
      <c r="G201" t="inlineStr">
        <is>
          <t>HUDIKSVALL</t>
        </is>
      </c>
      <c r="H201" t="inlineStr">
        <is>
          <t>Holmen skog AB</t>
        </is>
      </c>
      <c r="I201" t="n">
        <v>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59856-2022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44908</v>
      </c>
      <c r="E202" s="1" t="n">
        <v>46307</v>
      </c>
      <c r="F202" t="inlineStr">
        <is>
          <t>GÄVLEBORGS LÄN</t>
        </is>
      </c>
      <c r="G202" t="inlineStr">
        <is>
          <t>HUDIKSVALL</t>
        </is>
      </c>
      <c r="I202" t="n">
        <v>2.8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15963-2025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45749</v>
      </c>
      <c r="E203" s="1" t="n">
        <v>46307</v>
      </c>
      <c r="F203" t="inlineStr">
        <is>
          <t>GÄVLEBORGS LÄN</t>
        </is>
      </c>
      <c r="G203" t="inlineStr">
        <is>
          <t>HUDIKSVALL</t>
        </is>
      </c>
      <c r="I203" t="n">
        <v>0.6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24372-2023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45082</v>
      </c>
      <c r="E204" s="1" t="n">
        <v>46307</v>
      </c>
      <c r="F204" t="inlineStr">
        <is>
          <t>GÄVLEBORGS LÄN</t>
        </is>
      </c>
      <c r="G204" t="inlineStr">
        <is>
          <t>HUDIKSVALL</t>
        </is>
      </c>
      <c r="I204" t="n">
        <v>5.9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56894-2023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45244</v>
      </c>
      <c r="E205" s="1" t="n">
        <v>46307</v>
      </c>
      <c r="F205" t="inlineStr">
        <is>
          <t>GÄVLEBORGS LÄN</t>
        </is>
      </c>
      <c r="G205" t="inlineStr">
        <is>
          <t>HUDIKSVALL</t>
        </is>
      </c>
      <c r="H205" t="inlineStr">
        <is>
          <t>Holmen skog AB</t>
        </is>
      </c>
      <c r="I205" t="n">
        <v>0.8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47995-2024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45589</v>
      </c>
      <c r="E206" s="1" t="n">
        <v>46307</v>
      </c>
      <c r="F206" t="inlineStr">
        <is>
          <t>GÄVLEBORGS LÄN</t>
        </is>
      </c>
      <c r="G206" t="inlineStr">
        <is>
          <t>HUDIKSVALL</t>
        </is>
      </c>
      <c r="I206" t="n">
        <v>2.2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5622-2025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45693</v>
      </c>
      <c r="E207" s="1" t="n">
        <v>46307</v>
      </c>
      <c r="F207" t="inlineStr">
        <is>
          <t>GÄVLEBORGS LÄN</t>
        </is>
      </c>
      <c r="G207" t="inlineStr">
        <is>
          <t>HUDIKSVALL</t>
        </is>
      </c>
      <c r="I207" t="n">
        <v>2.6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21251-2023</t>
        </is>
      </c>
      <c r="B208" t="inlineStr">
        <is>
          <t>avverkningsanmälan</t>
        </is>
      </c>
      <c r="C208" t="inlineStr">
        <is>
          <t>Avverkning för annat ändamål</t>
        </is>
      </c>
      <c r="D208" s="1" t="n">
        <v>45062</v>
      </c>
      <c r="E208" s="1" t="n">
        <v>46307</v>
      </c>
      <c r="F208" t="inlineStr">
        <is>
          <t>GÄVLEBORGS LÄN</t>
        </is>
      </c>
      <c r="G208" t="inlineStr">
        <is>
          <t>HUDIKSVALL</t>
        </is>
      </c>
      <c r="I208" t="n">
        <v>0.6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23928-2023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45078</v>
      </c>
      <c r="E209" s="1" t="n">
        <v>46307</v>
      </c>
      <c r="F209" t="inlineStr">
        <is>
          <t>GÄVLEBORGS LÄN</t>
        </is>
      </c>
      <c r="G209" t="inlineStr">
        <is>
          <t>HUDIKSVALL</t>
        </is>
      </c>
      <c r="H209" t="inlineStr">
        <is>
          <t>Holmen skog AB</t>
        </is>
      </c>
      <c r="I209" t="n">
        <v>5.7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61207-2022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44915</v>
      </c>
      <c r="E210" s="1" t="n">
        <v>46307</v>
      </c>
      <c r="F210" t="inlineStr">
        <is>
          <t>GÄVLEBORGS LÄN</t>
        </is>
      </c>
      <c r="G210" t="inlineStr">
        <is>
          <t>HUDIKSVALL</t>
        </is>
      </c>
      <c r="H210" t="inlineStr">
        <is>
          <t>Holmen skog AB</t>
        </is>
      </c>
      <c r="I210" t="n">
        <v>4.2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28174-2023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45099</v>
      </c>
      <c r="E211" s="1" t="n">
        <v>46307</v>
      </c>
      <c r="F211" t="inlineStr">
        <is>
          <t>GÄVLEBORGS LÄN</t>
        </is>
      </c>
      <c r="G211" t="inlineStr">
        <is>
          <t>HUDIKSVALL</t>
        </is>
      </c>
      <c r="I211" t="n">
        <v>3.3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59064-2022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44904</v>
      </c>
      <c r="E212" s="1" t="n">
        <v>46307</v>
      </c>
      <c r="F212" t="inlineStr">
        <is>
          <t>GÄVLEBORGS LÄN</t>
        </is>
      </c>
      <c r="G212" t="inlineStr">
        <is>
          <t>HUDIKSVALL</t>
        </is>
      </c>
      <c r="H212" t="inlineStr">
        <is>
          <t>Kyrkan</t>
        </is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30697-2024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45496</v>
      </c>
      <c r="E213" s="1" t="n">
        <v>46307</v>
      </c>
      <c r="F213" t="inlineStr">
        <is>
          <t>GÄVLEBORGS LÄN</t>
        </is>
      </c>
      <c r="G213" t="inlineStr">
        <is>
          <t>HUDIKSVALL</t>
        </is>
      </c>
      <c r="I213" t="n">
        <v>2.9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36407-2024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45535</v>
      </c>
      <c r="E214" s="1" t="n">
        <v>46307</v>
      </c>
      <c r="F214" t="inlineStr">
        <is>
          <t>GÄVLEBORGS LÄN</t>
        </is>
      </c>
      <c r="G214" t="inlineStr">
        <is>
          <t>HUDIKSVALL</t>
        </is>
      </c>
      <c r="H214" t="inlineStr">
        <is>
          <t>Holmen skog AB</t>
        </is>
      </c>
      <c r="I214" t="n">
        <v>7.7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365-2024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45295</v>
      </c>
      <c r="E215" s="1" t="n">
        <v>46307</v>
      </c>
      <c r="F215" t="inlineStr">
        <is>
          <t>GÄVLEBORGS LÄN</t>
        </is>
      </c>
      <c r="G215" t="inlineStr">
        <is>
          <t>HUDIKSVALL</t>
        </is>
      </c>
      <c r="I215" t="n">
        <v>1.5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48593-2024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45593</v>
      </c>
      <c r="E216" s="1" t="n">
        <v>46307</v>
      </c>
      <c r="F216" t="inlineStr">
        <is>
          <t>GÄVLEBORGS LÄN</t>
        </is>
      </c>
      <c r="G216" t="inlineStr">
        <is>
          <t>HUDIKSVALL</t>
        </is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19600-2024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45431</v>
      </c>
      <c r="E217" s="1" t="n">
        <v>46307</v>
      </c>
      <c r="F217" t="inlineStr">
        <is>
          <t>GÄVLEBORGS LÄN</t>
        </is>
      </c>
      <c r="G217" t="inlineStr">
        <is>
          <t>HUDIKSVALL</t>
        </is>
      </c>
      <c r="H217" t="inlineStr">
        <is>
          <t>Holmen skog AB</t>
        </is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36405-2024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45535</v>
      </c>
      <c r="E218" s="1" t="n">
        <v>46307</v>
      </c>
      <c r="F218" t="inlineStr">
        <is>
          <t>GÄVLEBORGS LÄN</t>
        </is>
      </c>
      <c r="G218" t="inlineStr">
        <is>
          <t>HUDIKSVALL</t>
        </is>
      </c>
      <c r="H218" t="inlineStr">
        <is>
          <t>Holmen skog AB</t>
        </is>
      </c>
      <c r="I218" t="n">
        <v>16.8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20612-2024</t>
        </is>
      </c>
      <c r="B219" t="inlineStr">
        <is>
          <t>avverkningsanmälan</t>
        </is>
      </c>
      <c r="C219" t="inlineStr">
        <is>
          <t>Avverkning för annat ändamål</t>
        </is>
      </c>
      <c r="D219" s="1" t="n">
        <v>45436</v>
      </c>
      <c r="E219" s="1" t="n">
        <v>46307</v>
      </c>
      <c r="F219" t="inlineStr">
        <is>
          <t>GÄVLEBORGS LÄN</t>
        </is>
      </c>
      <c r="G219" t="inlineStr">
        <is>
          <t>HUDIKSVALL</t>
        </is>
      </c>
      <c r="I219" t="n">
        <v>0.4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57815-2023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45247</v>
      </c>
      <c r="E220" s="1" t="n">
        <v>46307</v>
      </c>
      <c r="F220" t="inlineStr">
        <is>
          <t>GÄVLEBORGS LÄN</t>
        </is>
      </c>
      <c r="G220" t="inlineStr">
        <is>
          <t>HUDIKSVALL</t>
        </is>
      </c>
      <c r="H220" t="inlineStr">
        <is>
          <t>Holmen skog AB</t>
        </is>
      </c>
      <c r="I220" t="n">
        <v>1.1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2662-2025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45676</v>
      </c>
      <c r="E221" s="1" t="n">
        <v>46307</v>
      </c>
      <c r="F221" t="inlineStr">
        <is>
          <t>GÄVLEBORGS LÄN</t>
        </is>
      </c>
      <c r="G221" t="inlineStr">
        <is>
          <t>HUDIKSVALL</t>
        </is>
      </c>
      <c r="I221" t="n">
        <v>2.1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57891-2023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45247</v>
      </c>
      <c r="E222" s="1" t="n">
        <v>46307</v>
      </c>
      <c r="F222" t="inlineStr">
        <is>
          <t>GÄVLEBORGS LÄN</t>
        </is>
      </c>
      <c r="G222" t="inlineStr">
        <is>
          <t>HUDIKSVALL</t>
        </is>
      </c>
      <c r="H222" t="inlineStr">
        <is>
          <t>Holmen skog AB</t>
        </is>
      </c>
      <c r="I222" t="n">
        <v>1.8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32353-2024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45512</v>
      </c>
      <c r="E223" s="1" t="n">
        <v>46307</v>
      </c>
      <c r="F223" t="inlineStr">
        <is>
          <t>GÄVLEBORGS LÄN</t>
        </is>
      </c>
      <c r="G223" t="inlineStr">
        <is>
          <t>HUDIKSVALL</t>
        </is>
      </c>
      <c r="H223" t="inlineStr">
        <is>
          <t>Holmen skog AB</t>
        </is>
      </c>
      <c r="I223" t="n">
        <v>2.1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5725-2024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45334</v>
      </c>
      <c r="E224" s="1" t="n">
        <v>46307</v>
      </c>
      <c r="F224" t="inlineStr">
        <is>
          <t>GÄVLEBORGS LÄN</t>
        </is>
      </c>
      <c r="G224" t="inlineStr">
        <is>
          <t>HUDIKSVALL</t>
        </is>
      </c>
      <c r="I224" t="n">
        <v>1.2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47320-2023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45202</v>
      </c>
      <c r="E225" s="1" t="n">
        <v>46307</v>
      </c>
      <c r="F225" t="inlineStr">
        <is>
          <t>GÄVLEBORGS LÄN</t>
        </is>
      </c>
      <c r="G225" t="inlineStr">
        <is>
          <t>HUDIKSVALL</t>
        </is>
      </c>
      <c r="H225" t="inlineStr">
        <is>
          <t>Holmen skog AB</t>
        </is>
      </c>
      <c r="I225" t="n">
        <v>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47335-2023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45202</v>
      </c>
      <c r="E226" s="1" t="n">
        <v>46307</v>
      </c>
      <c r="F226" t="inlineStr">
        <is>
          <t>GÄVLEBORGS LÄN</t>
        </is>
      </c>
      <c r="G226" t="inlineStr">
        <is>
          <t>HUDIKSVALL</t>
        </is>
      </c>
      <c r="H226" t="inlineStr">
        <is>
          <t>Holmen skog AB</t>
        </is>
      </c>
      <c r="I226" t="n">
        <v>4.2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2999-2025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45678</v>
      </c>
      <c r="E227" s="1" t="n">
        <v>46307</v>
      </c>
      <c r="F227" t="inlineStr">
        <is>
          <t>GÄVLEBORGS LÄN</t>
        </is>
      </c>
      <c r="G227" t="inlineStr">
        <is>
          <t>HUDIKSVALL</t>
        </is>
      </c>
      <c r="I227" t="n">
        <v>1.5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9804-2025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45716</v>
      </c>
      <c r="E228" s="1" t="n">
        <v>46307</v>
      </c>
      <c r="F228" t="inlineStr">
        <is>
          <t>GÄVLEBORGS LÄN</t>
        </is>
      </c>
      <c r="G228" t="inlineStr">
        <is>
          <t>HUDIKSVALL</t>
        </is>
      </c>
      <c r="I228" t="n">
        <v>2.4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17764-2025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45758</v>
      </c>
      <c r="E229" s="1" t="n">
        <v>46307</v>
      </c>
      <c r="F229" t="inlineStr">
        <is>
          <t>GÄVLEBORGS LÄN</t>
        </is>
      </c>
      <c r="G229" t="inlineStr">
        <is>
          <t>HUDIKSVALL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45221-2023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45191</v>
      </c>
      <c r="E230" s="1" t="n">
        <v>46307</v>
      </c>
      <c r="F230" t="inlineStr">
        <is>
          <t>GÄVLEBORGS LÄN</t>
        </is>
      </c>
      <c r="G230" t="inlineStr">
        <is>
          <t>HUDIKSVALL</t>
        </is>
      </c>
      <c r="H230" t="inlineStr">
        <is>
          <t>Holmen skog AB</t>
        </is>
      </c>
      <c r="I230" t="n">
        <v>1.2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53435-2023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45229</v>
      </c>
      <c r="E231" s="1" t="n">
        <v>46307</v>
      </c>
      <c r="F231" t="inlineStr">
        <is>
          <t>GÄVLEBORGS LÄN</t>
        </is>
      </c>
      <c r="G231" t="inlineStr">
        <is>
          <t>HUDIKSVALL</t>
        </is>
      </c>
      <c r="I231" t="n">
        <v>0.8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42136-2024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45562</v>
      </c>
      <c r="E232" s="1" t="n">
        <v>46307</v>
      </c>
      <c r="F232" t="inlineStr">
        <is>
          <t>GÄVLEBORGS LÄN</t>
        </is>
      </c>
      <c r="G232" t="inlineStr">
        <is>
          <t>HUDIKSVALL</t>
        </is>
      </c>
      <c r="H232" t="inlineStr">
        <is>
          <t>Holmen skog AB</t>
        </is>
      </c>
      <c r="I232" t="n">
        <v>0.7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37638-2022</t>
        </is>
      </c>
      <c r="B233" t="inlineStr">
        <is>
          <t>avverkningsanmälan</t>
        </is>
      </c>
      <c r="C233" t="inlineStr">
        <is>
          <t>Avverkning för annat ändamål</t>
        </is>
      </c>
      <c r="D233" s="1" t="n">
        <v>44810</v>
      </c>
      <c r="E233" s="1" t="n">
        <v>46307</v>
      </c>
      <c r="F233" t="inlineStr">
        <is>
          <t>GÄVLEBORGS LÄN</t>
        </is>
      </c>
      <c r="G233" t="inlineStr">
        <is>
          <t>HUDIKSVALL</t>
        </is>
      </c>
      <c r="H233" t="inlineStr">
        <is>
          <t>Holmen skog AB</t>
        </is>
      </c>
      <c r="I233" t="n">
        <v>1.4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37681-2022</t>
        </is>
      </c>
      <c r="B234" t="inlineStr">
        <is>
          <t>avverkningsanmälan</t>
        </is>
      </c>
      <c r="C234" t="inlineStr">
        <is>
          <t>Avverkning för annat ändamål</t>
        </is>
      </c>
      <c r="D234" s="1" t="n">
        <v>44810</v>
      </c>
      <c r="E234" s="1" t="n">
        <v>46307</v>
      </c>
      <c r="F234" t="inlineStr">
        <is>
          <t>GÄVLEBORGS LÄN</t>
        </is>
      </c>
      <c r="G234" t="inlineStr">
        <is>
          <t>HUDIKSVALL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28853-2024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45478</v>
      </c>
      <c r="E235" s="1" t="n">
        <v>46307</v>
      </c>
      <c r="F235" t="inlineStr">
        <is>
          <t>GÄVLEBORGS LÄN</t>
        </is>
      </c>
      <c r="G235" t="inlineStr">
        <is>
          <t>HUDIKSVALL</t>
        </is>
      </c>
      <c r="H235" t="inlineStr">
        <is>
          <t>Holmen skog AB</t>
        </is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2215-2023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44942</v>
      </c>
      <c r="E236" s="1" t="n">
        <v>46307</v>
      </c>
      <c r="F236" t="inlineStr">
        <is>
          <t>GÄVLEBORGS LÄN</t>
        </is>
      </c>
      <c r="G236" t="inlineStr">
        <is>
          <t>HUDIKSVALL</t>
        </is>
      </c>
      <c r="H236" t="inlineStr">
        <is>
          <t>Holmen skog AB</t>
        </is>
      </c>
      <c r="I236" t="n">
        <v>0.9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4062-2025</t>
        </is>
      </c>
      <c r="B237" t="inlineStr">
        <is>
          <t>avverkningsanmälan</t>
        </is>
      </c>
      <c r="C237" t="inlineStr">
        <is>
          <t>Avverkning för att bevara och utveckla /försöksver</t>
        </is>
      </c>
      <c r="D237" s="1" t="n">
        <v>45684</v>
      </c>
      <c r="E237" s="1" t="n">
        <v>46307</v>
      </c>
      <c r="F237" t="inlineStr">
        <is>
          <t>GÄVLEBORGS LÄN</t>
        </is>
      </c>
      <c r="G237" t="inlineStr">
        <is>
          <t>HUDIKSVALL</t>
        </is>
      </c>
      <c r="I237" t="n">
        <v>0.9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25596-2024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45463</v>
      </c>
      <c r="E238" s="1" t="n">
        <v>46307</v>
      </c>
      <c r="F238" t="inlineStr">
        <is>
          <t>GÄVLEBORGS LÄN</t>
        </is>
      </c>
      <c r="G238" t="inlineStr">
        <is>
          <t>HUDIKSVALL</t>
        </is>
      </c>
      <c r="I238" t="n">
        <v>2.5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41249-2024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45559</v>
      </c>
      <c r="E239" s="1" t="n">
        <v>46307</v>
      </c>
      <c r="F239" t="inlineStr">
        <is>
          <t>GÄVLEBORGS LÄN</t>
        </is>
      </c>
      <c r="G239" t="inlineStr">
        <is>
          <t>HUDIKSVALL</t>
        </is>
      </c>
      <c r="H239" t="inlineStr">
        <is>
          <t>Holmen skog AB</t>
        </is>
      </c>
      <c r="I239" t="n">
        <v>16.3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41258-2024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45559</v>
      </c>
      <c r="E240" s="1" t="n">
        <v>46307</v>
      </c>
      <c r="F240" t="inlineStr">
        <is>
          <t>GÄVLEBORGS LÄN</t>
        </is>
      </c>
      <c r="G240" t="inlineStr">
        <is>
          <t>HUDIKSVALL</t>
        </is>
      </c>
      <c r="H240" t="inlineStr">
        <is>
          <t>Holmen skog AB</t>
        </is>
      </c>
      <c r="I240" t="n">
        <v>8.4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45725-2023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45195</v>
      </c>
      <c r="E241" s="1" t="n">
        <v>46307</v>
      </c>
      <c r="F241" t="inlineStr">
        <is>
          <t>GÄVLEBORGS LÄN</t>
        </is>
      </c>
      <c r="G241" t="inlineStr">
        <is>
          <t>HUDIKSVALL</t>
        </is>
      </c>
      <c r="H241" t="inlineStr">
        <is>
          <t>Holmen skog AB</t>
        </is>
      </c>
      <c r="I241" t="n">
        <v>1.1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52014-2023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45223</v>
      </c>
      <c r="E242" s="1" t="n">
        <v>46307</v>
      </c>
      <c r="F242" t="inlineStr">
        <is>
          <t>GÄVLEBORGS LÄN</t>
        </is>
      </c>
      <c r="G242" t="inlineStr">
        <is>
          <t>HUDIKSVALL</t>
        </is>
      </c>
      <c r="H242" t="inlineStr">
        <is>
          <t>Holmen skog AB</t>
        </is>
      </c>
      <c r="I242" t="n">
        <v>0.7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60736-2023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45260</v>
      </c>
      <c r="E243" s="1" t="n">
        <v>46307</v>
      </c>
      <c r="F243" t="inlineStr">
        <is>
          <t>GÄVLEBORGS LÄN</t>
        </is>
      </c>
      <c r="G243" t="inlineStr">
        <is>
          <t>HUDIKSVALL</t>
        </is>
      </c>
      <c r="H243" t="inlineStr">
        <is>
          <t>Holmen skog AB</t>
        </is>
      </c>
      <c r="I243" t="n">
        <v>3.1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11082-2023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44992</v>
      </c>
      <c r="E244" s="1" t="n">
        <v>46307</v>
      </c>
      <c r="F244" t="inlineStr">
        <is>
          <t>GÄVLEBORGS LÄN</t>
        </is>
      </c>
      <c r="G244" t="inlineStr">
        <is>
          <t>HUDIKSVALL</t>
        </is>
      </c>
      <c r="I244" t="n">
        <v>1.1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21880-2023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45068</v>
      </c>
      <c r="E245" s="1" t="n">
        <v>46307</v>
      </c>
      <c r="F245" t="inlineStr">
        <is>
          <t>GÄVLEBORGS LÄN</t>
        </is>
      </c>
      <c r="G245" t="inlineStr">
        <is>
          <t>HUDIKSVALL</t>
        </is>
      </c>
      <c r="I245" t="n">
        <v>0.9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61611-2023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45265</v>
      </c>
      <c r="E246" s="1" t="n">
        <v>46307</v>
      </c>
      <c r="F246" t="inlineStr">
        <is>
          <t>GÄVLEBORGS LÄN</t>
        </is>
      </c>
      <c r="G246" t="inlineStr">
        <is>
          <t>HUDIKSVALL</t>
        </is>
      </c>
      <c r="I246" t="n">
        <v>4.7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16073-2023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45027</v>
      </c>
      <c r="E247" s="1" t="n">
        <v>46307</v>
      </c>
      <c r="F247" t="inlineStr">
        <is>
          <t>GÄVLEBORGS LÄN</t>
        </is>
      </c>
      <c r="G247" t="inlineStr">
        <is>
          <t>HUDIKSVALL</t>
        </is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40332-2024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45555</v>
      </c>
      <c r="E248" s="1" t="n">
        <v>46307</v>
      </c>
      <c r="F248" t="inlineStr">
        <is>
          <t>GÄVLEBORGS LÄN</t>
        </is>
      </c>
      <c r="G248" t="inlineStr">
        <is>
          <t>HUDIKSVALL</t>
        </is>
      </c>
      <c r="H248" t="inlineStr">
        <is>
          <t>Naturvårdsverket</t>
        </is>
      </c>
      <c r="I248" t="n">
        <v>0.9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38295-2024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45545</v>
      </c>
      <c r="E249" s="1" t="n">
        <v>46307</v>
      </c>
      <c r="F249" t="inlineStr">
        <is>
          <t>GÄVLEBORGS LÄN</t>
        </is>
      </c>
      <c r="G249" t="inlineStr">
        <is>
          <t>HUDIKSVALL</t>
        </is>
      </c>
      <c r="H249" t="inlineStr">
        <is>
          <t>Holmen skog AB</t>
        </is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104-2023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44928</v>
      </c>
      <c r="E250" s="1" t="n">
        <v>46307</v>
      </c>
      <c r="F250" t="inlineStr">
        <is>
          <t>GÄVLEBORGS LÄN</t>
        </is>
      </c>
      <c r="G250" t="inlineStr">
        <is>
          <t>HUDIKSVALL</t>
        </is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12846-2024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45384</v>
      </c>
      <c r="E251" s="1" t="n">
        <v>46307</v>
      </c>
      <c r="F251" t="inlineStr">
        <is>
          <t>GÄVLEBORGS LÄN</t>
        </is>
      </c>
      <c r="G251" t="inlineStr">
        <is>
          <t>HUDIKSVALL</t>
        </is>
      </c>
      <c r="H251" t="inlineStr">
        <is>
          <t>Holmen skog AB</t>
        </is>
      </c>
      <c r="I251" t="n">
        <v>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7992-2024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45350</v>
      </c>
      <c r="E252" s="1" t="n">
        <v>46307</v>
      </c>
      <c r="F252" t="inlineStr">
        <is>
          <t>GÄVLEBORGS LÄN</t>
        </is>
      </c>
      <c r="G252" t="inlineStr">
        <is>
          <t>HUDIKSVALL</t>
        </is>
      </c>
      <c r="H252" t="inlineStr">
        <is>
          <t>Holmen skog AB</t>
        </is>
      </c>
      <c r="I252" t="n">
        <v>0.8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43010-2022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44833</v>
      </c>
      <c r="E253" s="1" t="n">
        <v>46307</v>
      </c>
      <c r="F253" t="inlineStr">
        <is>
          <t>GÄVLEBORGS LÄN</t>
        </is>
      </c>
      <c r="G253" t="inlineStr">
        <is>
          <t>HUDIKSVALL</t>
        </is>
      </c>
      <c r="H253" t="inlineStr">
        <is>
          <t>Holmen skog AB</t>
        </is>
      </c>
      <c r="I253" t="n">
        <v>2.3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30562-2023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45111</v>
      </c>
      <c r="E254" s="1" t="n">
        <v>46307</v>
      </c>
      <c r="F254" t="inlineStr">
        <is>
          <t>GÄVLEBORGS LÄN</t>
        </is>
      </c>
      <c r="G254" t="inlineStr">
        <is>
          <t>HUDIKSVALL</t>
        </is>
      </c>
      <c r="I254" t="n">
        <v>11.5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56366-2024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45625</v>
      </c>
      <c r="E255" s="1" t="n">
        <v>46307</v>
      </c>
      <c r="F255" t="inlineStr">
        <is>
          <t>GÄVLEBORGS LÄN</t>
        </is>
      </c>
      <c r="G255" t="inlineStr">
        <is>
          <t>HUDIKSVALL</t>
        </is>
      </c>
      <c r="I255" t="n">
        <v>5.7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11373-2024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45372</v>
      </c>
      <c r="E256" s="1" t="n">
        <v>46307</v>
      </c>
      <c r="F256" t="inlineStr">
        <is>
          <t>GÄVLEBORGS LÄN</t>
        </is>
      </c>
      <c r="G256" t="inlineStr">
        <is>
          <t>HUDIKSVALL</t>
        </is>
      </c>
      <c r="H256" t="inlineStr">
        <is>
          <t>Holmen skog AB</t>
        </is>
      </c>
      <c r="I256" t="n">
        <v>5.3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52656-2024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45610</v>
      </c>
      <c r="E257" s="1" t="n">
        <v>46307</v>
      </c>
      <c r="F257" t="inlineStr">
        <is>
          <t>GÄVLEBORGS LÄN</t>
        </is>
      </c>
      <c r="G257" t="inlineStr">
        <is>
          <t>HUDIKSVALL</t>
        </is>
      </c>
      <c r="I257" t="n">
        <v>15.6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35071-2024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45527</v>
      </c>
      <c r="E258" s="1" t="n">
        <v>46307</v>
      </c>
      <c r="F258" t="inlineStr">
        <is>
          <t>GÄVLEBORGS LÄN</t>
        </is>
      </c>
      <c r="G258" t="inlineStr">
        <is>
          <t>HUDIKSVALL</t>
        </is>
      </c>
      <c r="H258" t="inlineStr">
        <is>
          <t>Holmen skog AB</t>
        </is>
      </c>
      <c r="I258" t="n">
        <v>0.9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35081-2024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45527</v>
      </c>
      <c r="E259" s="1" t="n">
        <v>46307</v>
      </c>
      <c r="F259" t="inlineStr">
        <is>
          <t>GÄVLEBORGS LÄN</t>
        </is>
      </c>
      <c r="G259" t="inlineStr">
        <is>
          <t>HUDIKSVALL</t>
        </is>
      </c>
      <c r="H259" t="inlineStr">
        <is>
          <t>Holmen skog AB</t>
        </is>
      </c>
      <c r="I259" t="n">
        <v>1.9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44813-2024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45574</v>
      </c>
      <c r="E260" s="1" t="n">
        <v>46307</v>
      </c>
      <c r="F260" t="inlineStr">
        <is>
          <t>GÄVLEBORGS LÄN</t>
        </is>
      </c>
      <c r="G260" t="inlineStr">
        <is>
          <t>HUDIKSVALL</t>
        </is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36408-2024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45535</v>
      </c>
      <c r="E261" s="1" t="n">
        <v>46307</v>
      </c>
      <c r="F261" t="inlineStr">
        <is>
          <t>GÄVLEBORGS LÄN</t>
        </is>
      </c>
      <c r="G261" t="inlineStr">
        <is>
          <t>HUDIKSVALL</t>
        </is>
      </c>
      <c r="H261" t="inlineStr">
        <is>
          <t>Holmen skog AB</t>
        </is>
      </c>
      <c r="I261" t="n">
        <v>0.6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73458-2021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44551</v>
      </c>
      <c r="E262" s="1" t="n">
        <v>46307</v>
      </c>
      <c r="F262" t="inlineStr">
        <is>
          <t>GÄVLEBORGS LÄN</t>
        </is>
      </c>
      <c r="G262" t="inlineStr">
        <is>
          <t>HUDIKSVALL</t>
        </is>
      </c>
      <c r="H262" t="inlineStr">
        <is>
          <t>Holmen skog AB</t>
        </is>
      </c>
      <c r="I262" t="n">
        <v>1.2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10193-2023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44986</v>
      </c>
      <c r="E263" s="1" t="n">
        <v>46307</v>
      </c>
      <c r="F263" t="inlineStr">
        <is>
          <t>GÄVLEBORGS LÄN</t>
        </is>
      </c>
      <c r="G263" t="inlineStr">
        <is>
          <t>HUDIKSVALL</t>
        </is>
      </c>
      <c r="I263" t="n">
        <v>1.7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56215-2024</t>
        </is>
      </c>
      <c r="B264" t="inlineStr">
        <is>
          <t>avverkningsanmälan</t>
        </is>
      </c>
      <c r="C264" t="inlineStr">
        <is>
          <t>Avverkning för annat ändamål</t>
        </is>
      </c>
      <c r="D264" s="1" t="n">
        <v>45624</v>
      </c>
      <c r="E264" s="1" t="n">
        <v>46307</v>
      </c>
      <c r="F264" t="inlineStr">
        <is>
          <t>GÄVLEBORGS LÄN</t>
        </is>
      </c>
      <c r="G264" t="inlineStr">
        <is>
          <t>HUDIKSVALL</t>
        </is>
      </c>
      <c r="H264" t="inlineStr">
        <is>
          <t>Holmen skog AB</t>
        </is>
      </c>
      <c r="I264" t="n">
        <v>1.6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5230-2024</t>
        </is>
      </c>
      <c r="B265" t="inlineStr">
        <is>
          <t>avverkningsanmälan</t>
        </is>
      </c>
      <c r="C265" t="inlineStr">
        <is>
          <t>Avverkning för annat ändamål</t>
        </is>
      </c>
      <c r="D265" s="1" t="n">
        <v>45330</v>
      </c>
      <c r="E265" s="1" t="n">
        <v>46307</v>
      </c>
      <c r="F265" t="inlineStr">
        <is>
          <t>GÄVLEBORGS LÄN</t>
        </is>
      </c>
      <c r="G265" t="inlineStr">
        <is>
          <t>HUDIKSVALL</t>
        </is>
      </c>
      <c r="I265" t="n">
        <v>0.9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4505-2024</t>
        </is>
      </c>
      <c r="B266" t="inlineStr">
        <is>
          <t>avverkningsanmälan</t>
        </is>
      </c>
      <c r="C266" t="inlineStr">
        <is>
          <t>Avverkning för annat ändamål</t>
        </is>
      </c>
      <c r="D266" s="1" t="n">
        <v>45327</v>
      </c>
      <c r="E266" s="1" t="n">
        <v>46307</v>
      </c>
      <c r="F266" t="inlineStr">
        <is>
          <t>GÄVLEBORGS LÄN</t>
        </is>
      </c>
      <c r="G266" t="inlineStr">
        <is>
          <t>HUDIKSVALL</t>
        </is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2010-2023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44939</v>
      </c>
      <c r="E267" s="1" t="n">
        <v>46307</v>
      </c>
      <c r="F267" t="inlineStr">
        <is>
          <t>GÄVLEBORGS LÄN</t>
        </is>
      </c>
      <c r="G267" t="inlineStr">
        <is>
          <t>HUDIKSVALL</t>
        </is>
      </c>
      <c r="I267" t="n">
        <v>1.2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59773-2023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45257</v>
      </c>
      <c r="E268" s="1" t="n">
        <v>46307</v>
      </c>
      <c r="F268" t="inlineStr">
        <is>
          <t>GÄVLEBORGS LÄN</t>
        </is>
      </c>
      <c r="G268" t="inlineStr">
        <is>
          <t>HUDIKSVALL</t>
        </is>
      </c>
      <c r="I268" t="n">
        <v>1.8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35879-2024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45533</v>
      </c>
      <c r="E269" s="1" t="n">
        <v>46307</v>
      </c>
      <c r="F269" t="inlineStr">
        <is>
          <t>GÄVLEBORGS LÄN</t>
        </is>
      </c>
      <c r="G269" t="inlineStr">
        <is>
          <t>HUDIKSVALL</t>
        </is>
      </c>
      <c r="I269" t="n">
        <v>3.8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6274-2025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45698</v>
      </c>
      <c r="E270" s="1" t="n">
        <v>46307</v>
      </c>
      <c r="F270" t="inlineStr">
        <is>
          <t>GÄVLEBORGS LÄN</t>
        </is>
      </c>
      <c r="G270" t="inlineStr">
        <is>
          <t>HUDIKSVALL</t>
        </is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32308-2024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45512</v>
      </c>
      <c r="E271" s="1" t="n">
        <v>46307</v>
      </c>
      <c r="F271" t="inlineStr">
        <is>
          <t>GÄVLEBORGS LÄN</t>
        </is>
      </c>
      <c r="G271" t="inlineStr">
        <is>
          <t>HUDIKSVALL</t>
        </is>
      </c>
      <c r="H271" t="inlineStr">
        <is>
          <t>Holmen skog AB</t>
        </is>
      </c>
      <c r="I271" t="n">
        <v>6.8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8027-2024</t>
        </is>
      </c>
      <c r="B272" t="inlineStr">
        <is>
          <t>avverkningsanmälan</t>
        </is>
      </c>
      <c r="C272" t="inlineStr">
        <is>
          <t>Avverkning för annat ändamål</t>
        </is>
      </c>
      <c r="D272" s="1" t="n">
        <v>45350</v>
      </c>
      <c r="E272" s="1" t="n">
        <v>46307</v>
      </c>
      <c r="F272" t="inlineStr">
        <is>
          <t>GÄVLEBORGS LÄN</t>
        </is>
      </c>
      <c r="G272" t="inlineStr">
        <is>
          <t>HUDIKSVALL</t>
        </is>
      </c>
      <c r="I272" t="n">
        <v>1.4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16849-2023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45033</v>
      </c>
      <c r="E273" s="1" t="n">
        <v>46307</v>
      </c>
      <c r="F273" t="inlineStr">
        <is>
          <t>GÄVLEBORGS LÄN</t>
        </is>
      </c>
      <c r="G273" t="inlineStr">
        <is>
          <t>HUDIKSVALL</t>
        </is>
      </c>
      <c r="I273" t="n">
        <v>2.4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9427-2024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45359</v>
      </c>
      <c r="E274" s="1" t="n">
        <v>46307</v>
      </c>
      <c r="F274" t="inlineStr">
        <is>
          <t>GÄVLEBORGS LÄN</t>
        </is>
      </c>
      <c r="G274" t="inlineStr">
        <is>
          <t>HUDIKSVALL</t>
        </is>
      </c>
      <c r="H274" t="inlineStr">
        <is>
          <t>Holmen skog AB</t>
        </is>
      </c>
      <c r="I274" t="n">
        <v>0.5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22976-2024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45449</v>
      </c>
      <c r="E275" s="1" t="n">
        <v>46307</v>
      </c>
      <c r="F275" t="inlineStr">
        <is>
          <t>GÄVLEBORGS LÄN</t>
        </is>
      </c>
      <c r="G275" t="inlineStr">
        <is>
          <t>HUDIKSVALL</t>
        </is>
      </c>
      <c r="H275" t="inlineStr">
        <is>
          <t>Holmen skog AB</t>
        </is>
      </c>
      <c r="I275" t="n">
        <v>5.9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406-2025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45663</v>
      </c>
      <c r="E276" s="1" t="n">
        <v>46307</v>
      </c>
      <c r="F276" t="inlineStr">
        <is>
          <t>GÄVLEBORGS LÄN</t>
        </is>
      </c>
      <c r="G276" t="inlineStr">
        <is>
          <t>HUDIKSVALL</t>
        </is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44070-2023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45188</v>
      </c>
      <c r="E277" s="1" t="n">
        <v>46307</v>
      </c>
      <c r="F277" t="inlineStr">
        <is>
          <t>GÄVLEBORGS LÄN</t>
        </is>
      </c>
      <c r="G277" t="inlineStr">
        <is>
          <t>HUDIKSVALL</t>
        </is>
      </c>
      <c r="H277" t="inlineStr">
        <is>
          <t>Holmen skog AB</t>
        </is>
      </c>
      <c r="I277" t="n">
        <v>11.6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60194-2023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45258</v>
      </c>
      <c r="E278" s="1" t="n">
        <v>46307</v>
      </c>
      <c r="F278" t="inlineStr">
        <is>
          <t>GÄVLEBORGS LÄN</t>
        </is>
      </c>
      <c r="G278" t="inlineStr">
        <is>
          <t>HUDIKSVALL</t>
        </is>
      </c>
      <c r="H278" t="inlineStr">
        <is>
          <t>Holmen skog AB</t>
        </is>
      </c>
      <c r="I278" t="n">
        <v>5.8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33138-2022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44785</v>
      </c>
      <c r="E279" s="1" t="n">
        <v>46307</v>
      </c>
      <c r="F279" t="inlineStr">
        <is>
          <t>GÄVLEBORGS LÄN</t>
        </is>
      </c>
      <c r="G279" t="inlineStr">
        <is>
          <t>HUDIKSVALL</t>
        </is>
      </c>
      <c r="H279" t="inlineStr">
        <is>
          <t>Holmen skog AB</t>
        </is>
      </c>
      <c r="I279" t="n">
        <v>1.7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25647-2024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45463</v>
      </c>
      <c r="E280" s="1" t="n">
        <v>46307</v>
      </c>
      <c r="F280" t="inlineStr">
        <is>
          <t>GÄVLEBORGS LÄN</t>
        </is>
      </c>
      <c r="G280" t="inlineStr">
        <is>
          <t>HUDIKSVALL</t>
        </is>
      </c>
      <c r="H280" t="inlineStr">
        <is>
          <t>Sveaskog</t>
        </is>
      </c>
      <c r="I280" t="n">
        <v>7.7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53796-2023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45231</v>
      </c>
      <c r="E281" s="1" t="n">
        <v>46307</v>
      </c>
      <c r="F281" t="inlineStr">
        <is>
          <t>GÄVLEBORGS LÄN</t>
        </is>
      </c>
      <c r="G281" t="inlineStr">
        <is>
          <t>HUDIKSVALL</t>
        </is>
      </c>
      <c r="I281" t="n">
        <v>17.6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12526-2024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45379</v>
      </c>
      <c r="E282" s="1" t="n">
        <v>46307</v>
      </c>
      <c r="F282" t="inlineStr">
        <is>
          <t>GÄVLEBORGS LÄN</t>
        </is>
      </c>
      <c r="G282" t="inlineStr">
        <is>
          <t>HUDIKSVALL</t>
        </is>
      </c>
      <c r="I282" t="n">
        <v>1.3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12545-2024</t>
        </is>
      </c>
      <c r="B283" t="inlineStr">
        <is>
          <t>avverkningsanmälan</t>
        </is>
      </c>
      <c r="C283" t="inlineStr">
        <is>
          <t>Avverkning för annat ändamål</t>
        </is>
      </c>
      <c r="D283" s="1" t="n">
        <v>45379</v>
      </c>
      <c r="E283" s="1" t="n">
        <v>46307</v>
      </c>
      <c r="F283" t="inlineStr">
        <is>
          <t>GÄVLEBORGS LÄN</t>
        </is>
      </c>
      <c r="G283" t="inlineStr">
        <is>
          <t>HUDIKSVALL</t>
        </is>
      </c>
      <c r="I283" t="n">
        <v>2.6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38633-2025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45884</v>
      </c>
      <c r="E284" s="1" t="n">
        <v>46307</v>
      </c>
      <c r="F284" t="inlineStr">
        <is>
          <t>GÄVLEBORGS LÄN</t>
        </is>
      </c>
      <c r="G284" t="inlineStr">
        <is>
          <t>HUDIKSVALL</t>
        </is>
      </c>
      <c r="I284" t="n">
        <v>2.7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9400-2024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45359</v>
      </c>
      <c r="E285" s="1" t="n">
        <v>46307</v>
      </c>
      <c r="F285" t="inlineStr">
        <is>
          <t>GÄVLEBORGS LÄN</t>
        </is>
      </c>
      <c r="G285" t="inlineStr">
        <is>
          <t>HUDIKSVALL</t>
        </is>
      </c>
      <c r="H285" t="inlineStr">
        <is>
          <t>Holmen skog AB</t>
        </is>
      </c>
      <c r="I285" t="n">
        <v>1.3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64010-2023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45278</v>
      </c>
      <c r="E286" s="1" t="n">
        <v>46307</v>
      </c>
      <c r="F286" t="inlineStr">
        <is>
          <t>GÄVLEBORGS LÄN</t>
        </is>
      </c>
      <c r="G286" t="inlineStr">
        <is>
          <t>HUDIKSVALL</t>
        </is>
      </c>
      <c r="I286" t="n">
        <v>0.9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35590-2023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45147</v>
      </c>
      <c r="E287" s="1" t="n">
        <v>46307</v>
      </c>
      <c r="F287" t="inlineStr">
        <is>
          <t>GÄVLEBORGS LÄN</t>
        </is>
      </c>
      <c r="G287" t="inlineStr">
        <is>
          <t>HUDIKSVALL</t>
        </is>
      </c>
      <c r="H287" t="inlineStr">
        <is>
          <t>Holmen skog AB</t>
        </is>
      </c>
      <c r="I287" t="n">
        <v>3.3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64593-2023</t>
        </is>
      </c>
      <c r="B288" t="inlineStr">
        <is>
          <t>avverkningsanmälan</t>
        </is>
      </c>
      <c r="C288" t="inlineStr">
        <is>
          <t>Avverkning för annat ändamål</t>
        </is>
      </c>
      <c r="D288" s="1" t="n">
        <v>45281</v>
      </c>
      <c r="E288" s="1" t="n">
        <v>46307</v>
      </c>
      <c r="F288" t="inlineStr">
        <is>
          <t>GÄVLEBORGS LÄN</t>
        </is>
      </c>
      <c r="G288" t="inlineStr">
        <is>
          <t>HUDIKSVALL</t>
        </is>
      </c>
      <c r="H288" t="inlineStr">
        <is>
          <t>Holmen skog AB</t>
        </is>
      </c>
      <c r="I288" t="n">
        <v>0.9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8434-2024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45353</v>
      </c>
      <c r="E289" s="1" t="n">
        <v>46307</v>
      </c>
      <c r="F289" t="inlineStr">
        <is>
          <t>GÄVLEBORGS LÄN</t>
        </is>
      </c>
      <c r="G289" t="inlineStr">
        <is>
          <t>HUDIKSVALL</t>
        </is>
      </c>
      <c r="H289" t="inlineStr">
        <is>
          <t>Holmen skog AB</t>
        </is>
      </c>
      <c r="I289" t="n">
        <v>10.1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64727-2023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45281</v>
      </c>
      <c r="E290" s="1" t="n">
        <v>46307</v>
      </c>
      <c r="F290" t="inlineStr">
        <is>
          <t>GÄVLEBORGS LÄN</t>
        </is>
      </c>
      <c r="G290" t="inlineStr">
        <is>
          <t>HUDIKSVALL</t>
        </is>
      </c>
      <c r="I290" t="n">
        <v>1.1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16594-2024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45408</v>
      </c>
      <c r="E291" s="1" t="n">
        <v>46307</v>
      </c>
      <c r="F291" t="inlineStr">
        <is>
          <t>GÄVLEBORGS LÄN</t>
        </is>
      </c>
      <c r="G291" t="inlineStr">
        <is>
          <t>HUDIKSVALL</t>
        </is>
      </c>
      <c r="I291" t="n">
        <v>11.8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30083-2024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45489</v>
      </c>
      <c r="E292" s="1" t="n">
        <v>46307</v>
      </c>
      <c r="F292" t="inlineStr">
        <is>
          <t>GÄVLEBORGS LÄN</t>
        </is>
      </c>
      <c r="G292" t="inlineStr">
        <is>
          <t>HUDIKSVALL</t>
        </is>
      </c>
      <c r="H292" t="inlineStr">
        <is>
          <t>Holmen skog AB</t>
        </is>
      </c>
      <c r="I292" t="n">
        <v>1.1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27620-2024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45474</v>
      </c>
      <c r="E293" s="1" t="n">
        <v>46307</v>
      </c>
      <c r="F293" t="inlineStr">
        <is>
          <t>GÄVLEBORGS LÄN</t>
        </is>
      </c>
      <c r="G293" t="inlineStr">
        <is>
          <t>HUDIKSVALL</t>
        </is>
      </c>
      <c r="H293" t="inlineStr">
        <is>
          <t>Holmen skog AB</t>
        </is>
      </c>
      <c r="I293" t="n">
        <v>11.7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57679-2022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44897</v>
      </c>
      <c r="E294" s="1" t="n">
        <v>46307</v>
      </c>
      <c r="F294" t="inlineStr">
        <is>
          <t>GÄVLEBORGS LÄN</t>
        </is>
      </c>
      <c r="G294" t="inlineStr">
        <is>
          <t>HUDIKSVALL</t>
        </is>
      </c>
      <c r="I294" t="n">
        <v>1.5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71408-2021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44540</v>
      </c>
      <c r="E295" s="1" t="n">
        <v>46307</v>
      </c>
      <c r="F295" t="inlineStr">
        <is>
          <t>GÄVLEBORGS LÄN</t>
        </is>
      </c>
      <c r="G295" t="inlineStr">
        <is>
          <t>HUDIKSVALL</t>
        </is>
      </c>
      <c r="H295" t="inlineStr">
        <is>
          <t>Holmen skog AB</t>
        </is>
      </c>
      <c r="I295" t="n">
        <v>1.5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38259-2025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45883</v>
      </c>
      <c r="E296" s="1" t="n">
        <v>46307</v>
      </c>
      <c r="F296" t="inlineStr">
        <is>
          <t>GÄVLEBORGS LÄN</t>
        </is>
      </c>
      <c r="G296" t="inlineStr">
        <is>
          <t>HUDIKSVALL</t>
        </is>
      </c>
      <c r="I296" t="n">
        <v>3.3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60750-2023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45260</v>
      </c>
      <c r="E297" s="1" t="n">
        <v>46307</v>
      </c>
      <c r="F297" t="inlineStr">
        <is>
          <t>GÄVLEBORGS LÄN</t>
        </is>
      </c>
      <c r="G297" t="inlineStr">
        <is>
          <t>HUDIKSVALL</t>
        </is>
      </c>
      <c r="H297" t="inlineStr">
        <is>
          <t>Holmen skog AB</t>
        </is>
      </c>
      <c r="I297" t="n">
        <v>2.6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10159-2025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45719</v>
      </c>
      <c r="E298" s="1" t="n">
        <v>46307</v>
      </c>
      <c r="F298" t="inlineStr">
        <is>
          <t>GÄVLEBORGS LÄN</t>
        </is>
      </c>
      <c r="G298" t="inlineStr">
        <is>
          <t>HUDIKSVALL</t>
        </is>
      </c>
      <c r="H298" t="inlineStr">
        <is>
          <t>Kommuner</t>
        </is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18706-2024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45426</v>
      </c>
      <c r="E299" s="1" t="n">
        <v>46307</v>
      </c>
      <c r="F299" t="inlineStr">
        <is>
          <t>GÄVLEBORGS LÄN</t>
        </is>
      </c>
      <c r="G299" t="inlineStr">
        <is>
          <t>HUDIKSVALL</t>
        </is>
      </c>
      <c r="H299" t="inlineStr">
        <is>
          <t>Holmen skog AB</t>
        </is>
      </c>
      <c r="I299" t="n">
        <v>9.199999999999999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72535-2021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44546</v>
      </c>
      <c r="E300" s="1" t="n">
        <v>46307</v>
      </c>
      <c r="F300" t="inlineStr">
        <is>
          <t>GÄVLEBORGS LÄN</t>
        </is>
      </c>
      <c r="G300" t="inlineStr">
        <is>
          <t>HUDIKSVALL</t>
        </is>
      </c>
      <c r="H300" t="inlineStr">
        <is>
          <t>Sveaskog</t>
        </is>
      </c>
      <c r="I300" t="n">
        <v>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48597-2024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45593</v>
      </c>
      <c r="E301" s="1" t="n">
        <v>46307</v>
      </c>
      <c r="F301" t="inlineStr">
        <is>
          <t>GÄVLEBORGS LÄN</t>
        </is>
      </c>
      <c r="G301" t="inlineStr">
        <is>
          <t>HUDIKSVALL</t>
        </is>
      </c>
      <c r="I301" t="n">
        <v>0.5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13663-2025</t>
        </is>
      </c>
      <c r="B302" t="inlineStr">
        <is>
          <t>avverkningsanmälan</t>
        </is>
      </c>
      <c r="C302" t="inlineStr">
        <is>
          <t>Avverkning för annat ändamål</t>
        </is>
      </c>
      <c r="D302" s="1" t="n">
        <v>45736</v>
      </c>
      <c r="E302" s="1" t="n">
        <v>46307</v>
      </c>
      <c r="F302" t="inlineStr">
        <is>
          <t>GÄVLEBORGS LÄN</t>
        </is>
      </c>
      <c r="G302" t="inlineStr">
        <is>
          <t>HUDIKSVALL</t>
        </is>
      </c>
      <c r="I302" t="n">
        <v>3.5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34983-2024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45527</v>
      </c>
      <c r="E303" s="1" t="n">
        <v>46307</v>
      </c>
      <c r="F303" t="inlineStr">
        <is>
          <t>GÄVLEBORGS LÄN</t>
        </is>
      </c>
      <c r="G303" t="inlineStr">
        <is>
          <t>HUDIKSVALL</t>
        </is>
      </c>
      <c r="H303" t="inlineStr">
        <is>
          <t>Holmen skog AB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38167-2024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45545</v>
      </c>
      <c r="E304" s="1" t="n">
        <v>46307</v>
      </c>
      <c r="F304" t="inlineStr">
        <is>
          <t>GÄVLEBORGS LÄN</t>
        </is>
      </c>
      <c r="G304" t="inlineStr">
        <is>
          <t>HUDIKSVALL</t>
        </is>
      </c>
      <c r="H304" t="inlineStr">
        <is>
          <t>Holmen skog AB</t>
        </is>
      </c>
      <c r="I304" t="n">
        <v>3.8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65195-2023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45289</v>
      </c>
      <c r="E305" s="1" t="n">
        <v>46307</v>
      </c>
      <c r="F305" t="inlineStr">
        <is>
          <t>GÄVLEBORGS LÄN</t>
        </is>
      </c>
      <c r="G305" t="inlineStr">
        <is>
          <t>HUDIKSVALL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2651-2024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45314</v>
      </c>
      <c r="E306" s="1" t="n">
        <v>46307</v>
      </c>
      <c r="F306" t="inlineStr">
        <is>
          <t>GÄVLEBORGS LÄN</t>
        </is>
      </c>
      <c r="G306" t="inlineStr">
        <is>
          <t>HUDIKSVALL</t>
        </is>
      </c>
      <c r="H306" t="inlineStr">
        <is>
          <t>Holmen skog AB</t>
        </is>
      </c>
      <c r="I306" t="n">
        <v>0.9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2658-2024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45314</v>
      </c>
      <c r="E307" s="1" t="n">
        <v>46307</v>
      </c>
      <c r="F307" t="inlineStr">
        <is>
          <t>GÄVLEBORGS LÄN</t>
        </is>
      </c>
      <c r="G307" t="inlineStr">
        <is>
          <t>HUDIKSVALL</t>
        </is>
      </c>
      <c r="H307" t="inlineStr">
        <is>
          <t>Holmen skog AB</t>
        </is>
      </c>
      <c r="I307" t="n">
        <v>0.4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58942-2022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44903</v>
      </c>
      <c r="E308" s="1" t="n">
        <v>46307</v>
      </c>
      <c r="F308" t="inlineStr">
        <is>
          <t>GÄVLEBORGS LÄN</t>
        </is>
      </c>
      <c r="G308" t="inlineStr">
        <is>
          <t>HUDIKSVALL</t>
        </is>
      </c>
      <c r="H308" t="inlineStr">
        <is>
          <t>Holmen skog AB</t>
        </is>
      </c>
      <c r="I308" t="n">
        <v>5.7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60190-2023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45258</v>
      </c>
      <c r="E309" s="1" t="n">
        <v>46307</v>
      </c>
      <c r="F309" t="inlineStr">
        <is>
          <t>GÄVLEBORGS LÄN</t>
        </is>
      </c>
      <c r="G309" t="inlineStr">
        <is>
          <t>HUDIKSVALL</t>
        </is>
      </c>
      <c r="H309" t="inlineStr">
        <is>
          <t>Holmen skog AB</t>
        </is>
      </c>
      <c r="I309" t="n">
        <v>0.3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60192-2023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45258</v>
      </c>
      <c r="E310" s="1" t="n">
        <v>46307</v>
      </c>
      <c r="F310" t="inlineStr">
        <is>
          <t>GÄVLEBORGS LÄN</t>
        </is>
      </c>
      <c r="G310" t="inlineStr">
        <is>
          <t>HUDIKSVALL</t>
        </is>
      </c>
      <c r="I310" t="n">
        <v>1.6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57949-2023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45244</v>
      </c>
      <c r="E311" s="1" t="n">
        <v>46307</v>
      </c>
      <c r="F311" t="inlineStr">
        <is>
          <t>GÄVLEBORGS LÄN</t>
        </is>
      </c>
      <c r="G311" t="inlineStr">
        <is>
          <t>HUDIKSVALL</t>
        </is>
      </c>
      <c r="I311" t="n">
        <v>3.9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58423-2022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44901</v>
      </c>
      <c r="E312" s="1" t="n">
        <v>46307</v>
      </c>
      <c r="F312" t="inlineStr">
        <is>
          <t>GÄVLEBORGS LÄN</t>
        </is>
      </c>
      <c r="G312" t="inlineStr">
        <is>
          <t>HUDIKSVALL</t>
        </is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2120-2024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45309</v>
      </c>
      <c r="E313" s="1" t="n">
        <v>46307</v>
      </c>
      <c r="F313" t="inlineStr">
        <is>
          <t>GÄVLEBORGS LÄN</t>
        </is>
      </c>
      <c r="G313" t="inlineStr">
        <is>
          <t>HUDIKSVALL</t>
        </is>
      </c>
      <c r="H313" t="inlineStr">
        <is>
          <t>Holmen skog AB</t>
        </is>
      </c>
      <c r="I313" t="n">
        <v>10.9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12893-2024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45385</v>
      </c>
      <c r="E314" s="1" t="n">
        <v>46307</v>
      </c>
      <c r="F314" t="inlineStr">
        <is>
          <t>GÄVLEBORGS LÄN</t>
        </is>
      </c>
      <c r="G314" t="inlineStr">
        <is>
          <t>HUDIKSVALL</t>
        </is>
      </c>
      <c r="H314" t="inlineStr">
        <is>
          <t>Holmen skog AB</t>
        </is>
      </c>
      <c r="I314" t="n">
        <v>0.9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26813-2025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45810</v>
      </c>
      <c r="E315" s="1" t="n">
        <v>46307</v>
      </c>
      <c r="F315" t="inlineStr">
        <is>
          <t>GÄVLEBORGS LÄN</t>
        </is>
      </c>
      <c r="G315" t="inlineStr">
        <is>
          <t>HUDIKSVALL</t>
        </is>
      </c>
      <c r="I315" t="n">
        <v>1.6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33588-2024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45520</v>
      </c>
      <c r="E316" s="1" t="n">
        <v>46307</v>
      </c>
      <c r="F316" t="inlineStr">
        <is>
          <t>GÄVLEBORGS LÄN</t>
        </is>
      </c>
      <c r="G316" t="inlineStr">
        <is>
          <t>HUDIKSVALL</t>
        </is>
      </c>
      <c r="H316" t="inlineStr">
        <is>
          <t>Holmen skog AB</t>
        </is>
      </c>
      <c r="I316" t="n">
        <v>0.8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43007-2023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45182</v>
      </c>
      <c r="E317" s="1" t="n">
        <v>46307</v>
      </c>
      <c r="F317" t="inlineStr">
        <is>
          <t>GÄVLEBORGS LÄN</t>
        </is>
      </c>
      <c r="G317" t="inlineStr">
        <is>
          <t>HUDIKSVALL</t>
        </is>
      </c>
      <c r="H317" t="inlineStr">
        <is>
          <t>Holmen skog AB</t>
        </is>
      </c>
      <c r="I317" t="n">
        <v>5.8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44688-2024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45574</v>
      </c>
      <c r="E318" s="1" t="n">
        <v>46307</v>
      </c>
      <c r="F318" t="inlineStr">
        <is>
          <t>GÄVLEBORGS LÄN</t>
        </is>
      </c>
      <c r="G318" t="inlineStr">
        <is>
          <t>HUDIKSVALL</t>
        </is>
      </c>
      <c r="I318" t="n">
        <v>66.59999999999999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12393-2025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45730</v>
      </c>
      <c r="E319" s="1" t="n">
        <v>46307</v>
      </c>
      <c r="F319" t="inlineStr">
        <is>
          <t>GÄVLEBORGS LÄN</t>
        </is>
      </c>
      <c r="G319" t="inlineStr">
        <is>
          <t>HUDIKSVALL</t>
        </is>
      </c>
      <c r="I319" t="n">
        <v>3.2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38142-2024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45545</v>
      </c>
      <c r="E320" s="1" t="n">
        <v>46307</v>
      </c>
      <c r="F320" t="inlineStr">
        <is>
          <t>GÄVLEBORGS LÄN</t>
        </is>
      </c>
      <c r="G320" t="inlineStr">
        <is>
          <t>HUDIKSVALL</t>
        </is>
      </c>
      <c r="H320" t="inlineStr">
        <is>
          <t>Holmen skog AB</t>
        </is>
      </c>
      <c r="I320" t="n">
        <v>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34293-2024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45524</v>
      </c>
      <c r="E321" s="1" t="n">
        <v>46307</v>
      </c>
      <c r="F321" t="inlineStr">
        <is>
          <t>GÄVLEBORGS LÄN</t>
        </is>
      </c>
      <c r="G321" t="inlineStr">
        <is>
          <t>HUDIKSVALL</t>
        </is>
      </c>
      <c r="H321" t="inlineStr">
        <is>
          <t>Holmen skog AB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61938-2022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44918</v>
      </c>
      <c r="E322" s="1" t="n">
        <v>46307</v>
      </c>
      <c r="F322" t="inlineStr">
        <is>
          <t>GÄVLEBORGS LÄN</t>
        </is>
      </c>
      <c r="G322" t="inlineStr">
        <is>
          <t>HUDIKSVALL</t>
        </is>
      </c>
      <c r="I322" t="n">
        <v>0.8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19227-2025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45769</v>
      </c>
      <c r="E323" s="1" t="n">
        <v>46307</v>
      </c>
      <c r="F323" t="inlineStr">
        <is>
          <t>GÄVLEBORGS LÄN</t>
        </is>
      </c>
      <c r="G323" t="inlineStr">
        <is>
          <t>HUDIKSVALL</t>
        </is>
      </c>
      <c r="H323" t="inlineStr">
        <is>
          <t>Holmen skog AB</t>
        </is>
      </c>
      <c r="I323" t="n">
        <v>5.3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42239-2023</t>
        </is>
      </c>
      <c r="B324" t="inlineStr">
        <is>
          <t>avverkningsanmälan</t>
        </is>
      </c>
      <c r="C324" t="inlineStr">
        <is>
          <t>Avverkning för annat ändamål</t>
        </is>
      </c>
      <c r="D324" s="1" t="n">
        <v>45180</v>
      </c>
      <c r="E324" s="1" t="n">
        <v>46307</v>
      </c>
      <c r="F324" t="inlineStr">
        <is>
          <t>GÄVLEBORGS LÄN</t>
        </is>
      </c>
      <c r="G324" t="inlineStr">
        <is>
          <t>HUDIKSVALL</t>
        </is>
      </c>
      <c r="I324" t="n">
        <v>0.6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54468-2024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45617</v>
      </c>
      <c r="E325" s="1" t="n">
        <v>46307</v>
      </c>
      <c r="F325" t="inlineStr">
        <is>
          <t>GÄVLEBORGS LÄN</t>
        </is>
      </c>
      <c r="G325" t="inlineStr">
        <is>
          <t>HUDIKSVALL</t>
        </is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18538-2024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45425</v>
      </c>
      <c r="E326" s="1" t="n">
        <v>46307</v>
      </c>
      <c r="F326" t="inlineStr">
        <is>
          <t>GÄVLEBORGS LÄN</t>
        </is>
      </c>
      <c r="G326" t="inlineStr">
        <is>
          <t>HUDIKSVALL</t>
        </is>
      </c>
      <c r="H326" t="inlineStr">
        <is>
          <t>Holmen skog AB</t>
        </is>
      </c>
      <c r="I326" t="n">
        <v>2.3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54690-2024</t>
        </is>
      </c>
      <c r="B327" t="inlineStr">
        <is>
          <t>avverkningsanmälan</t>
        </is>
      </c>
      <c r="C327" t="inlineStr">
        <is>
          <t>Avverkning för att bevara och utveckla /försöksver</t>
        </is>
      </c>
      <c r="D327" s="1" t="n">
        <v>45618</v>
      </c>
      <c r="E327" s="1" t="n">
        <v>46307</v>
      </c>
      <c r="F327" t="inlineStr">
        <is>
          <t>GÄVLEBORGS LÄN</t>
        </is>
      </c>
      <c r="G327" t="inlineStr">
        <is>
          <t>HUDIKSVALL</t>
        </is>
      </c>
      <c r="H327" t="inlineStr">
        <is>
          <t>Holmen skog AB</t>
        </is>
      </c>
      <c r="I327" t="n">
        <v>1.4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62926-2023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45272</v>
      </c>
      <c r="E328" s="1" t="n">
        <v>46307</v>
      </c>
      <c r="F328" t="inlineStr">
        <is>
          <t>GÄVLEBORGS LÄN</t>
        </is>
      </c>
      <c r="G328" t="inlineStr">
        <is>
          <t>HUDIKSVALL</t>
        </is>
      </c>
      <c r="I328" t="n">
        <v>1.1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60359-2024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45643</v>
      </c>
      <c r="E329" s="1" t="n">
        <v>46307</v>
      </c>
      <c r="F329" t="inlineStr">
        <is>
          <t>GÄVLEBORGS LÄN</t>
        </is>
      </c>
      <c r="G329" t="inlineStr">
        <is>
          <t>HUDIKSVALL</t>
        </is>
      </c>
      <c r="I329" t="n">
        <v>1.1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56898-2023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45244</v>
      </c>
      <c r="E330" s="1" t="n">
        <v>46307</v>
      </c>
      <c r="F330" t="inlineStr">
        <is>
          <t>GÄVLEBORGS LÄN</t>
        </is>
      </c>
      <c r="G330" t="inlineStr">
        <is>
          <t>HUDIKSVALL</t>
        </is>
      </c>
      <c r="H330" t="inlineStr">
        <is>
          <t>Holmen skog AB</t>
        </is>
      </c>
      <c r="I330" t="n">
        <v>1.1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26456-2023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45092</v>
      </c>
      <c r="E331" s="1" t="n">
        <v>46307</v>
      </c>
      <c r="F331" t="inlineStr">
        <is>
          <t>GÄVLEBORGS LÄN</t>
        </is>
      </c>
      <c r="G331" t="inlineStr">
        <is>
          <t>HUDIKSVALL</t>
        </is>
      </c>
      <c r="I331" t="n">
        <v>0.6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20670-2022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44700</v>
      </c>
      <c r="E332" s="1" t="n">
        <v>46307</v>
      </c>
      <c r="F332" t="inlineStr">
        <is>
          <t>GÄVLEBORGS LÄN</t>
        </is>
      </c>
      <c r="G332" t="inlineStr">
        <is>
          <t>HUDIKSVALL</t>
        </is>
      </c>
      <c r="H332" t="inlineStr">
        <is>
          <t>Holmen skog AB</t>
        </is>
      </c>
      <c r="I332" t="n">
        <v>11.9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39643-2025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45890</v>
      </c>
      <c r="E333" s="1" t="n">
        <v>46307</v>
      </c>
      <c r="F333" t="inlineStr">
        <is>
          <t>GÄVLEBORGS LÄN</t>
        </is>
      </c>
      <c r="G333" t="inlineStr">
        <is>
          <t>HUDIKSVALL</t>
        </is>
      </c>
      <c r="I333" t="n">
        <v>1.8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39244-2025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45889</v>
      </c>
      <c r="E334" s="1" t="n">
        <v>46307</v>
      </c>
      <c r="F334" t="inlineStr">
        <is>
          <t>GÄVLEBORGS LÄN</t>
        </is>
      </c>
      <c r="G334" t="inlineStr">
        <is>
          <t>HUDIKSVALL</t>
        </is>
      </c>
      <c r="I334" t="n">
        <v>1.9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32631-2024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45513</v>
      </c>
      <c r="E335" s="1" t="n">
        <v>46307</v>
      </c>
      <c r="F335" t="inlineStr">
        <is>
          <t>GÄVLEBORGS LÄN</t>
        </is>
      </c>
      <c r="G335" t="inlineStr">
        <is>
          <t>HUDIKSVALL</t>
        </is>
      </c>
      <c r="H335" t="inlineStr">
        <is>
          <t>Holmen skog AB</t>
        </is>
      </c>
      <c r="I335" t="n">
        <v>3.5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31117-2024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45502</v>
      </c>
      <c r="E336" s="1" t="n">
        <v>46307</v>
      </c>
      <c r="F336" t="inlineStr">
        <is>
          <t>GÄVLEBORGS LÄN</t>
        </is>
      </c>
      <c r="G336" t="inlineStr">
        <is>
          <t>HUDIKSVALL</t>
        </is>
      </c>
      <c r="H336" t="inlineStr">
        <is>
          <t>Holmen skog AB</t>
        </is>
      </c>
      <c r="I336" t="n">
        <v>10.9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31119-2024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45502</v>
      </c>
      <c r="E337" s="1" t="n">
        <v>46307</v>
      </c>
      <c r="F337" t="inlineStr">
        <is>
          <t>GÄVLEBORGS LÄN</t>
        </is>
      </c>
      <c r="G337" t="inlineStr">
        <is>
          <t>HUDIKSVALL</t>
        </is>
      </c>
      <c r="H337" t="inlineStr">
        <is>
          <t>Holmen skog AB</t>
        </is>
      </c>
      <c r="I337" t="n">
        <v>3.1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11267-2023</t>
        </is>
      </c>
      <c r="B338" t="inlineStr">
        <is>
          <t>avverkningsanmälan</t>
        </is>
      </c>
      <c r="C338" t="inlineStr">
        <is>
          <t>Avverkning för annat ändamål</t>
        </is>
      </c>
      <c r="D338" s="1" t="n">
        <v>44992</v>
      </c>
      <c r="E338" s="1" t="n">
        <v>46307</v>
      </c>
      <c r="F338" t="inlineStr">
        <is>
          <t>GÄVLEBORGS LÄN</t>
        </is>
      </c>
      <c r="G338" t="inlineStr">
        <is>
          <t>HUDIKSVALL</t>
        </is>
      </c>
      <c r="I338" t="n">
        <v>0.9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38667-2023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45162</v>
      </c>
      <c r="E339" s="1" t="n">
        <v>46307</v>
      </c>
      <c r="F339" t="inlineStr">
        <is>
          <t>GÄVLEBORGS LÄN</t>
        </is>
      </c>
      <c r="G339" t="inlineStr">
        <is>
          <t>HUDIKSVALL</t>
        </is>
      </c>
      <c r="I339" t="n">
        <v>2.5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60847-2022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44914</v>
      </c>
      <c r="E340" s="1" t="n">
        <v>46307</v>
      </c>
      <c r="F340" t="inlineStr">
        <is>
          <t>GÄVLEBORGS LÄN</t>
        </is>
      </c>
      <c r="G340" t="inlineStr">
        <is>
          <t>HUDIKSVALL</t>
        </is>
      </c>
      <c r="I340" t="n">
        <v>0.4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3942-2023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44952</v>
      </c>
      <c r="E341" s="1" t="n">
        <v>46307</v>
      </c>
      <c r="F341" t="inlineStr">
        <is>
          <t>GÄVLEBORGS LÄN</t>
        </is>
      </c>
      <c r="G341" t="inlineStr">
        <is>
          <t>HUDIKSVALL</t>
        </is>
      </c>
      <c r="I341" t="n">
        <v>1.9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4605-2023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44956</v>
      </c>
      <c r="E342" s="1" t="n">
        <v>46307</v>
      </c>
      <c r="F342" t="inlineStr">
        <is>
          <t>GÄVLEBORGS LÄN</t>
        </is>
      </c>
      <c r="G342" t="inlineStr">
        <is>
          <t>HUDIKSVALL</t>
        </is>
      </c>
      <c r="I342" t="n">
        <v>1.3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10190-2023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44986</v>
      </c>
      <c r="E343" s="1" t="n">
        <v>46307</v>
      </c>
      <c r="F343" t="inlineStr">
        <is>
          <t>GÄVLEBORGS LÄN</t>
        </is>
      </c>
      <c r="G343" t="inlineStr">
        <is>
          <t>HUDIKSVALL</t>
        </is>
      </c>
      <c r="I343" t="n">
        <v>2.2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1377-2022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44573</v>
      </c>
      <c r="E344" s="1" t="n">
        <v>46307</v>
      </c>
      <c r="F344" t="inlineStr">
        <is>
          <t>GÄVLEBORGS LÄN</t>
        </is>
      </c>
      <c r="G344" t="inlineStr">
        <is>
          <t>HUDIKSVALL</t>
        </is>
      </c>
      <c r="I344" t="n">
        <v>0.7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30107-2024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45489</v>
      </c>
      <c r="E345" s="1" t="n">
        <v>46307</v>
      </c>
      <c r="F345" t="inlineStr">
        <is>
          <t>GÄVLEBORGS LÄN</t>
        </is>
      </c>
      <c r="G345" t="inlineStr">
        <is>
          <t>HUDIKSVALL</t>
        </is>
      </c>
      <c r="H345" t="inlineStr">
        <is>
          <t>Holmen skog AB</t>
        </is>
      </c>
      <c r="I345" t="n">
        <v>3.2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45181-2024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45575</v>
      </c>
      <c r="E346" s="1" t="n">
        <v>46307</v>
      </c>
      <c r="F346" t="inlineStr">
        <is>
          <t>GÄVLEBORGS LÄN</t>
        </is>
      </c>
      <c r="G346" t="inlineStr">
        <is>
          <t>HUDIKSVALL</t>
        </is>
      </c>
      <c r="H346" t="inlineStr">
        <is>
          <t>Holmen skog AB</t>
        </is>
      </c>
      <c r="I346" t="n">
        <v>8.300000000000001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38701-2024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45547</v>
      </c>
      <c r="E347" s="1" t="n">
        <v>46307</v>
      </c>
      <c r="F347" t="inlineStr">
        <is>
          <t>GÄVLEBORGS LÄN</t>
        </is>
      </c>
      <c r="G347" t="inlineStr">
        <is>
          <t>HUDIKSVALL</t>
        </is>
      </c>
      <c r="I347" t="n">
        <v>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60500-2022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44911</v>
      </c>
      <c r="E348" s="1" t="n">
        <v>46307</v>
      </c>
      <c r="F348" t="inlineStr">
        <is>
          <t>GÄVLEBORGS LÄN</t>
        </is>
      </c>
      <c r="G348" t="inlineStr">
        <is>
          <t>HUDIKSVALL</t>
        </is>
      </c>
      <c r="H348" t="inlineStr">
        <is>
          <t>Holmen skog AB</t>
        </is>
      </c>
      <c r="I348" t="n">
        <v>1.9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30408-2024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45491</v>
      </c>
      <c r="E349" s="1" t="n">
        <v>46307</v>
      </c>
      <c r="F349" t="inlineStr">
        <is>
          <t>GÄVLEBORGS LÄN</t>
        </is>
      </c>
      <c r="G349" t="inlineStr">
        <is>
          <t>HUDIKSVALL</t>
        </is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10332-2023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44987</v>
      </c>
      <c r="E350" s="1" t="n">
        <v>46307</v>
      </c>
      <c r="F350" t="inlineStr">
        <is>
          <t>GÄVLEBORGS LÄN</t>
        </is>
      </c>
      <c r="G350" t="inlineStr">
        <is>
          <t>HUDIKSVALL</t>
        </is>
      </c>
      <c r="H350" t="inlineStr">
        <is>
          <t>Holmen skog AB</t>
        </is>
      </c>
      <c r="I350" t="n">
        <v>1.2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44227-2024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45573</v>
      </c>
      <c r="E351" s="1" t="n">
        <v>46307</v>
      </c>
      <c r="F351" t="inlineStr">
        <is>
          <t>GÄVLEBORGS LÄN</t>
        </is>
      </c>
      <c r="G351" t="inlineStr">
        <is>
          <t>HUDIKSVALL</t>
        </is>
      </c>
      <c r="I351" t="n">
        <v>2.7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41191-2024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45559</v>
      </c>
      <c r="E352" s="1" t="n">
        <v>46307</v>
      </c>
      <c r="F352" t="inlineStr">
        <is>
          <t>GÄVLEBORGS LÄN</t>
        </is>
      </c>
      <c r="G352" t="inlineStr">
        <is>
          <t>HUDIKSVALL</t>
        </is>
      </c>
      <c r="H352" t="inlineStr">
        <is>
          <t>Holmen skog AB</t>
        </is>
      </c>
      <c r="I352" t="n">
        <v>15.7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2127-2024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45309</v>
      </c>
      <c r="E353" s="1" t="n">
        <v>46307</v>
      </c>
      <c r="F353" t="inlineStr">
        <is>
          <t>GÄVLEBORGS LÄN</t>
        </is>
      </c>
      <c r="G353" t="inlineStr">
        <is>
          <t>HUDIKSVALL</t>
        </is>
      </c>
      <c r="H353" t="inlineStr">
        <is>
          <t>Holmen skog AB</t>
        </is>
      </c>
      <c r="I353" t="n">
        <v>3.1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23657-2023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45077</v>
      </c>
      <c r="E354" s="1" t="n">
        <v>46307</v>
      </c>
      <c r="F354" t="inlineStr">
        <is>
          <t>GÄVLEBORGS LÄN</t>
        </is>
      </c>
      <c r="G354" t="inlineStr">
        <is>
          <t>HUDIKSVALL</t>
        </is>
      </c>
      <c r="I354" t="n">
        <v>1.3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1809-2023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44938</v>
      </c>
      <c r="E355" s="1" t="n">
        <v>46307</v>
      </c>
      <c r="F355" t="inlineStr">
        <is>
          <t>GÄVLEBORGS LÄN</t>
        </is>
      </c>
      <c r="G355" t="inlineStr">
        <is>
          <t>HUDIKSVALL</t>
        </is>
      </c>
      <c r="H355" t="inlineStr">
        <is>
          <t>Holmen skog AB</t>
        </is>
      </c>
      <c r="I355" t="n">
        <v>3.3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210-2025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45660</v>
      </c>
      <c r="E356" s="1" t="n">
        <v>46307</v>
      </c>
      <c r="F356" t="inlineStr">
        <is>
          <t>GÄVLEBORGS LÄN</t>
        </is>
      </c>
      <c r="G356" t="inlineStr">
        <is>
          <t>HUDIKSVALL</t>
        </is>
      </c>
      <c r="H356" t="inlineStr">
        <is>
          <t>Holmen skog AB</t>
        </is>
      </c>
      <c r="I356" t="n">
        <v>6.2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30982-2024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45499</v>
      </c>
      <c r="E357" s="1" t="n">
        <v>46307</v>
      </c>
      <c r="F357" t="inlineStr">
        <is>
          <t>GÄVLEBORGS LÄN</t>
        </is>
      </c>
      <c r="G357" t="inlineStr">
        <is>
          <t>HUDIKSVALL</t>
        </is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40561-2025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45896</v>
      </c>
      <c r="E358" s="1" t="n">
        <v>46307</v>
      </c>
      <c r="F358" t="inlineStr">
        <is>
          <t>GÄVLEBORGS LÄN</t>
        </is>
      </c>
      <c r="G358" t="inlineStr">
        <is>
          <t>HUDIKSVALL</t>
        </is>
      </c>
      <c r="H358" t="inlineStr">
        <is>
          <t>Kommuner</t>
        </is>
      </c>
      <c r="I358" t="n">
        <v>2.1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40474-2025</t>
        </is>
      </c>
      <c r="B359" t="inlineStr">
        <is>
          <t>avverkningsanmälan</t>
        </is>
      </c>
      <c r="C359" t="inlineStr">
        <is>
          <t>Avverkning för annat ändamål</t>
        </is>
      </c>
      <c r="D359" s="1" t="n">
        <v>45895</v>
      </c>
      <c r="E359" s="1" t="n">
        <v>46307</v>
      </c>
      <c r="F359" t="inlineStr">
        <is>
          <t>GÄVLEBORGS LÄN</t>
        </is>
      </c>
      <c r="G359" t="inlineStr">
        <is>
          <t>HUDIKSVALL</t>
        </is>
      </c>
      <c r="I359" t="n">
        <v>0.8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41156-2025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45898</v>
      </c>
      <c r="E360" s="1" t="n">
        <v>46307</v>
      </c>
      <c r="F360" t="inlineStr">
        <is>
          <t>GÄVLEBORGS LÄN</t>
        </is>
      </c>
      <c r="G360" t="inlineStr">
        <is>
          <t>HUDIKSVALL</t>
        </is>
      </c>
      <c r="H360" t="inlineStr">
        <is>
          <t>Holmen skog AB</t>
        </is>
      </c>
      <c r="I360" t="n">
        <v>5.3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41164-2025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45898</v>
      </c>
      <c r="E361" s="1" t="n">
        <v>46307</v>
      </c>
      <c r="F361" t="inlineStr">
        <is>
          <t>GÄVLEBORGS LÄN</t>
        </is>
      </c>
      <c r="G361" t="inlineStr">
        <is>
          <t>HUDIKSVALL</t>
        </is>
      </c>
      <c r="I361" t="n">
        <v>1.2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41119-2025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45898</v>
      </c>
      <c r="E362" s="1" t="n">
        <v>46307</v>
      </c>
      <c r="F362" t="inlineStr">
        <is>
          <t>GÄVLEBORGS LÄN</t>
        </is>
      </c>
      <c r="G362" t="inlineStr">
        <is>
          <t>HUDIKSVALL</t>
        </is>
      </c>
      <c r="H362" t="inlineStr">
        <is>
          <t>Holmen skog AB</t>
        </is>
      </c>
      <c r="I362" t="n">
        <v>35.1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41239-2025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45898</v>
      </c>
      <c r="E363" s="1" t="n">
        <v>46307</v>
      </c>
      <c r="F363" t="inlineStr">
        <is>
          <t>GÄVLEBORGS LÄN</t>
        </is>
      </c>
      <c r="G363" t="inlineStr">
        <is>
          <t>HUDIKSVALL</t>
        </is>
      </c>
      <c r="H363" t="inlineStr">
        <is>
          <t>Holmen skog AB</t>
        </is>
      </c>
      <c r="I363" t="n">
        <v>1.2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10537-2025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45721</v>
      </c>
      <c r="E364" s="1" t="n">
        <v>46307</v>
      </c>
      <c r="F364" t="inlineStr">
        <is>
          <t>GÄVLEBORGS LÄN</t>
        </is>
      </c>
      <c r="G364" t="inlineStr">
        <is>
          <t>HUDIKSVALL</t>
        </is>
      </c>
      <c r="H364" t="inlineStr">
        <is>
          <t>Holmen skog AB</t>
        </is>
      </c>
      <c r="I364" t="n">
        <v>2.1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55182-2023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45230</v>
      </c>
      <c r="E365" s="1" t="n">
        <v>46307</v>
      </c>
      <c r="F365" t="inlineStr">
        <is>
          <t>GÄVLEBORGS LÄN</t>
        </is>
      </c>
      <c r="G365" t="inlineStr">
        <is>
          <t>HUDIKSVALL</t>
        </is>
      </c>
      <c r="I365" t="n">
        <v>1.5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41762-2025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45902</v>
      </c>
      <c r="E366" s="1" t="n">
        <v>46307</v>
      </c>
      <c r="F366" t="inlineStr">
        <is>
          <t>GÄVLEBORGS LÄN</t>
        </is>
      </c>
      <c r="G366" t="inlineStr">
        <is>
          <t>HUDIKSVALL</t>
        </is>
      </c>
      <c r="H366" t="inlineStr">
        <is>
          <t>Holmen skog AB</t>
        </is>
      </c>
      <c r="I366" t="n">
        <v>17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45179-2024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45575</v>
      </c>
      <c r="E367" s="1" t="n">
        <v>46307</v>
      </c>
      <c r="F367" t="inlineStr">
        <is>
          <t>GÄVLEBORGS LÄN</t>
        </is>
      </c>
      <c r="G367" t="inlineStr">
        <is>
          <t>HUDIKSVALL</t>
        </is>
      </c>
      <c r="H367" t="inlineStr">
        <is>
          <t>Holmen skog AB</t>
        </is>
      </c>
      <c r="I367" t="n">
        <v>3.1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6425-2024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45338</v>
      </c>
      <c r="E368" s="1" t="n">
        <v>46307</v>
      </c>
      <c r="F368" t="inlineStr">
        <is>
          <t>GÄVLEBORGS LÄN</t>
        </is>
      </c>
      <c r="G368" t="inlineStr">
        <is>
          <t>HUDIKSVALL</t>
        </is>
      </c>
      <c r="H368" t="inlineStr">
        <is>
          <t>Holmen skog AB</t>
        </is>
      </c>
      <c r="I368" t="n">
        <v>2.8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30701-2024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45496</v>
      </c>
      <c r="E369" s="1" t="n">
        <v>46307</v>
      </c>
      <c r="F369" t="inlineStr">
        <is>
          <t>GÄVLEBORGS LÄN</t>
        </is>
      </c>
      <c r="G369" t="inlineStr">
        <is>
          <t>HUDIKSVALL</t>
        </is>
      </c>
      <c r="I369" t="n">
        <v>1.6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9026-2023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44979</v>
      </c>
      <c r="E370" s="1" t="n">
        <v>46307</v>
      </c>
      <c r="F370" t="inlineStr">
        <is>
          <t>GÄVLEBORGS LÄN</t>
        </is>
      </c>
      <c r="G370" t="inlineStr">
        <is>
          <t>HUDIKSVALL</t>
        </is>
      </c>
      <c r="H370" t="inlineStr">
        <is>
          <t>Holmen skog AB</t>
        </is>
      </c>
      <c r="I370" t="n">
        <v>10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6095-2024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45337</v>
      </c>
      <c r="E371" s="1" t="n">
        <v>46307</v>
      </c>
      <c r="F371" t="inlineStr">
        <is>
          <t>GÄVLEBORGS LÄN</t>
        </is>
      </c>
      <c r="G371" t="inlineStr">
        <is>
          <t>HUDIKSVALL</t>
        </is>
      </c>
      <c r="H371" t="inlineStr">
        <is>
          <t>Holmen skog AB</t>
        </is>
      </c>
      <c r="I371" t="n">
        <v>1.1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13201-2024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45386</v>
      </c>
      <c r="E372" s="1" t="n">
        <v>46307</v>
      </c>
      <c r="F372" t="inlineStr">
        <is>
          <t>GÄVLEBORGS LÄN</t>
        </is>
      </c>
      <c r="G372" t="inlineStr">
        <is>
          <t>HUDIKSVALL</t>
        </is>
      </c>
      <c r="I372" t="n">
        <v>0.9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19682-2024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45432</v>
      </c>
      <c r="E373" s="1" t="n">
        <v>46307</v>
      </c>
      <c r="F373" t="inlineStr">
        <is>
          <t>GÄVLEBORGS LÄN</t>
        </is>
      </c>
      <c r="G373" t="inlineStr">
        <is>
          <t>HUDIKSVALL</t>
        </is>
      </c>
      <c r="I373" t="n">
        <v>3.3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38670-2023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45162</v>
      </c>
      <c r="E374" s="1" t="n">
        <v>46307</v>
      </c>
      <c r="F374" t="inlineStr">
        <is>
          <t>GÄVLEBORGS LÄN</t>
        </is>
      </c>
      <c r="G374" t="inlineStr">
        <is>
          <t>HUDIKSVALL</t>
        </is>
      </c>
      <c r="I374" t="n">
        <v>1.9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41458-2025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45901</v>
      </c>
      <c r="E375" s="1" t="n">
        <v>46307</v>
      </c>
      <c r="F375" t="inlineStr">
        <is>
          <t>GÄVLEBORGS LÄN</t>
        </is>
      </c>
      <c r="G375" t="inlineStr">
        <is>
          <t>HUDIKSVALL</t>
        </is>
      </c>
      <c r="I375" t="n">
        <v>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41515-2025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45901</v>
      </c>
      <c r="E376" s="1" t="n">
        <v>46307</v>
      </c>
      <c r="F376" t="inlineStr">
        <is>
          <t>GÄVLEBORGS LÄN</t>
        </is>
      </c>
      <c r="G376" t="inlineStr">
        <is>
          <t>HUDIKSVALL</t>
        </is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27477-2024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45474</v>
      </c>
      <c r="E377" s="1" t="n">
        <v>46307</v>
      </c>
      <c r="F377" t="inlineStr">
        <is>
          <t>GÄVLEBORGS LÄN</t>
        </is>
      </c>
      <c r="G377" t="inlineStr">
        <is>
          <t>HUDIKSVALL</t>
        </is>
      </c>
      <c r="H377" t="inlineStr">
        <is>
          <t>Holmen skog AB</t>
        </is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56882-2023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45244</v>
      </c>
      <c r="E378" s="1" t="n">
        <v>46307</v>
      </c>
      <c r="F378" t="inlineStr">
        <is>
          <t>GÄVLEBORGS LÄN</t>
        </is>
      </c>
      <c r="G378" t="inlineStr">
        <is>
          <t>HUDIKSVALL</t>
        </is>
      </c>
      <c r="I378" t="n">
        <v>7.7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32109-2024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45511</v>
      </c>
      <c r="E379" s="1" t="n">
        <v>46307</v>
      </c>
      <c r="F379" t="inlineStr">
        <is>
          <t>GÄVLEBORGS LÄN</t>
        </is>
      </c>
      <c r="G379" t="inlineStr">
        <is>
          <t>HUDIKSVALL</t>
        </is>
      </c>
      <c r="I379" t="n">
        <v>2.7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11817-2024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45376</v>
      </c>
      <c r="E380" s="1" t="n">
        <v>46307</v>
      </c>
      <c r="F380" t="inlineStr">
        <is>
          <t>GÄVLEBORGS LÄN</t>
        </is>
      </c>
      <c r="G380" t="inlineStr">
        <is>
          <t>HUDIKSVALL</t>
        </is>
      </c>
      <c r="H380" t="inlineStr">
        <is>
          <t>Holmen skog AB</t>
        </is>
      </c>
      <c r="I380" t="n">
        <v>6.2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5870-2025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45695</v>
      </c>
      <c r="E381" s="1" t="n">
        <v>46307</v>
      </c>
      <c r="F381" t="inlineStr">
        <is>
          <t>GÄVLEBORGS LÄN</t>
        </is>
      </c>
      <c r="G381" t="inlineStr">
        <is>
          <t>HUDIKSVALL</t>
        </is>
      </c>
      <c r="H381" t="inlineStr">
        <is>
          <t>Holmen skog AB</t>
        </is>
      </c>
      <c r="I381" t="n">
        <v>3.9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27956-2024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45476</v>
      </c>
      <c r="E382" s="1" t="n">
        <v>46307</v>
      </c>
      <c r="F382" t="inlineStr">
        <is>
          <t>GÄVLEBORGS LÄN</t>
        </is>
      </c>
      <c r="G382" t="inlineStr">
        <is>
          <t>HUDIKSVALL</t>
        </is>
      </c>
      <c r="H382" t="inlineStr">
        <is>
          <t>Holmen skog AB</t>
        </is>
      </c>
      <c r="I382" t="n">
        <v>1.7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20024-2024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45434</v>
      </c>
      <c r="E383" s="1" t="n">
        <v>46307</v>
      </c>
      <c r="F383" t="inlineStr">
        <is>
          <t>GÄVLEBORGS LÄN</t>
        </is>
      </c>
      <c r="G383" t="inlineStr">
        <is>
          <t>HUDIKSVALL</t>
        </is>
      </c>
      <c r="I383" t="n">
        <v>1.9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14088-2025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45740</v>
      </c>
      <c r="E384" s="1" t="n">
        <v>46307</v>
      </c>
      <c r="F384" t="inlineStr">
        <is>
          <t>GÄVLEBORGS LÄN</t>
        </is>
      </c>
      <c r="G384" t="inlineStr">
        <is>
          <t>HUDIKSVALL</t>
        </is>
      </c>
      <c r="I384" t="n">
        <v>12.8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42659-2024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45566</v>
      </c>
      <c r="E385" s="1" t="n">
        <v>46307</v>
      </c>
      <c r="F385" t="inlineStr">
        <is>
          <t>GÄVLEBORGS LÄN</t>
        </is>
      </c>
      <c r="G385" t="inlineStr">
        <is>
          <t>HUDIKSVALL</t>
        </is>
      </c>
      <c r="H385" t="inlineStr">
        <is>
          <t>Holmen skog AB</t>
        </is>
      </c>
      <c r="I385" t="n">
        <v>10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50306-2024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45600</v>
      </c>
      <c r="E386" s="1" t="n">
        <v>46307</v>
      </c>
      <c r="F386" t="inlineStr">
        <is>
          <t>GÄVLEBORGS LÄN</t>
        </is>
      </c>
      <c r="G386" t="inlineStr">
        <is>
          <t>HUDIKSVALL</t>
        </is>
      </c>
      <c r="I386" t="n">
        <v>1.6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42151-2025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45904</v>
      </c>
      <c r="E387" s="1" t="n">
        <v>46307</v>
      </c>
      <c r="F387" t="inlineStr">
        <is>
          <t>GÄVLEBORGS LÄN</t>
        </is>
      </c>
      <c r="G387" t="inlineStr">
        <is>
          <t>HUDIKSVALL</t>
        </is>
      </c>
      <c r="I387" t="n">
        <v>3.9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1409-2024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45303</v>
      </c>
      <c r="E388" s="1" t="n">
        <v>46307</v>
      </c>
      <c r="F388" t="inlineStr">
        <is>
          <t>GÄVLEBORGS LÄN</t>
        </is>
      </c>
      <c r="G388" t="inlineStr">
        <is>
          <t>HUDIKSVALL</t>
        </is>
      </c>
      <c r="I388" t="n">
        <v>0.5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60517-2022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44911</v>
      </c>
      <c r="E389" s="1" t="n">
        <v>46307</v>
      </c>
      <c r="F389" t="inlineStr">
        <is>
          <t>GÄVLEBORGS LÄN</t>
        </is>
      </c>
      <c r="G389" t="inlineStr">
        <is>
          <t>HUDIKSVALL</t>
        </is>
      </c>
      <c r="H389" t="inlineStr">
        <is>
          <t>Holmen skog AB</t>
        </is>
      </c>
      <c r="I389" t="n">
        <v>3.8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30983-2024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45499</v>
      </c>
      <c r="E390" s="1" t="n">
        <v>46307</v>
      </c>
      <c r="F390" t="inlineStr">
        <is>
          <t>GÄVLEBORGS LÄN</t>
        </is>
      </c>
      <c r="G390" t="inlineStr">
        <is>
          <t>HUDIKSVALL</t>
        </is>
      </c>
      <c r="I390" t="n">
        <v>0.5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42851-2025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45908</v>
      </c>
      <c r="E391" s="1" t="n">
        <v>46307</v>
      </c>
      <c r="F391" t="inlineStr">
        <is>
          <t>GÄVLEBORGS LÄN</t>
        </is>
      </c>
      <c r="G391" t="inlineStr">
        <is>
          <t>HUDIKSVALL</t>
        </is>
      </c>
      <c r="I391" t="n">
        <v>1.7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13490-2024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45387</v>
      </c>
      <c r="E392" s="1" t="n">
        <v>46307</v>
      </c>
      <c r="F392" t="inlineStr">
        <is>
          <t>GÄVLEBORGS LÄN</t>
        </is>
      </c>
      <c r="G392" t="inlineStr">
        <is>
          <t>HUDIKSVALL</t>
        </is>
      </c>
      <c r="I392" t="n">
        <v>1.5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11101-2024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45371</v>
      </c>
      <c r="E393" s="1" t="n">
        <v>46307</v>
      </c>
      <c r="F393" t="inlineStr">
        <is>
          <t>GÄVLEBORGS LÄN</t>
        </is>
      </c>
      <c r="G393" t="inlineStr">
        <is>
          <t>HUDIKSVALL</t>
        </is>
      </c>
      <c r="H393" t="inlineStr">
        <is>
          <t>Holmen skog AB</t>
        </is>
      </c>
      <c r="I393" t="n">
        <v>9.800000000000001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72899-2021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44547</v>
      </c>
      <c r="E394" s="1" t="n">
        <v>46307</v>
      </c>
      <c r="F394" t="inlineStr">
        <is>
          <t>GÄVLEBORGS LÄN</t>
        </is>
      </c>
      <c r="G394" t="inlineStr">
        <is>
          <t>HUDIKSVALL</t>
        </is>
      </c>
      <c r="I394" t="n">
        <v>1.1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42760-2025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45908</v>
      </c>
      <c r="E395" s="1" t="n">
        <v>46307</v>
      </c>
      <c r="F395" t="inlineStr">
        <is>
          <t>GÄVLEBORGS LÄN</t>
        </is>
      </c>
      <c r="G395" t="inlineStr">
        <is>
          <t>HUDIKSVALL</t>
        </is>
      </c>
      <c r="I395" t="n">
        <v>2.7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42790-2025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45908</v>
      </c>
      <c r="E396" s="1" t="n">
        <v>46307</v>
      </c>
      <c r="F396" t="inlineStr">
        <is>
          <t>GÄVLEBORGS LÄN</t>
        </is>
      </c>
      <c r="G396" t="inlineStr">
        <is>
          <t>HUDIKSVALL</t>
        </is>
      </c>
      <c r="I396" t="n">
        <v>0.7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42792-2025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45908</v>
      </c>
      <c r="E397" s="1" t="n">
        <v>46307</v>
      </c>
      <c r="F397" t="inlineStr">
        <is>
          <t>GÄVLEBORGS LÄN</t>
        </is>
      </c>
      <c r="G397" t="inlineStr">
        <is>
          <t>HUDIKSVALL</t>
        </is>
      </c>
      <c r="I397" t="n">
        <v>2.6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53721-2024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45615</v>
      </c>
      <c r="E398" s="1" t="n">
        <v>46307</v>
      </c>
      <c r="F398" t="inlineStr">
        <is>
          <t>GÄVLEBORGS LÄN</t>
        </is>
      </c>
      <c r="G398" t="inlineStr">
        <is>
          <t>HUDIKSVALL</t>
        </is>
      </c>
      <c r="I398" t="n">
        <v>1.6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58473-2024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45635</v>
      </c>
      <c r="E399" s="1" t="n">
        <v>46307</v>
      </c>
      <c r="F399" t="inlineStr">
        <is>
          <t>GÄVLEBORGS LÄN</t>
        </is>
      </c>
      <c r="G399" t="inlineStr">
        <is>
          <t>HUDIKSVALL</t>
        </is>
      </c>
      <c r="I399" t="n">
        <v>3.8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2652-2024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45314</v>
      </c>
      <c r="E400" s="1" t="n">
        <v>46307</v>
      </c>
      <c r="F400" t="inlineStr">
        <is>
          <t>GÄVLEBORGS LÄN</t>
        </is>
      </c>
      <c r="G400" t="inlineStr">
        <is>
          <t>HUDIKSVALL</t>
        </is>
      </c>
      <c r="I400" t="n">
        <v>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2685-2024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45314</v>
      </c>
      <c r="E401" s="1" t="n">
        <v>46307</v>
      </c>
      <c r="F401" t="inlineStr">
        <is>
          <t>GÄVLEBORGS LÄN</t>
        </is>
      </c>
      <c r="G401" t="inlineStr">
        <is>
          <t>HUDIKSVALL</t>
        </is>
      </c>
      <c r="I401" t="n">
        <v>0.5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60942-2024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45645</v>
      </c>
      <c r="E402" s="1" t="n">
        <v>46307</v>
      </c>
      <c r="F402" t="inlineStr">
        <is>
          <t>GÄVLEBORGS LÄN</t>
        </is>
      </c>
      <c r="G402" t="inlineStr">
        <is>
          <t>HUDIKSVALL</t>
        </is>
      </c>
      <c r="I402" t="n">
        <v>2.2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43339-2025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45910</v>
      </c>
      <c r="E403" s="1" t="n">
        <v>46307</v>
      </c>
      <c r="F403" t="inlineStr">
        <is>
          <t>GÄVLEBORGS LÄN</t>
        </is>
      </c>
      <c r="G403" t="inlineStr">
        <is>
          <t>HUDIKSVALL</t>
        </is>
      </c>
      <c r="H403" t="inlineStr">
        <is>
          <t>Holmen skog AB</t>
        </is>
      </c>
      <c r="I403" t="n">
        <v>7.4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42934-2025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45909</v>
      </c>
      <c r="E404" s="1" t="n">
        <v>46307</v>
      </c>
      <c r="F404" t="inlineStr">
        <is>
          <t>GÄVLEBORGS LÄN</t>
        </is>
      </c>
      <c r="G404" t="inlineStr">
        <is>
          <t>HUDIKSVALL</t>
        </is>
      </c>
      <c r="I404" t="n">
        <v>0.6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3162-2023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44946</v>
      </c>
      <c r="E405" s="1" t="n">
        <v>46307</v>
      </c>
      <c r="F405" t="inlineStr">
        <is>
          <t>GÄVLEBORGS LÄN</t>
        </is>
      </c>
      <c r="G405" t="inlineStr">
        <is>
          <t>HUDIKSVALL</t>
        </is>
      </c>
      <c r="I405" t="n">
        <v>2.9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43170-2025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45910</v>
      </c>
      <c r="E406" s="1" t="n">
        <v>46307</v>
      </c>
      <c r="F406" t="inlineStr">
        <is>
          <t>GÄVLEBORGS LÄN</t>
        </is>
      </c>
      <c r="G406" t="inlineStr">
        <is>
          <t>HUDIKSVALL</t>
        </is>
      </c>
      <c r="H406" t="inlineStr">
        <is>
          <t>Holmen skog AB</t>
        </is>
      </c>
      <c r="I406" t="n">
        <v>3.7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7114-2025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45702</v>
      </c>
      <c r="E407" s="1" t="n">
        <v>46307</v>
      </c>
      <c r="F407" t="inlineStr">
        <is>
          <t>GÄVLEBORGS LÄN</t>
        </is>
      </c>
      <c r="G407" t="inlineStr">
        <is>
          <t>HUDIKSVALL</t>
        </is>
      </c>
      <c r="H407" t="inlineStr">
        <is>
          <t>Holmen skog AB</t>
        </is>
      </c>
      <c r="I407" t="n">
        <v>3.1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22977-2024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45449</v>
      </c>
      <c r="E408" s="1" t="n">
        <v>46307</v>
      </c>
      <c r="F408" t="inlineStr">
        <is>
          <t>GÄVLEBORGS LÄN</t>
        </is>
      </c>
      <c r="G408" t="inlineStr">
        <is>
          <t>HUDIKSVALL</t>
        </is>
      </c>
      <c r="H408" t="inlineStr">
        <is>
          <t>Holmen skog AB</t>
        </is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9601-2025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45715</v>
      </c>
      <c r="E409" s="1" t="n">
        <v>46307</v>
      </c>
      <c r="F409" t="inlineStr">
        <is>
          <t>GÄVLEBORGS LÄN</t>
        </is>
      </c>
      <c r="G409" t="inlineStr">
        <is>
          <t>HUDIKSVALL</t>
        </is>
      </c>
      <c r="H409" t="inlineStr">
        <is>
          <t>Holmen skog AB</t>
        </is>
      </c>
      <c r="I409" t="n">
        <v>55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43197-2025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45910</v>
      </c>
      <c r="E410" s="1" t="n">
        <v>46307</v>
      </c>
      <c r="F410" t="inlineStr">
        <is>
          <t>GÄVLEBORGS LÄN</t>
        </is>
      </c>
      <c r="G410" t="inlineStr">
        <is>
          <t>HUDIKSVALL</t>
        </is>
      </c>
      <c r="I410" t="n">
        <v>3.2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43219-2025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45910</v>
      </c>
      <c r="E411" s="1" t="n">
        <v>46307</v>
      </c>
      <c r="F411" t="inlineStr">
        <is>
          <t>GÄVLEBORGS LÄN</t>
        </is>
      </c>
      <c r="G411" t="inlineStr">
        <is>
          <t>HUDIKSVALL</t>
        </is>
      </c>
      <c r="I411" t="n">
        <v>2.7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61579-2024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45646</v>
      </c>
      <c r="E412" s="1" t="n">
        <v>46307</v>
      </c>
      <c r="F412" t="inlineStr">
        <is>
          <t>GÄVLEBORGS LÄN</t>
        </is>
      </c>
      <c r="G412" t="inlineStr">
        <is>
          <t>HUDIKSVALL</t>
        </is>
      </c>
      <c r="I412" t="n">
        <v>0.9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50790-2024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45602</v>
      </c>
      <c r="E413" s="1" t="n">
        <v>46307</v>
      </c>
      <c r="F413" t="inlineStr">
        <is>
          <t>GÄVLEBORGS LÄN</t>
        </is>
      </c>
      <c r="G413" t="inlineStr">
        <is>
          <t>HUDIKSVALL</t>
        </is>
      </c>
      <c r="H413" t="inlineStr">
        <is>
          <t>Holmen skog AB</t>
        </is>
      </c>
      <c r="I413" t="n">
        <v>13.9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38535-2023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45162</v>
      </c>
      <c r="E414" s="1" t="n">
        <v>46307</v>
      </c>
      <c r="F414" t="inlineStr">
        <is>
          <t>GÄVLEBORGS LÄN</t>
        </is>
      </c>
      <c r="G414" t="inlineStr">
        <is>
          <t>HUDIKSVALL</t>
        </is>
      </c>
      <c r="I414" t="n">
        <v>1.2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6949-2025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45701</v>
      </c>
      <c r="E415" s="1" t="n">
        <v>46307</v>
      </c>
      <c r="F415" t="inlineStr">
        <is>
          <t>GÄVLEBORGS LÄN</t>
        </is>
      </c>
      <c r="G415" t="inlineStr">
        <is>
          <t>HUDIKSVALL</t>
        </is>
      </c>
      <c r="I415" t="n">
        <v>4.5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43433-2025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45911</v>
      </c>
      <c r="E416" s="1" t="n">
        <v>46307</v>
      </c>
      <c r="F416" t="inlineStr">
        <is>
          <t>GÄVLEBORGS LÄN</t>
        </is>
      </c>
      <c r="G416" t="inlineStr">
        <is>
          <t>HUDIKSVALL</t>
        </is>
      </c>
      <c r="I416" t="n">
        <v>2.1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35061-2024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45527</v>
      </c>
      <c r="E417" s="1" t="n">
        <v>46307</v>
      </c>
      <c r="F417" t="inlineStr">
        <is>
          <t>GÄVLEBORGS LÄN</t>
        </is>
      </c>
      <c r="G417" t="inlineStr">
        <is>
          <t>HUDIKSVALL</t>
        </is>
      </c>
      <c r="H417" t="inlineStr">
        <is>
          <t>Holmen skog AB</t>
        </is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603-2025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45664</v>
      </c>
      <c r="E418" s="1" t="n">
        <v>46307</v>
      </c>
      <c r="F418" t="inlineStr">
        <is>
          <t>GÄVLEBORGS LÄN</t>
        </is>
      </c>
      <c r="G418" t="inlineStr">
        <is>
          <t>HUDIKSVALL</t>
        </is>
      </c>
      <c r="H418" t="inlineStr">
        <is>
          <t>Holmen skog AB</t>
        </is>
      </c>
      <c r="I418" t="n">
        <v>5.2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43715-2025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45912</v>
      </c>
      <c r="E419" s="1" t="n">
        <v>46307</v>
      </c>
      <c r="F419" t="inlineStr">
        <is>
          <t>GÄVLEBORGS LÄN</t>
        </is>
      </c>
      <c r="G419" t="inlineStr">
        <is>
          <t>HUDIKSVALL</t>
        </is>
      </c>
      <c r="I419" t="n">
        <v>1.3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20932-2025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45777</v>
      </c>
      <c r="E420" s="1" t="n">
        <v>46307</v>
      </c>
      <c r="F420" t="inlineStr">
        <is>
          <t>GÄVLEBORGS LÄN</t>
        </is>
      </c>
      <c r="G420" t="inlineStr">
        <is>
          <t>HUDIKSVALL</t>
        </is>
      </c>
      <c r="H420" t="inlineStr">
        <is>
          <t>Holmen skog AB</t>
        </is>
      </c>
      <c r="I420" t="n">
        <v>2.3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43661-2025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45912</v>
      </c>
      <c r="E421" s="1" t="n">
        <v>46307</v>
      </c>
      <c r="F421" t="inlineStr">
        <is>
          <t>GÄVLEBORGS LÄN</t>
        </is>
      </c>
      <c r="G421" t="inlineStr">
        <is>
          <t>HUDIKSVALL</t>
        </is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43678-2025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45912</v>
      </c>
      <c r="E422" s="1" t="n">
        <v>46307</v>
      </c>
      <c r="F422" t="inlineStr">
        <is>
          <t>GÄVLEBORGS LÄN</t>
        </is>
      </c>
      <c r="G422" t="inlineStr">
        <is>
          <t>HUDIKSVALL</t>
        </is>
      </c>
      <c r="I422" t="n">
        <v>0.6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42657-2024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45566</v>
      </c>
      <c r="E423" s="1" t="n">
        <v>46307</v>
      </c>
      <c r="F423" t="inlineStr">
        <is>
          <t>GÄVLEBORGS LÄN</t>
        </is>
      </c>
      <c r="G423" t="inlineStr">
        <is>
          <t>HUDIKSVALL</t>
        </is>
      </c>
      <c r="H423" t="inlineStr">
        <is>
          <t>Holmen skog AB</t>
        </is>
      </c>
      <c r="I423" t="n">
        <v>10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61977-2022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44918</v>
      </c>
      <c r="E424" s="1" t="n">
        <v>46307</v>
      </c>
      <c r="F424" t="inlineStr">
        <is>
          <t>GÄVLEBORGS LÄN</t>
        </is>
      </c>
      <c r="G424" t="inlineStr">
        <is>
          <t>HUDIKSVALL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38201-2024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45545</v>
      </c>
      <c r="E425" s="1" t="n">
        <v>46307</v>
      </c>
      <c r="F425" t="inlineStr">
        <is>
          <t>GÄVLEBORGS LÄN</t>
        </is>
      </c>
      <c r="G425" t="inlineStr">
        <is>
          <t>HUDIKSVALL</t>
        </is>
      </c>
      <c r="H425" t="inlineStr">
        <is>
          <t>Holmen skog AB</t>
        </is>
      </c>
      <c r="I425" t="n">
        <v>0.5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43393-2025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45911</v>
      </c>
      <c r="E426" s="1" t="n">
        <v>46307</v>
      </c>
      <c r="F426" t="inlineStr">
        <is>
          <t>GÄVLEBORGS LÄN</t>
        </is>
      </c>
      <c r="G426" t="inlineStr">
        <is>
          <t>HUDIKSVALL</t>
        </is>
      </c>
      <c r="I426" t="n">
        <v>2.6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624-2025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45664</v>
      </c>
      <c r="E427" s="1" t="n">
        <v>46307</v>
      </c>
      <c r="F427" t="inlineStr">
        <is>
          <t>GÄVLEBORGS LÄN</t>
        </is>
      </c>
      <c r="G427" t="inlineStr">
        <is>
          <t>HUDIKSVALL</t>
        </is>
      </c>
      <c r="H427" t="inlineStr">
        <is>
          <t>Holmen skog AB</t>
        </is>
      </c>
      <c r="I427" t="n">
        <v>3.2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21524-2025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45782</v>
      </c>
      <c r="E428" s="1" t="n">
        <v>46307</v>
      </c>
      <c r="F428" t="inlineStr">
        <is>
          <t>GÄVLEBORGS LÄN</t>
        </is>
      </c>
      <c r="G428" t="inlineStr">
        <is>
          <t>HUDIKSVALL</t>
        </is>
      </c>
      <c r="I428" t="n">
        <v>3.7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63952-2023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45278</v>
      </c>
      <c r="E429" s="1" t="n">
        <v>46307</v>
      </c>
      <c r="F429" t="inlineStr">
        <is>
          <t>GÄVLEBORGS LÄN</t>
        </is>
      </c>
      <c r="G429" t="inlineStr">
        <is>
          <t>HUDIKSVALL</t>
        </is>
      </c>
      <c r="H429" t="inlineStr">
        <is>
          <t>Holmen skog AB</t>
        </is>
      </c>
      <c r="I429" t="n">
        <v>7.2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48649-2024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45593</v>
      </c>
      <c r="E430" s="1" t="n">
        <v>46307</v>
      </c>
      <c r="F430" t="inlineStr">
        <is>
          <t>GÄVLEBORGS LÄN</t>
        </is>
      </c>
      <c r="G430" t="inlineStr">
        <is>
          <t>HUDIKSVALL</t>
        </is>
      </c>
      <c r="I430" t="n">
        <v>0.4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44348-2025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45916</v>
      </c>
      <c r="E431" s="1" t="n">
        <v>46307</v>
      </c>
      <c r="F431" t="inlineStr">
        <is>
          <t>GÄVLEBORGS LÄN</t>
        </is>
      </c>
      <c r="G431" t="inlineStr">
        <is>
          <t>HUDIKSVALL</t>
        </is>
      </c>
      <c r="H431" t="inlineStr">
        <is>
          <t>Holmen skog AB</t>
        </is>
      </c>
      <c r="I431" t="n">
        <v>2.4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8005-2022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44609</v>
      </c>
      <c r="E432" s="1" t="n">
        <v>46307</v>
      </c>
      <c r="F432" t="inlineStr">
        <is>
          <t>GÄVLEBORGS LÄN</t>
        </is>
      </c>
      <c r="G432" t="inlineStr">
        <is>
          <t>HUDIKSVALL</t>
        </is>
      </c>
      <c r="H432" t="inlineStr">
        <is>
          <t>Holmen skog AB</t>
        </is>
      </c>
      <c r="I432" t="n">
        <v>1.2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70264-2021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44536</v>
      </c>
      <c r="E433" s="1" t="n">
        <v>46307</v>
      </c>
      <c r="F433" t="inlineStr">
        <is>
          <t>GÄVLEBORGS LÄN</t>
        </is>
      </c>
      <c r="G433" t="inlineStr">
        <is>
          <t>HUDIKSVALL</t>
        </is>
      </c>
      <c r="I433" t="n">
        <v>0.4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66418-2021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44518</v>
      </c>
      <c r="E434" s="1" t="n">
        <v>46307</v>
      </c>
      <c r="F434" t="inlineStr">
        <is>
          <t>GÄVLEBORGS LÄN</t>
        </is>
      </c>
      <c r="G434" t="inlineStr">
        <is>
          <t>HUDIKSVALL</t>
        </is>
      </c>
      <c r="H434" t="inlineStr">
        <is>
          <t>Holmen skog AB</t>
        </is>
      </c>
      <c r="I434" t="n">
        <v>2.3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27545-2024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45474</v>
      </c>
      <c r="E435" s="1" t="n">
        <v>46307</v>
      </c>
      <c r="F435" t="inlineStr">
        <is>
          <t>GÄVLEBORGS LÄN</t>
        </is>
      </c>
      <c r="G435" t="inlineStr">
        <is>
          <t>HUDIKSVALL</t>
        </is>
      </c>
      <c r="I435" t="n">
        <v>9.300000000000001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72083-2021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44544</v>
      </c>
      <c r="E436" s="1" t="n">
        <v>46307</v>
      </c>
      <c r="F436" t="inlineStr">
        <is>
          <t>GÄVLEBORGS LÄN</t>
        </is>
      </c>
      <c r="G436" t="inlineStr">
        <is>
          <t>HUDIKSVALL</t>
        </is>
      </c>
      <c r="I436" t="n">
        <v>1.4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13670-2024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45390</v>
      </c>
      <c r="E437" s="1" t="n">
        <v>46307</v>
      </c>
      <c r="F437" t="inlineStr">
        <is>
          <t>GÄVLEBORGS LÄN</t>
        </is>
      </c>
      <c r="G437" t="inlineStr">
        <is>
          <t>HUDIKSVALL</t>
        </is>
      </c>
      <c r="H437" t="inlineStr">
        <is>
          <t>Holmen skog AB</t>
        </is>
      </c>
      <c r="I437" t="n">
        <v>3.3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22148-2025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45785</v>
      </c>
      <c r="E438" s="1" t="n">
        <v>46307</v>
      </c>
      <c r="F438" t="inlineStr">
        <is>
          <t>GÄVLEBORGS LÄN</t>
        </is>
      </c>
      <c r="G438" t="inlineStr">
        <is>
          <t>HUDIKSVALL</t>
        </is>
      </c>
      <c r="I438" t="n">
        <v>0.9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4565-2024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45327</v>
      </c>
      <c r="E439" s="1" t="n">
        <v>46307</v>
      </c>
      <c r="F439" t="inlineStr">
        <is>
          <t>GÄVLEBORGS LÄN</t>
        </is>
      </c>
      <c r="G439" t="inlineStr">
        <is>
          <t>HUDIKSVALL</t>
        </is>
      </c>
      <c r="H439" t="inlineStr">
        <is>
          <t>Holmen skog AB</t>
        </is>
      </c>
      <c r="I439" t="n">
        <v>34.7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42942-2024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45567</v>
      </c>
      <c r="E440" s="1" t="n">
        <v>46307</v>
      </c>
      <c r="F440" t="inlineStr">
        <is>
          <t>GÄVLEBORGS LÄN</t>
        </is>
      </c>
      <c r="G440" t="inlineStr">
        <is>
          <t>HUDIKSVALL</t>
        </is>
      </c>
      <c r="H440" t="inlineStr">
        <is>
          <t>Holmen skog AB</t>
        </is>
      </c>
      <c r="I440" t="n">
        <v>5.4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39858-2023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45168</v>
      </c>
      <c r="E441" s="1" t="n">
        <v>46307</v>
      </c>
      <c r="F441" t="inlineStr">
        <is>
          <t>GÄVLEBORGS LÄN</t>
        </is>
      </c>
      <c r="G441" t="inlineStr">
        <is>
          <t>HUDIKSVALL</t>
        </is>
      </c>
      <c r="H441" t="inlineStr">
        <is>
          <t>Holmen skog AB</t>
        </is>
      </c>
      <c r="I441" t="n">
        <v>2.1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22015-2025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45784</v>
      </c>
      <c r="E442" s="1" t="n">
        <v>46307</v>
      </c>
      <c r="F442" t="inlineStr">
        <is>
          <t>GÄVLEBORGS LÄN</t>
        </is>
      </c>
      <c r="G442" t="inlineStr">
        <is>
          <t>HUDIKSVALL</t>
        </is>
      </c>
      <c r="H442" t="inlineStr">
        <is>
          <t>Holmen skog AB</t>
        </is>
      </c>
      <c r="I442" t="n">
        <v>14.3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44631-2025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45917</v>
      </c>
      <c r="E443" s="1" t="n">
        <v>46307</v>
      </c>
      <c r="F443" t="inlineStr">
        <is>
          <t>GÄVLEBORGS LÄN</t>
        </is>
      </c>
      <c r="G443" t="inlineStr">
        <is>
          <t>HUDIKSVALL</t>
        </is>
      </c>
      <c r="I443" t="n">
        <v>2.6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35164-2023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45145</v>
      </c>
      <c r="E444" s="1" t="n">
        <v>46307</v>
      </c>
      <c r="F444" t="inlineStr">
        <is>
          <t>GÄVLEBORGS LÄN</t>
        </is>
      </c>
      <c r="G444" t="inlineStr">
        <is>
          <t>HUDIKSVALL</t>
        </is>
      </c>
      <c r="H444" t="inlineStr">
        <is>
          <t>Holmen skog AB</t>
        </is>
      </c>
      <c r="I444" t="n">
        <v>8.800000000000001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30398-2023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45111</v>
      </c>
      <c r="E445" s="1" t="n">
        <v>46307</v>
      </c>
      <c r="F445" t="inlineStr">
        <is>
          <t>GÄVLEBORGS LÄN</t>
        </is>
      </c>
      <c r="G445" t="inlineStr">
        <is>
          <t>HUDIKSVALL</t>
        </is>
      </c>
      <c r="I445" t="n">
        <v>2.5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18568-2023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45043</v>
      </c>
      <c r="E446" s="1" t="n">
        <v>46307</v>
      </c>
      <c r="F446" t="inlineStr">
        <is>
          <t>GÄVLEBORGS LÄN</t>
        </is>
      </c>
      <c r="G446" t="inlineStr">
        <is>
          <t>HUDIKSVALL</t>
        </is>
      </c>
      <c r="I446" t="n">
        <v>1.1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8486-2024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45355</v>
      </c>
      <c r="E447" s="1" t="n">
        <v>46307</v>
      </c>
      <c r="F447" t="inlineStr">
        <is>
          <t>GÄVLEBORGS LÄN</t>
        </is>
      </c>
      <c r="G447" t="inlineStr">
        <is>
          <t>HUDIKSVALL</t>
        </is>
      </c>
      <c r="I447" t="n">
        <v>4.7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46828-2024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45583</v>
      </c>
      <c r="E448" s="1" t="n">
        <v>46307</v>
      </c>
      <c r="F448" t="inlineStr">
        <is>
          <t>GÄVLEBORGS LÄN</t>
        </is>
      </c>
      <c r="G448" t="inlineStr">
        <is>
          <t>HUDIKSVALL</t>
        </is>
      </c>
      <c r="H448" t="inlineStr">
        <is>
          <t>Holmen skog AB</t>
        </is>
      </c>
      <c r="I448" t="n">
        <v>19.1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14796-2023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45014</v>
      </c>
      <c r="E449" s="1" t="n">
        <v>46307</v>
      </c>
      <c r="F449" t="inlineStr">
        <is>
          <t>GÄVLEBORGS LÄN</t>
        </is>
      </c>
      <c r="G449" t="inlineStr">
        <is>
          <t>HUDIKSVALL</t>
        </is>
      </c>
      <c r="H449" t="inlineStr">
        <is>
          <t>Holmen skog AB</t>
        </is>
      </c>
      <c r="I449" t="n">
        <v>10.4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44986-2025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45918</v>
      </c>
      <c r="E450" s="1" t="n">
        <v>46307</v>
      </c>
      <c r="F450" t="inlineStr">
        <is>
          <t>GÄVLEBORGS LÄN</t>
        </is>
      </c>
      <c r="G450" t="inlineStr">
        <is>
          <t>HUDIKSVALL</t>
        </is>
      </c>
      <c r="I450" t="n">
        <v>0.9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44966-2025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45918</v>
      </c>
      <c r="E451" s="1" t="n">
        <v>46307</v>
      </c>
      <c r="F451" t="inlineStr">
        <is>
          <t>GÄVLEBORGS LÄN</t>
        </is>
      </c>
      <c r="G451" t="inlineStr">
        <is>
          <t>HUDIKSVALL</t>
        </is>
      </c>
      <c r="I451" t="n">
        <v>17.2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64344-2021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44511</v>
      </c>
      <c r="E452" s="1" t="n">
        <v>46307</v>
      </c>
      <c r="F452" t="inlineStr">
        <is>
          <t>GÄVLEBORGS LÄN</t>
        </is>
      </c>
      <c r="G452" t="inlineStr">
        <is>
          <t>HUDIKSVALL</t>
        </is>
      </c>
      <c r="I452" t="n">
        <v>5.2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45136-2025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45919</v>
      </c>
      <c r="E453" s="1" t="n">
        <v>46307</v>
      </c>
      <c r="F453" t="inlineStr">
        <is>
          <t>GÄVLEBORGS LÄN</t>
        </is>
      </c>
      <c r="G453" t="inlineStr">
        <is>
          <t>HUDIKSVALL</t>
        </is>
      </c>
      <c r="I453" t="n">
        <v>4.4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15775-2025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45748</v>
      </c>
      <c r="E454" s="1" t="n">
        <v>46307</v>
      </c>
      <c r="F454" t="inlineStr">
        <is>
          <t>GÄVLEBORGS LÄN</t>
        </is>
      </c>
      <c r="G454" t="inlineStr">
        <is>
          <t>HUDIKSVALL</t>
        </is>
      </c>
      <c r="H454" t="inlineStr">
        <is>
          <t>Kommuner</t>
        </is>
      </c>
      <c r="I454" t="n">
        <v>1.3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450-2025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45664</v>
      </c>
      <c r="E455" s="1" t="n">
        <v>46307</v>
      </c>
      <c r="F455" t="inlineStr">
        <is>
          <t>GÄVLEBORGS LÄN</t>
        </is>
      </c>
      <c r="G455" t="inlineStr">
        <is>
          <t>HUDIKSVALL</t>
        </is>
      </c>
      <c r="I455" t="n">
        <v>3.4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45284-2025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45919</v>
      </c>
      <c r="E456" s="1" t="n">
        <v>46307</v>
      </c>
      <c r="F456" t="inlineStr">
        <is>
          <t>GÄVLEBORGS LÄN</t>
        </is>
      </c>
      <c r="G456" t="inlineStr">
        <is>
          <t>HUDIKSVALL</t>
        </is>
      </c>
      <c r="I456" t="n">
        <v>2.4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22454-2025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45786</v>
      </c>
      <c r="E457" s="1" t="n">
        <v>46307</v>
      </c>
      <c r="F457" t="inlineStr">
        <is>
          <t>GÄVLEBORGS LÄN</t>
        </is>
      </c>
      <c r="G457" t="inlineStr">
        <is>
          <t>HUDIKSVALL</t>
        </is>
      </c>
      <c r="H457" t="inlineStr">
        <is>
          <t>Holmen skog AB</t>
        </is>
      </c>
      <c r="I457" t="n">
        <v>5.3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38687-2024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45547</v>
      </c>
      <c r="E458" s="1" t="n">
        <v>46307</v>
      </c>
      <c r="F458" t="inlineStr">
        <is>
          <t>GÄVLEBORGS LÄN</t>
        </is>
      </c>
      <c r="G458" t="inlineStr">
        <is>
          <t>HUDIKSVALL</t>
        </is>
      </c>
      <c r="I458" t="n">
        <v>8.9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38703-2024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45547</v>
      </c>
      <c r="E459" s="1" t="n">
        <v>46307</v>
      </c>
      <c r="F459" t="inlineStr">
        <is>
          <t>GÄVLEBORGS LÄN</t>
        </is>
      </c>
      <c r="G459" t="inlineStr">
        <is>
          <t>HUDIKSVALL</t>
        </is>
      </c>
      <c r="I459" t="n">
        <v>2.8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45075-2025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45919</v>
      </c>
      <c r="E460" s="1" t="n">
        <v>46307</v>
      </c>
      <c r="F460" t="inlineStr">
        <is>
          <t>GÄVLEBORGS LÄN</t>
        </is>
      </c>
      <c r="G460" t="inlineStr">
        <is>
          <t>HUDIKSVALL</t>
        </is>
      </c>
      <c r="I460" t="n">
        <v>3.4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38220-2024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45545</v>
      </c>
      <c r="E461" s="1" t="n">
        <v>46307</v>
      </c>
      <c r="F461" t="inlineStr">
        <is>
          <t>GÄVLEBORGS LÄN</t>
        </is>
      </c>
      <c r="G461" t="inlineStr">
        <is>
          <t>HUDIKSVALL</t>
        </is>
      </c>
      <c r="H461" t="inlineStr">
        <is>
          <t>Holmen skog AB</t>
        </is>
      </c>
      <c r="I461" t="n">
        <v>1.9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12880-2023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45001</v>
      </c>
      <c r="E462" s="1" t="n">
        <v>46307</v>
      </c>
      <c r="F462" t="inlineStr">
        <is>
          <t>GÄVLEBORGS LÄN</t>
        </is>
      </c>
      <c r="G462" t="inlineStr">
        <is>
          <t>HUDIKSVALL</t>
        </is>
      </c>
      <c r="I462" t="n">
        <v>11.4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59593-2021</t>
        </is>
      </c>
      <c r="B463" t="inlineStr">
        <is>
          <t>avverkningsanmälan</t>
        </is>
      </c>
      <c r="C463" t="inlineStr">
        <is>
          <t>Avverkning för annat ändamål</t>
        </is>
      </c>
      <c r="D463" s="1" t="n">
        <v>44491</v>
      </c>
      <c r="E463" s="1" t="n">
        <v>46307</v>
      </c>
      <c r="F463" t="inlineStr">
        <is>
          <t>GÄVLEBORGS LÄN</t>
        </is>
      </c>
      <c r="G463" t="inlineStr">
        <is>
          <t>HUDIKSVALL</t>
        </is>
      </c>
      <c r="I463" t="n">
        <v>2.8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22600-2025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45789</v>
      </c>
      <c r="E464" s="1" t="n">
        <v>46307</v>
      </c>
      <c r="F464" t="inlineStr">
        <is>
          <t>GÄVLEBORGS LÄN</t>
        </is>
      </c>
      <c r="G464" t="inlineStr">
        <is>
          <t>HUDIKSVALL</t>
        </is>
      </c>
      <c r="H464" t="inlineStr">
        <is>
          <t>Holmen skog AB</t>
        </is>
      </c>
      <c r="I464" t="n">
        <v>4.9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4301-2023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44953</v>
      </c>
      <c r="E465" s="1" t="n">
        <v>46307</v>
      </c>
      <c r="F465" t="inlineStr">
        <is>
          <t>GÄVLEBORGS LÄN</t>
        </is>
      </c>
      <c r="G465" t="inlineStr">
        <is>
          <t>HUDIKSVALL</t>
        </is>
      </c>
      <c r="I465" t="n">
        <v>1.5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8496-2024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45355</v>
      </c>
      <c r="E466" s="1" t="n">
        <v>46307</v>
      </c>
      <c r="F466" t="inlineStr">
        <is>
          <t>GÄVLEBORGS LÄN</t>
        </is>
      </c>
      <c r="G466" t="inlineStr">
        <is>
          <t>HUDIKSVALL</t>
        </is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45738-2025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45923</v>
      </c>
      <c r="E467" s="1" t="n">
        <v>46307</v>
      </c>
      <c r="F467" t="inlineStr">
        <is>
          <t>GÄVLEBORGS LÄN</t>
        </is>
      </c>
      <c r="G467" t="inlineStr">
        <is>
          <t>HUDIKSVALL</t>
        </is>
      </c>
      <c r="I467" t="n">
        <v>1.5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16327-2023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45028</v>
      </c>
      <c r="E468" s="1" t="n">
        <v>46307</v>
      </c>
      <c r="F468" t="inlineStr">
        <is>
          <t>GÄVLEBORGS LÄN</t>
        </is>
      </c>
      <c r="G468" t="inlineStr">
        <is>
          <t>HUDIKSVALL</t>
        </is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22832-2025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45789</v>
      </c>
      <c r="E469" s="1" t="n">
        <v>46307</v>
      </c>
      <c r="F469" t="inlineStr">
        <is>
          <t>GÄVLEBORGS LÄN</t>
        </is>
      </c>
      <c r="G469" t="inlineStr">
        <is>
          <t>HUDIKSVALL</t>
        </is>
      </c>
      <c r="H469" t="inlineStr">
        <is>
          <t>Holmen skog AB</t>
        </is>
      </c>
      <c r="I469" t="n">
        <v>82.3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34873-2024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45527</v>
      </c>
      <c r="E470" s="1" t="n">
        <v>46307</v>
      </c>
      <c r="F470" t="inlineStr">
        <is>
          <t>GÄVLEBORGS LÄN</t>
        </is>
      </c>
      <c r="G470" t="inlineStr">
        <is>
          <t>HUDIKSVALL</t>
        </is>
      </c>
      <c r="I470" t="n">
        <v>0.7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45962-2025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45924</v>
      </c>
      <c r="E471" s="1" t="n">
        <v>46307</v>
      </c>
      <c r="F471" t="inlineStr">
        <is>
          <t>GÄVLEBORGS LÄN</t>
        </is>
      </c>
      <c r="G471" t="inlineStr">
        <is>
          <t>HUDIKSVALL</t>
        </is>
      </c>
      <c r="I471" t="n">
        <v>5.1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25268-2024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45462</v>
      </c>
      <c r="E472" s="1" t="n">
        <v>46307</v>
      </c>
      <c r="F472" t="inlineStr">
        <is>
          <t>GÄVLEBORGS LÄN</t>
        </is>
      </c>
      <c r="G472" t="inlineStr">
        <is>
          <t>HUDIKSVALL</t>
        </is>
      </c>
      <c r="H472" t="inlineStr">
        <is>
          <t>Holmen skog AB</t>
        </is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22611-2025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45789</v>
      </c>
      <c r="E473" s="1" t="n">
        <v>46307</v>
      </c>
      <c r="F473" t="inlineStr">
        <is>
          <t>GÄVLEBORGS LÄN</t>
        </is>
      </c>
      <c r="G473" t="inlineStr">
        <is>
          <t>HUDIKSVALL</t>
        </is>
      </c>
      <c r="H473" t="inlineStr">
        <is>
          <t>Holmen skog AB</t>
        </is>
      </c>
      <c r="I473" t="n">
        <v>2.3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7369-2023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44966</v>
      </c>
      <c r="E474" s="1" t="n">
        <v>46307</v>
      </c>
      <c r="F474" t="inlineStr">
        <is>
          <t>GÄVLEBORGS LÄN</t>
        </is>
      </c>
      <c r="G474" t="inlineStr">
        <is>
          <t>HUDIKSVALL</t>
        </is>
      </c>
      <c r="I474" t="n">
        <v>1.2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32007-2024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45510</v>
      </c>
      <c r="E475" s="1" t="n">
        <v>46307</v>
      </c>
      <c r="F475" t="inlineStr">
        <is>
          <t>GÄVLEBORGS LÄN</t>
        </is>
      </c>
      <c r="G475" t="inlineStr">
        <is>
          <t>HUDIKSVALL</t>
        </is>
      </c>
      <c r="I475" t="n">
        <v>1.3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22579-2025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45789</v>
      </c>
      <c r="E476" s="1" t="n">
        <v>46307</v>
      </c>
      <c r="F476" t="inlineStr">
        <is>
          <t>GÄVLEBORGS LÄN</t>
        </is>
      </c>
      <c r="G476" t="inlineStr">
        <is>
          <t>HUDIKSVALL</t>
        </is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20383-2025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45775</v>
      </c>
      <c r="E477" s="1" t="n">
        <v>46307</v>
      </c>
      <c r="F477" t="inlineStr">
        <is>
          <t>GÄVLEBORGS LÄN</t>
        </is>
      </c>
      <c r="G477" t="inlineStr">
        <is>
          <t>HUDIKSVALL</t>
        </is>
      </c>
      <c r="I477" t="n">
        <v>3.2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46142-2025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45924</v>
      </c>
      <c r="E478" s="1" t="n">
        <v>46307</v>
      </c>
      <c r="F478" t="inlineStr">
        <is>
          <t>GÄVLEBORGS LÄN</t>
        </is>
      </c>
      <c r="G478" t="inlineStr">
        <is>
          <t>HUDIKSVALL</t>
        </is>
      </c>
      <c r="I478" t="n">
        <v>1.4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22608-2025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45789</v>
      </c>
      <c r="E479" s="1" t="n">
        <v>46307</v>
      </c>
      <c r="F479" t="inlineStr">
        <is>
          <t>GÄVLEBORGS LÄN</t>
        </is>
      </c>
      <c r="G479" t="inlineStr">
        <is>
          <t>HUDIKSVALL</t>
        </is>
      </c>
      <c r="H479" t="inlineStr">
        <is>
          <t>Holmen skog AB</t>
        </is>
      </c>
      <c r="I479" t="n">
        <v>6.2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50242-2024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45600</v>
      </c>
      <c r="E480" s="1" t="n">
        <v>46307</v>
      </c>
      <c r="F480" t="inlineStr">
        <is>
          <t>GÄVLEBORGS LÄN</t>
        </is>
      </c>
      <c r="G480" t="inlineStr">
        <is>
          <t>HUDIKSVALL</t>
        </is>
      </c>
      <c r="I480" t="n">
        <v>3.9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52438-2023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45225</v>
      </c>
      <c r="E481" s="1" t="n">
        <v>46307</v>
      </c>
      <c r="F481" t="inlineStr">
        <is>
          <t>GÄVLEBORGS LÄN</t>
        </is>
      </c>
      <c r="G481" t="inlineStr">
        <is>
          <t>HUDIKSVALL</t>
        </is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45851-2025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45923</v>
      </c>
      <c r="E482" s="1" t="n">
        <v>46307</v>
      </c>
      <c r="F482" t="inlineStr">
        <is>
          <t>GÄVLEBORGS LÄN</t>
        </is>
      </c>
      <c r="G482" t="inlineStr">
        <is>
          <t>HUDIKSVALL</t>
        </is>
      </c>
      <c r="I482" t="n">
        <v>0.9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46076-2025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45924</v>
      </c>
      <c r="E483" s="1" t="n">
        <v>46307</v>
      </c>
      <c r="F483" t="inlineStr">
        <is>
          <t>GÄVLEBORGS LÄN</t>
        </is>
      </c>
      <c r="G483" t="inlineStr">
        <is>
          <t>HUDIKSVALL</t>
        </is>
      </c>
      <c r="I483" t="n">
        <v>2.4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45723-2025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45923</v>
      </c>
      <c r="E484" s="1" t="n">
        <v>46307</v>
      </c>
      <c r="F484" t="inlineStr">
        <is>
          <t>GÄVLEBORGS LÄN</t>
        </is>
      </c>
      <c r="G484" t="inlineStr">
        <is>
          <t>HUDIKSVALL</t>
        </is>
      </c>
      <c r="I484" t="n">
        <v>1.8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46622-2025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45926</v>
      </c>
      <c r="E485" s="1" t="n">
        <v>46307</v>
      </c>
      <c r="F485" t="inlineStr">
        <is>
          <t>GÄVLEBORGS LÄN</t>
        </is>
      </c>
      <c r="G485" t="inlineStr">
        <is>
          <t>HUDIKSVALL</t>
        </is>
      </c>
      <c r="I485" t="n">
        <v>2.3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46260-2025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45925</v>
      </c>
      <c r="E486" s="1" t="n">
        <v>46307</v>
      </c>
      <c r="F486" t="inlineStr">
        <is>
          <t>GÄVLEBORGS LÄN</t>
        </is>
      </c>
      <c r="G486" t="inlineStr">
        <is>
          <t>HUDIKSVALL</t>
        </is>
      </c>
      <c r="I486" t="n">
        <v>1.3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46579-2025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45926</v>
      </c>
      <c r="E487" s="1" t="n">
        <v>46307</v>
      </c>
      <c r="F487" t="inlineStr">
        <is>
          <t>GÄVLEBORGS LÄN</t>
        </is>
      </c>
      <c r="G487" t="inlineStr">
        <is>
          <t>HUDIKSVALL</t>
        </is>
      </c>
      <c r="H487" t="inlineStr">
        <is>
          <t>Holmen skog AB</t>
        </is>
      </c>
      <c r="I487" t="n">
        <v>5.1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46639-2025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45926</v>
      </c>
      <c r="E488" s="1" t="n">
        <v>46307</v>
      </c>
      <c r="F488" t="inlineStr">
        <is>
          <t>GÄVLEBORGS LÄN</t>
        </is>
      </c>
      <c r="G488" t="inlineStr">
        <is>
          <t>HUDIKSVALL</t>
        </is>
      </c>
      <c r="I488" t="n">
        <v>4.1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46257-2025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45925</v>
      </c>
      <c r="E489" s="1" t="n">
        <v>46307</v>
      </c>
      <c r="F489" t="inlineStr">
        <is>
          <t>GÄVLEBORGS LÄN</t>
        </is>
      </c>
      <c r="G489" t="inlineStr">
        <is>
          <t>HUDIKSVALL</t>
        </is>
      </c>
      <c r="I489" t="n">
        <v>0.5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19768-2025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45771</v>
      </c>
      <c r="E490" s="1" t="n">
        <v>46307</v>
      </c>
      <c r="F490" t="inlineStr">
        <is>
          <t>GÄVLEBORGS LÄN</t>
        </is>
      </c>
      <c r="G490" t="inlineStr">
        <is>
          <t>HUDIKSVALL</t>
        </is>
      </c>
      <c r="I490" t="n">
        <v>2.4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46676-2025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45926</v>
      </c>
      <c r="E491" s="1" t="n">
        <v>46307</v>
      </c>
      <c r="F491" t="inlineStr">
        <is>
          <t>GÄVLEBORGS LÄN</t>
        </is>
      </c>
      <c r="G491" t="inlineStr">
        <is>
          <t>HUDIKSVALL</t>
        </is>
      </c>
      <c r="I491" t="n">
        <v>3.3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31691-2024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45507</v>
      </c>
      <c r="E492" s="1" t="n">
        <v>46307</v>
      </c>
      <c r="F492" t="inlineStr">
        <is>
          <t>GÄVLEBORGS LÄN</t>
        </is>
      </c>
      <c r="G492" t="inlineStr">
        <is>
          <t>HUDIKSVALL</t>
        </is>
      </c>
      <c r="H492" t="inlineStr">
        <is>
          <t>Holmen skog AB</t>
        </is>
      </c>
      <c r="I492" t="n">
        <v>2.6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46705-2025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45926</v>
      </c>
      <c r="E493" s="1" t="n">
        <v>46307</v>
      </c>
      <c r="F493" t="inlineStr">
        <is>
          <t>GÄVLEBORGS LÄN</t>
        </is>
      </c>
      <c r="G493" t="inlineStr">
        <is>
          <t>HUDIKSVALL</t>
        </is>
      </c>
      <c r="I493" t="n">
        <v>6.4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44182-2023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45188</v>
      </c>
      <c r="E494" s="1" t="n">
        <v>46307</v>
      </c>
      <c r="F494" t="inlineStr">
        <is>
          <t>GÄVLEBORGS LÄN</t>
        </is>
      </c>
      <c r="G494" t="inlineStr">
        <is>
          <t>HUDIKSVALL</t>
        </is>
      </c>
      <c r="H494" t="inlineStr">
        <is>
          <t>Holmen skog AB</t>
        </is>
      </c>
      <c r="I494" t="n">
        <v>14.6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13085-2023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45002</v>
      </c>
      <c r="E495" s="1" t="n">
        <v>46307</v>
      </c>
      <c r="F495" t="inlineStr">
        <is>
          <t>GÄVLEBORGS LÄN</t>
        </is>
      </c>
      <c r="G495" t="inlineStr">
        <is>
          <t>HUDIKSVALL</t>
        </is>
      </c>
      <c r="H495" t="inlineStr">
        <is>
          <t>Holmen skog AB</t>
        </is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27955-2024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45476</v>
      </c>
      <c r="E496" s="1" t="n">
        <v>46307</v>
      </c>
      <c r="F496" t="inlineStr">
        <is>
          <t>GÄVLEBORGS LÄN</t>
        </is>
      </c>
      <c r="G496" t="inlineStr">
        <is>
          <t>HUDIKSVALL</t>
        </is>
      </c>
      <c r="H496" t="inlineStr">
        <is>
          <t>Holmen skog AB</t>
        </is>
      </c>
      <c r="I496" t="n">
        <v>0.9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45318-2023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45191</v>
      </c>
      <c r="E497" s="1" t="n">
        <v>46307</v>
      </c>
      <c r="F497" t="inlineStr">
        <is>
          <t>GÄVLEBORGS LÄN</t>
        </is>
      </c>
      <c r="G497" t="inlineStr">
        <is>
          <t>HUDIKSVALL</t>
        </is>
      </c>
      <c r="I497" t="n">
        <v>1.8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21821-2025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45783</v>
      </c>
      <c r="E498" s="1" t="n">
        <v>46307</v>
      </c>
      <c r="F498" t="inlineStr">
        <is>
          <t>GÄVLEBORGS LÄN</t>
        </is>
      </c>
      <c r="G498" t="inlineStr">
        <is>
          <t>HUDIKSVALL</t>
        </is>
      </c>
      <c r="H498" t="inlineStr">
        <is>
          <t>Holmen skog AB</t>
        </is>
      </c>
      <c r="I498" t="n">
        <v>44.8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47260-2025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45930</v>
      </c>
      <c r="E499" s="1" t="n">
        <v>46307</v>
      </c>
      <c r="F499" t="inlineStr">
        <is>
          <t>GÄVLEBORGS LÄN</t>
        </is>
      </c>
      <c r="G499" t="inlineStr">
        <is>
          <t>HUDIKSVALL</t>
        </is>
      </c>
      <c r="H499" t="inlineStr">
        <is>
          <t>Holmen skog AB</t>
        </is>
      </c>
      <c r="I499" t="n">
        <v>18.3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54219-2023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45232</v>
      </c>
      <c r="E500" s="1" t="n">
        <v>46307</v>
      </c>
      <c r="F500" t="inlineStr">
        <is>
          <t>GÄVLEBORGS LÄN</t>
        </is>
      </c>
      <c r="G500" t="inlineStr">
        <is>
          <t>HUDIKSVALL</t>
        </is>
      </c>
      <c r="I500" t="n">
        <v>0.7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46886-2025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45929</v>
      </c>
      <c r="E501" s="1" t="n">
        <v>46307</v>
      </c>
      <c r="F501" t="inlineStr">
        <is>
          <t>GÄVLEBORGS LÄN</t>
        </is>
      </c>
      <c r="G501" t="inlineStr">
        <is>
          <t>HUDIKSVALL</t>
        </is>
      </c>
      <c r="I501" t="n">
        <v>3.4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50161-2024</t>
        </is>
      </c>
      <c r="B502" t="inlineStr">
        <is>
          <t>avverkningsanmälan</t>
        </is>
      </c>
      <c r="C502" t="inlineStr">
        <is>
          <t>Avverkning för annat ändamål</t>
        </is>
      </c>
      <c r="D502" s="1" t="n">
        <v>45600</v>
      </c>
      <c r="E502" s="1" t="n">
        <v>46307</v>
      </c>
      <c r="F502" t="inlineStr">
        <is>
          <t>GÄVLEBORGS LÄN</t>
        </is>
      </c>
      <c r="G502" t="inlineStr">
        <is>
          <t>HUDIKSVALL</t>
        </is>
      </c>
      <c r="I502" t="n">
        <v>2.3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20208-2025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45772</v>
      </c>
      <c r="E503" s="1" t="n">
        <v>46307</v>
      </c>
      <c r="F503" t="inlineStr">
        <is>
          <t>GÄVLEBORGS LÄN</t>
        </is>
      </c>
      <c r="G503" t="inlineStr">
        <is>
          <t>HUDIKSVALL</t>
        </is>
      </c>
      <c r="I503" t="n">
        <v>10.1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47181-2025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45930</v>
      </c>
      <c r="E504" s="1" t="n">
        <v>46307</v>
      </c>
      <c r="F504" t="inlineStr">
        <is>
          <t>GÄVLEBORGS LÄN</t>
        </is>
      </c>
      <c r="G504" t="inlineStr">
        <is>
          <t>HUDIKSVALL</t>
        </is>
      </c>
      <c r="I504" t="n">
        <v>3.8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69851-2021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44532</v>
      </c>
      <c r="E505" s="1" t="n">
        <v>46307</v>
      </c>
      <c r="F505" t="inlineStr">
        <is>
          <t>GÄVLEBORGS LÄN</t>
        </is>
      </c>
      <c r="G505" t="inlineStr">
        <is>
          <t>HUDIKSVALL</t>
        </is>
      </c>
      <c r="I505" t="n">
        <v>1.7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51424-2024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45604</v>
      </c>
      <c r="E506" s="1" t="n">
        <v>46307</v>
      </c>
      <c r="F506" t="inlineStr">
        <is>
          <t>GÄVLEBORGS LÄN</t>
        </is>
      </c>
      <c r="G506" t="inlineStr">
        <is>
          <t>HUDIKSVALL</t>
        </is>
      </c>
      <c r="I506" t="n">
        <v>8.800000000000001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47183-2025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45930</v>
      </c>
      <c r="E507" s="1" t="n">
        <v>46307</v>
      </c>
      <c r="F507" t="inlineStr">
        <is>
          <t>GÄVLEBORGS LÄN</t>
        </is>
      </c>
      <c r="G507" t="inlineStr">
        <is>
          <t>HUDIKSVALL</t>
        </is>
      </c>
      <c r="I507" t="n">
        <v>16.4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47185-2025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45930</v>
      </c>
      <c r="E508" s="1" t="n">
        <v>46307</v>
      </c>
      <c r="F508" t="inlineStr">
        <is>
          <t>GÄVLEBORGS LÄN</t>
        </is>
      </c>
      <c r="G508" t="inlineStr">
        <is>
          <t>HUDIKSVALL</t>
        </is>
      </c>
      <c r="I508" t="n">
        <v>2.3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42629-2024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45565</v>
      </c>
      <c r="E509" s="1" t="n">
        <v>46307</v>
      </c>
      <c r="F509" t="inlineStr">
        <is>
          <t>GÄVLEBORGS LÄN</t>
        </is>
      </c>
      <c r="G509" t="inlineStr">
        <is>
          <t>HUDIKSVALL</t>
        </is>
      </c>
      <c r="I509" t="n">
        <v>1.1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46902-2025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45929</v>
      </c>
      <c r="E510" s="1" t="n">
        <v>46307</v>
      </c>
      <c r="F510" t="inlineStr">
        <is>
          <t>GÄVLEBORGS LÄN</t>
        </is>
      </c>
      <c r="G510" t="inlineStr">
        <is>
          <t>HUDIKSVALL</t>
        </is>
      </c>
      <c r="I510" t="n">
        <v>1.3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61536-2022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44916</v>
      </c>
      <c r="E511" s="1" t="n">
        <v>46307</v>
      </c>
      <c r="F511" t="inlineStr">
        <is>
          <t>GÄVLEBORGS LÄN</t>
        </is>
      </c>
      <c r="G511" t="inlineStr">
        <is>
          <t>HUDIKSVALL</t>
        </is>
      </c>
      <c r="I511" t="n">
        <v>2.2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10427-2025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45720</v>
      </c>
      <c r="E512" s="1" t="n">
        <v>46307</v>
      </c>
      <c r="F512" t="inlineStr">
        <is>
          <t>GÄVLEBORGS LÄN</t>
        </is>
      </c>
      <c r="G512" t="inlineStr">
        <is>
          <t>HUDIKSVALL</t>
        </is>
      </c>
      <c r="I512" t="n">
        <v>2.8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67049-2021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44522</v>
      </c>
      <c r="E513" s="1" t="n">
        <v>46307</v>
      </c>
      <c r="F513" t="inlineStr">
        <is>
          <t>GÄVLEBORGS LÄN</t>
        </is>
      </c>
      <c r="G513" t="inlineStr">
        <is>
          <t>HUDIKSVALL</t>
        </is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46992-2025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45929</v>
      </c>
      <c r="E514" s="1" t="n">
        <v>46307</v>
      </c>
      <c r="F514" t="inlineStr">
        <is>
          <t>GÄVLEBORGS LÄN</t>
        </is>
      </c>
      <c r="G514" t="inlineStr">
        <is>
          <t>HUDIKSVALL</t>
        </is>
      </c>
      <c r="I514" t="n">
        <v>2.3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74009-2021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44557</v>
      </c>
      <c r="E515" s="1" t="n">
        <v>46307</v>
      </c>
      <c r="F515" t="inlineStr">
        <is>
          <t>GÄVLEBORGS LÄN</t>
        </is>
      </c>
      <c r="G515" t="inlineStr">
        <is>
          <t>HUDIKSVALL</t>
        </is>
      </c>
      <c r="I515" t="n">
        <v>0.7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1105-2025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45666</v>
      </c>
      <c r="E516" s="1" t="n">
        <v>46307</v>
      </c>
      <c r="F516" t="inlineStr">
        <is>
          <t>GÄVLEBORGS LÄN</t>
        </is>
      </c>
      <c r="G516" t="inlineStr">
        <is>
          <t>HUDIKSVALL</t>
        </is>
      </c>
      <c r="I516" t="n">
        <v>1.5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64579-2023</t>
        </is>
      </c>
      <c r="B517" t="inlineStr">
        <is>
          <t>avverkningsanmälan</t>
        </is>
      </c>
      <c r="C517" t="inlineStr">
        <is>
          <t>Avverkning för annat ändamål</t>
        </is>
      </c>
      <c r="D517" s="1" t="n">
        <v>45281</v>
      </c>
      <c r="E517" s="1" t="n">
        <v>46307</v>
      </c>
      <c r="F517" t="inlineStr">
        <is>
          <t>GÄVLEBORGS LÄN</t>
        </is>
      </c>
      <c r="G517" t="inlineStr">
        <is>
          <t>HUDIKSVALL</t>
        </is>
      </c>
      <c r="I517" t="n">
        <v>1.4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47284-2024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45587</v>
      </c>
      <c r="E518" s="1" t="n">
        <v>46307</v>
      </c>
      <c r="F518" t="inlineStr">
        <is>
          <t>GÄVLEBORGS LÄN</t>
        </is>
      </c>
      <c r="G518" t="inlineStr">
        <is>
          <t>HUDIKSVALL</t>
        </is>
      </c>
      <c r="I518" t="n">
        <v>0.7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41521-2024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45560</v>
      </c>
      <c r="E519" s="1" t="n">
        <v>46307</v>
      </c>
      <c r="F519" t="inlineStr">
        <is>
          <t>GÄVLEBORGS LÄN</t>
        </is>
      </c>
      <c r="G519" t="inlineStr">
        <is>
          <t>HUDIKSVALL</t>
        </is>
      </c>
      <c r="H519" t="inlineStr">
        <is>
          <t>Holmen skog AB</t>
        </is>
      </c>
      <c r="I519" t="n">
        <v>0.4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47145-2023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45201</v>
      </c>
      <c r="E520" s="1" t="n">
        <v>46307</v>
      </c>
      <c r="F520" t="inlineStr">
        <is>
          <t>GÄVLEBORGS LÄN</t>
        </is>
      </c>
      <c r="G520" t="inlineStr">
        <is>
          <t>HUDIKSVALL</t>
        </is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22945-2023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45072</v>
      </c>
      <c r="E521" s="1" t="n">
        <v>46307</v>
      </c>
      <c r="F521" t="inlineStr">
        <is>
          <t>GÄVLEBORGS LÄN</t>
        </is>
      </c>
      <c r="G521" t="inlineStr">
        <is>
          <t>HUDIKSVALL</t>
        </is>
      </c>
      <c r="I521" t="n">
        <v>1.4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13267-2025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45735</v>
      </c>
      <c r="E522" s="1" t="n">
        <v>46307</v>
      </c>
      <c r="F522" t="inlineStr">
        <is>
          <t>GÄVLEBORGS LÄN</t>
        </is>
      </c>
      <c r="G522" t="inlineStr">
        <is>
          <t>HUDIKSVALL</t>
        </is>
      </c>
      <c r="I522" t="n">
        <v>1.3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4164-2024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45323</v>
      </c>
      <c r="E523" s="1" t="n">
        <v>46307</v>
      </c>
      <c r="F523" t="inlineStr">
        <is>
          <t>GÄVLEBORGS LÄN</t>
        </is>
      </c>
      <c r="G523" t="inlineStr">
        <is>
          <t>HUDIKSVALL</t>
        </is>
      </c>
      <c r="I523" t="n">
        <v>2.7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46667-2024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45583</v>
      </c>
      <c r="E524" s="1" t="n">
        <v>46307</v>
      </c>
      <c r="F524" t="inlineStr">
        <is>
          <t>GÄVLEBORGS LÄN</t>
        </is>
      </c>
      <c r="G524" t="inlineStr">
        <is>
          <t>HUDIKSVALL</t>
        </is>
      </c>
      <c r="I524" t="n">
        <v>1.2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46922-2025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45929</v>
      </c>
      <c r="E525" s="1" t="n">
        <v>46307</v>
      </c>
      <c r="F525" t="inlineStr">
        <is>
          <t>GÄVLEBORGS LÄN</t>
        </is>
      </c>
      <c r="G525" t="inlineStr">
        <is>
          <t>HUDIKSVALL</t>
        </is>
      </c>
      <c r="H525" t="inlineStr">
        <is>
          <t>Holmen skog AB</t>
        </is>
      </c>
      <c r="I525" t="n">
        <v>1.5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31707-2024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45508</v>
      </c>
      <c r="E526" s="1" t="n">
        <v>46307</v>
      </c>
      <c r="F526" t="inlineStr">
        <is>
          <t>GÄVLEBORGS LÄN</t>
        </is>
      </c>
      <c r="G526" t="inlineStr">
        <is>
          <t>HUDIKSVALL</t>
        </is>
      </c>
      <c r="I526" t="n">
        <v>2.3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40321-2024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45554</v>
      </c>
      <c r="E527" s="1" t="n">
        <v>46307</v>
      </c>
      <c r="F527" t="inlineStr">
        <is>
          <t>GÄVLEBORGS LÄN</t>
        </is>
      </c>
      <c r="G527" t="inlineStr">
        <is>
          <t>HUDIKSVALL</t>
        </is>
      </c>
      <c r="I527" t="n">
        <v>1.1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23701-2025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45793</v>
      </c>
      <c r="E528" s="1" t="n">
        <v>46307</v>
      </c>
      <c r="F528" t="inlineStr">
        <is>
          <t>GÄVLEBORGS LÄN</t>
        </is>
      </c>
      <c r="G528" t="inlineStr">
        <is>
          <t>HUDIKSVALL</t>
        </is>
      </c>
      <c r="I528" t="n">
        <v>4.7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58005-2024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45631</v>
      </c>
      <c r="E529" s="1" t="n">
        <v>46307</v>
      </c>
      <c r="F529" t="inlineStr">
        <is>
          <t>GÄVLEBORGS LÄN</t>
        </is>
      </c>
      <c r="G529" t="inlineStr">
        <is>
          <t>HUDIKSVALL</t>
        </is>
      </c>
      <c r="I529" t="n">
        <v>1.1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16745-2025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45754</v>
      </c>
      <c r="E530" s="1" t="n">
        <v>46307</v>
      </c>
      <c r="F530" t="inlineStr">
        <is>
          <t>GÄVLEBORGS LÄN</t>
        </is>
      </c>
      <c r="G530" t="inlineStr">
        <is>
          <t>HUDIKSVALL</t>
        </is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37689-2024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45541</v>
      </c>
      <c r="E531" s="1" t="n">
        <v>46307</v>
      </c>
      <c r="F531" t="inlineStr">
        <is>
          <t>GÄVLEBORGS LÄN</t>
        </is>
      </c>
      <c r="G531" t="inlineStr">
        <is>
          <t>HUDIKSVALL</t>
        </is>
      </c>
      <c r="H531" t="inlineStr">
        <is>
          <t>Kommuner</t>
        </is>
      </c>
      <c r="I531" t="n">
        <v>2.4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58339-2024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45632</v>
      </c>
      <c r="E532" s="1" t="n">
        <v>46307</v>
      </c>
      <c r="F532" t="inlineStr">
        <is>
          <t>GÄVLEBORGS LÄN</t>
        </is>
      </c>
      <c r="G532" t="inlineStr">
        <is>
          <t>HUDIKSVALL</t>
        </is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47745-2025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45931</v>
      </c>
      <c r="E533" s="1" t="n">
        <v>46307</v>
      </c>
      <c r="F533" t="inlineStr">
        <is>
          <t>GÄVLEBORGS LÄN</t>
        </is>
      </c>
      <c r="G533" t="inlineStr">
        <is>
          <t>HUDIKSVALL</t>
        </is>
      </c>
      <c r="I533" t="n">
        <v>20.1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19942-2025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45771</v>
      </c>
      <c r="E534" s="1" t="n">
        <v>46307</v>
      </c>
      <c r="F534" t="inlineStr">
        <is>
          <t>GÄVLEBORGS LÄN</t>
        </is>
      </c>
      <c r="G534" t="inlineStr">
        <is>
          <t>HUDIKSVALL</t>
        </is>
      </c>
      <c r="I534" t="n">
        <v>1.1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53624-2024</t>
        </is>
      </c>
      <c r="B535" t="inlineStr">
        <is>
          <t>avverkningsanmälan</t>
        </is>
      </c>
      <c r="C535" t="inlineStr">
        <is>
          <t>Avverkning för annat ändamål</t>
        </is>
      </c>
      <c r="D535" s="1" t="n">
        <v>45614</v>
      </c>
      <c r="E535" s="1" t="n">
        <v>46307</v>
      </c>
      <c r="F535" t="inlineStr">
        <is>
          <t>GÄVLEBORGS LÄN</t>
        </is>
      </c>
      <c r="G535" t="inlineStr">
        <is>
          <t>HUDIKSVALL</t>
        </is>
      </c>
      <c r="I535" t="n">
        <v>1.8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60904-2024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45645</v>
      </c>
      <c r="E536" s="1" t="n">
        <v>46307</v>
      </c>
      <c r="F536" t="inlineStr">
        <is>
          <t>GÄVLEBORGS LÄN</t>
        </is>
      </c>
      <c r="G536" t="inlineStr">
        <is>
          <t>HUDIKSVALL</t>
        </is>
      </c>
      <c r="I536" t="n">
        <v>1.5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8096-2024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45351</v>
      </c>
      <c r="E537" s="1" t="n">
        <v>46307</v>
      </c>
      <c r="F537" t="inlineStr">
        <is>
          <t>GÄVLEBORGS LÄN</t>
        </is>
      </c>
      <c r="G537" t="inlineStr">
        <is>
          <t>HUDIKSVALL</t>
        </is>
      </c>
      <c r="H537" t="inlineStr">
        <is>
          <t>Holmen skog AB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5345-2025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45688</v>
      </c>
      <c r="E538" s="1" t="n">
        <v>46307</v>
      </c>
      <c r="F538" t="inlineStr">
        <is>
          <t>GÄVLEBORGS LÄN</t>
        </is>
      </c>
      <c r="G538" t="inlineStr">
        <is>
          <t>HUDIKSVALL</t>
        </is>
      </c>
      <c r="I538" t="n">
        <v>3.6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46590-2024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45582</v>
      </c>
      <c r="E539" s="1" t="n">
        <v>46307</v>
      </c>
      <c r="F539" t="inlineStr">
        <is>
          <t>GÄVLEBORGS LÄN</t>
        </is>
      </c>
      <c r="G539" t="inlineStr">
        <is>
          <t>HUDIKSVALL</t>
        </is>
      </c>
      <c r="H539" t="inlineStr">
        <is>
          <t>Holmen skog AB</t>
        </is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46593-2024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45582</v>
      </c>
      <c r="E540" s="1" t="n">
        <v>46307</v>
      </c>
      <c r="F540" t="inlineStr">
        <is>
          <t>GÄVLEBORGS LÄN</t>
        </is>
      </c>
      <c r="G540" t="inlineStr">
        <is>
          <t>HUDIKSVALL</t>
        </is>
      </c>
      <c r="H540" t="inlineStr">
        <is>
          <t>Holmen skog AB</t>
        </is>
      </c>
      <c r="I540" t="n">
        <v>5.3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46598-2024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45582</v>
      </c>
      <c r="E541" s="1" t="n">
        <v>46307</v>
      </c>
      <c r="F541" t="inlineStr">
        <is>
          <t>GÄVLEBORGS LÄN</t>
        </is>
      </c>
      <c r="G541" t="inlineStr">
        <is>
          <t>HUDIKSVALL</t>
        </is>
      </c>
      <c r="H541" t="inlineStr">
        <is>
          <t>Holmen skog AB</t>
        </is>
      </c>
      <c r="I541" t="n">
        <v>1.2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35000-2024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45527</v>
      </c>
      <c r="E542" s="1" t="n">
        <v>46307</v>
      </c>
      <c r="F542" t="inlineStr">
        <is>
          <t>GÄVLEBORGS LÄN</t>
        </is>
      </c>
      <c r="G542" t="inlineStr">
        <is>
          <t>HUDIKSVALL</t>
        </is>
      </c>
      <c r="H542" t="inlineStr">
        <is>
          <t>Holmen skog AB</t>
        </is>
      </c>
      <c r="I542" t="n">
        <v>2.7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21927-2024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45443</v>
      </c>
      <c r="E543" s="1" t="n">
        <v>46307</v>
      </c>
      <c r="F543" t="inlineStr">
        <is>
          <t>GÄVLEBORGS LÄN</t>
        </is>
      </c>
      <c r="G543" t="inlineStr">
        <is>
          <t>HUDIKSVALL</t>
        </is>
      </c>
      <c r="H543" t="inlineStr">
        <is>
          <t>Holmen skog AB</t>
        </is>
      </c>
      <c r="I543" t="n">
        <v>1.2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21940-2024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45443</v>
      </c>
      <c r="E544" s="1" t="n">
        <v>46307</v>
      </c>
      <c r="F544" t="inlineStr">
        <is>
          <t>GÄVLEBORGS LÄN</t>
        </is>
      </c>
      <c r="G544" t="inlineStr">
        <is>
          <t>HUDIKSVALL</t>
        </is>
      </c>
      <c r="H544" t="inlineStr">
        <is>
          <t>Holmen skog AB</t>
        </is>
      </c>
      <c r="I544" t="n">
        <v>1.6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28810-2023</t>
        </is>
      </c>
      <c r="B545" t="inlineStr">
        <is>
          <t>avverkningsanmälan</t>
        </is>
      </c>
      <c r="C545" t="inlineStr">
        <is>
          <t>Avverkning för att bevara och utveckla /försöksver</t>
        </is>
      </c>
      <c r="D545" s="1" t="n">
        <v>45104</v>
      </c>
      <c r="E545" s="1" t="n">
        <v>46307</v>
      </c>
      <c r="F545" t="inlineStr">
        <is>
          <t>GÄVLEBORGS LÄN</t>
        </is>
      </c>
      <c r="G545" t="inlineStr">
        <is>
          <t>HUDIKSVALL</t>
        </is>
      </c>
      <c r="I545" t="n">
        <v>1.3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9140-2023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44980</v>
      </c>
      <c r="E546" s="1" t="n">
        <v>46307</v>
      </c>
      <c r="F546" t="inlineStr">
        <is>
          <t>GÄVLEBORGS LÄN</t>
        </is>
      </c>
      <c r="G546" t="inlineStr">
        <is>
          <t>HUDIKSVALL</t>
        </is>
      </c>
      <c r="H546" t="inlineStr">
        <is>
          <t>Holmen skog AB</t>
        </is>
      </c>
      <c r="I546" t="n">
        <v>0.7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9163-2023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44980</v>
      </c>
      <c r="E547" s="1" t="n">
        <v>46307</v>
      </c>
      <c r="F547" t="inlineStr">
        <is>
          <t>GÄVLEBORGS LÄN</t>
        </is>
      </c>
      <c r="G547" t="inlineStr">
        <is>
          <t>HUDIKSVALL</t>
        </is>
      </c>
      <c r="H547" t="inlineStr">
        <is>
          <t>Holmen skog AB</t>
        </is>
      </c>
      <c r="I547" t="n">
        <v>0.8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47700-2024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45588</v>
      </c>
      <c r="E548" s="1" t="n">
        <v>46307</v>
      </c>
      <c r="F548" t="inlineStr">
        <is>
          <t>GÄVLEBORGS LÄN</t>
        </is>
      </c>
      <c r="G548" t="inlineStr">
        <is>
          <t>HUDIKSVALL</t>
        </is>
      </c>
      <c r="I548" t="n">
        <v>1.4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6730-2024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45342</v>
      </c>
      <c r="E549" s="1" t="n">
        <v>46307</v>
      </c>
      <c r="F549" t="inlineStr">
        <is>
          <t>GÄVLEBORGS LÄN</t>
        </is>
      </c>
      <c r="G549" t="inlineStr">
        <is>
          <t>HUDIKSVALL</t>
        </is>
      </c>
      <c r="I549" t="n">
        <v>6.4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37693-2024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45541</v>
      </c>
      <c r="E550" s="1" t="n">
        <v>46307</v>
      </c>
      <c r="F550" t="inlineStr">
        <is>
          <t>GÄVLEBORGS LÄN</t>
        </is>
      </c>
      <c r="G550" t="inlineStr">
        <is>
          <t>HUDIKSVALL</t>
        </is>
      </c>
      <c r="H550" t="inlineStr">
        <is>
          <t>Kommuner</t>
        </is>
      </c>
      <c r="I550" t="n">
        <v>2.6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37697-2024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45541</v>
      </c>
      <c r="E551" s="1" t="n">
        <v>46307</v>
      </c>
      <c r="F551" t="inlineStr">
        <is>
          <t>GÄVLEBORGS LÄN</t>
        </is>
      </c>
      <c r="G551" t="inlineStr">
        <is>
          <t>HUDIKSVALL</t>
        </is>
      </c>
      <c r="H551" t="inlineStr">
        <is>
          <t>Kommuner</t>
        </is>
      </c>
      <c r="I551" t="n">
        <v>2.6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23924-2023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45078</v>
      </c>
      <c r="E552" s="1" t="n">
        <v>46307</v>
      </c>
      <c r="F552" t="inlineStr">
        <is>
          <t>GÄVLEBORGS LÄN</t>
        </is>
      </c>
      <c r="G552" t="inlineStr">
        <is>
          <t>HUDIKSVALL</t>
        </is>
      </c>
      <c r="H552" t="inlineStr">
        <is>
          <t>Holmen skog AB</t>
        </is>
      </c>
      <c r="I552" t="n">
        <v>4.6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24584-2025</t>
        </is>
      </c>
      <c r="B553" t="inlineStr">
        <is>
          <t>avverkningsanmälan</t>
        </is>
      </c>
      <c r="C553" t="inlineStr">
        <is>
          <t>Avverkning för annat ändamål</t>
        </is>
      </c>
      <c r="D553" s="1" t="n">
        <v>45798</v>
      </c>
      <c r="E553" s="1" t="n">
        <v>46307</v>
      </c>
      <c r="F553" t="inlineStr">
        <is>
          <t>GÄVLEBORGS LÄN</t>
        </is>
      </c>
      <c r="G553" t="inlineStr">
        <is>
          <t>HUDIKSVALL</t>
        </is>
      </c>
      <c r="I553" t="n">
        <v>0.9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24320-2025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45797</v>
      </c>
      <c r="E554" s="1" t="n">
        <v>46307</v>
      </c>
      <c r="F554" t="inlineStr">
        <is>
          <t>GÄVLEBORGS LÄN</t>
        </is>
      </c>
      <c r="G554" t="inlineStr">
        <is>
          <t>HUDIKSVALL</t>
        </is>
      </c>
      <c r="I554" t="n">
        <v>1.7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24241-2025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45797</v>
      </c>
      <c r="E555" s="1" t="n">
        <v>46307</v>
      </c>
      <c r="F555" t="inlineStr">
        <is>
          <t>GÄVLEBORGS LÄN</t>
        </is>
      </c>
      <c r="G555" t="inlineStr">
        <is>
          <t>HUDIKSVALL</t>
        </is>
      </c>
      <c r="I555" t="n">
        <v>1.9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56820-2023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45244</v>
      </c>
      <c r="E556" s="1" t="n">
        <v>46307</v>
      </c>
      <c r="F556" t="inlineStr">
        <is>
          <t>GÄVLEBORGS LÄN</t>
        </is>
      </c>
      <c r="G556" t="inlineStr">
        <is>
          <t>HUDIKSVALL</t>
        </is>
      </c>
      <c r="I556" t="n">
        <v>1.1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59571-2022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44907</v>
      </c>
      <c r="E557" s="1" t="n">
        <v>46307</v>
      </c>
      <c r="F557" t="inlineStr">
        <is>
          <t>GÄVLEBORGS LÄN</t>
        </is>
      </c>
      <c r="G557" t="inlineStr">
        <is>
          <t>HUDIKSVALL</t>
        </is>
      </c>
      <c r="I557" t="n">
        <v>0.8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22588-2023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45071</v>
      </c>
      <c r="E558" s="1" t="n">
        <v>46307</v>
      </c>
      <c r="F558" t="inlineStr">
        <is>
          <t>GÄVLEBORGS LÄN</t>
        </is>
      </c>
      <c r="G558" t="inlineStr">
        <is>
          <t>HUDIKSVALL</t>
        </is>
      </c>
      <c r="I558" t="n">
        <v>8.4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8137-2023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44974</v>
      </c>
      <c r="E559" s="1" t="n">
        <v>46307</v>
      </c>
      <c r="F559" t="inlineStr">
        <is>
          <t>GÄVLEBORGS LÄN</t>
        </is>
      </c>
      <c r="G559" t="inlineStr">
        <is>
          <t>HUDIKSVALL</t>
        </is>
      </c>
      <c r="I559" t="n">
        <v>0.4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18926-2025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45764</v>
      </c>
      <c r="E560" s="1" t="n">
        <v>46307</v>
      </c>
      <c r="F560" t="inlineStr">
        <is>
          <t>GÄVLEBORGS LÄN</t>
        </is>
      </c>
      <c r="G560" t="inlineStr">
        <is>
          <t>HUDIKSVALL</t>
        </is>
      </c>
      <c r="I560" t="n">
        <v>0.7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56738-2023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45244</v>
      </c>
      <c r="E561" s="1" t="n">
        <v>46307</v>
      </c>
      <c r="F561" t="inlineStr">
        <is>
          <t>GÄVLEBORGS LÄN</t>
        </is>
      </c>
      <c r="G561" t="inlineStr">
        <is>
          <t>HUDIKSVALL</t>
        </is>
      </c>
      <c r="H561" t="inlineStr">
        <is>
          <t>Holmen skog AB</t>
        </is>
      </c>
      <c r="I561" t="n">
        <v>2.1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56755-2023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45244</v>
      </c>
      <c r="E562" s="1" t="n">
        <v>46307</v>
      </c>
      <c r="F562" t="inlineStr">
        <is>
          <t>GÄVLEBORGS LÄN</t>
        </is>
      </c>
      <c r="G562" t="inlineStr">
        <is>
          <t>HUDIKSVALL</t>
        </is>
      </c>
      <c r="H562" t="inlineStr">
        <is>
          <t>Holmen skog AB</t>
        </is>
      </c>
      <c r="I562" t="n">
        <v>2.8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46827-2024</t>
        </is>
      </c>
      <c r="B563" t="inlineStr">
        <is>
          <t>avverkningsanmälan</t>
        </is>
      </c>
      <c r="C563" t="inlineStr">
        <is>
          <t>Avverkning för att bevara och utveckla /försöksver</t>
        </is>
      </c>
      <c r="D563" s="1" t="n">
        <v>45583</v>
      </c>
      <c r="E563" s="1" t="n">
        <v>46307</v>
      </c>
      <c r="F563" t="inlineStr">
        <is>
          <t>GÄVLEBORGS LÄN</t>
        </is>
      </c>
      <c r="G563" t="inlineStr">
        <is>
          <t>HUDIKSVALL</t>
        </is>
      </c>
      <c r="H563" t="inlineStr">
        <is>
          <t>Sveaskog</t>
        </is>
      </c>
      <c r="I563" t="n">
        <v>5.9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48154-2025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45933</v>
      </c>
      <c r="E564" s="1" t="n">
        <v>46307</v>
      </c>
      <c r="F564" t="inlineStr">
        <is>
          <t>GÄVLEBORGS LÄN</t>
        </is>
      </c>
      <c r="G564" t="inlineStr">
        <is>
          <t>HUDIKSVALL</t>
        </is>
      </c>
      <c r="H564" t="inlineStr">
        <is>
          <t>Holmen skog AB</t>
        </is>
      </c>
      <c r="I564" t="n">
        <v>5.3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25148-2025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45800</v>
      </c>
      <c r="E565" s="1" t="n">
        <v>46307</v>
      </c>
      <c r="F565" t="inlineStr">
        <is>
          <t>GÄVLEBORGS LÄN</t>
        </is>
      </c>
      <c r="G565" t="inlineStr">
        <is>
          <t>HUDIKSVALL</t>
        </is>
      </c>
      <c r="H565" t="inlineStr">
        <is>
          <t>Holmen skog AB</t>
        </is>
      </c>
      <c r="I565" t="n">
        <v>20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8269-2022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44610</v>
      </c>
      <c r="E566" s="1" t="n">
        <v>46307</v>
      </c>
      <c r="F566" t="inlineStr">
        <is>
          <t>GÄVLEBORGS LÄN</t>
        </is>
      </c>
      <c r="G566" t="inlineStr">
        <is>
          <t>HUDIKSVALL</t>
        </is>
      </c>
      <c r="I566" t="n">
        <v>1.2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48380-2025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45933</v>
      </c>
      <c r="E567" s="1" t="n">
        <v>46307</v>
      </c>
      <c r="F567" t="inlineStr">
        <is>
          <t>GÄVLEBORGS LÄN</t>
        </is>
      </c>
      <c r="G567" t="inlineStr">
        <is>
          <t>HUDIKSVALL</t>
        </is>
      </c>
      <c r="I567" t="n">
        <v>3.7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11629-2024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45373</v>
      </c>
      <c r="E568" s="1" t="n">
        <v>46307</v>
      </c>
      <c r="F568" t="inlineStr">
        <is>
          <t>GÄVLEBORGS LÄN</t>
        </is>
      </c>
      <c r="G568" t="inlineStr">
        <is>
          <t>HUDIKSVALL</t>
        </is>
      </c>
      <c r="H568" t="inlineStr">
        <is>
          <t>Holmen skog AB</t>
        </is>
      </c>
      <c r="I568" t="n">
        <v>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24999-2025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45799</v>
      </c>
      <c r="E569" s="1" t="n">
        <v>46307</v>
      </c>
      <c r="F569" t="inlineStr">
        <is>
          <t>GÄVLEBORGS LÄN</t>
        </is>
      </c>
      <c r="G569" t="inlineStr">
        <is>
          <t>HUDIKSVALL</t>
        </is>
      </c>
      <c r="H569" t="inlineStr">
        <is>
          <t>Holmen skog AB</t>
        </is>
      </c>
      <c r="I569" t="n">
        <v>6.9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47314-2024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45587</v>
      </c>
      <c r="E570" s="1" t="n">
        <v>46307</v>
      </c>
      <c r="F570" t="inlineStr">
        <is>
          <t>GÄVLEBORGS LÄN</t>
        </is>
      </c>
      <c r="G570" t="inlineStr">
        <is>
          <t>HUDIKSVALL</t>
        </is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1468-2025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45670</v>
      </c>
      <c r="E571" s="1" t="n">
        <v>46307</v>
      </c>
      <c r="F571" t="inlineStr">
        <is>
          <t>GÄVLEBORGS LÄN</t>
        </is>
      </c>
      <c r="G571" t="inlineStr">
        <is>
          <t>HUDIKSVALL</t>
        </is>
      </c>
      <c r="I571" t="n">
        <v>11.8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19014-2024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45427</v>
      </c>
      <c r="E572" s="1" t="n">
        <v>46307</v>
      </c>
      <c r="F572" t="inlineStr">
        <is>
          <t>GÄVLEBORGS LÄN</t>
        </is>
      </c>
      <c r="G572" t="inlineStr">
        <is>
          <t>HUDIKSVALL</t>
        </is>
      </c>
      <c r="H572" t="inlineStr">
        <is>
          <t>Holmen skog AB</t>
        </is>
      </c>
      <c r="I572" t="n">
        <v>17.7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46207-2024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45581</v>
      </c>
      <c r="E573" s="1" t="n">
        <v>46307</v>
      </c>
      <c r="F573" t="inlineStr">
        <is>
          <t>GÄVLEBORGS LÄN</t>
        </is>
      </c>
      <c r="G573" t="inlineStr">
        <is>
          <t>HUDIKSVALL</t>
        </is>
      </c>
      <c r="H573" t="inlineStr">
        <is>
          <t>Holmen skog AB</t>
        </is>
      </c>
      <c r="I573" t="n">
        <v>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40965-2023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45173</v>
      </c>
      <c r="E574" s="1" t="n">
        <v>46307</v>
      </c>
      <c r="F574" t="inlineStr">
        <is>
          <t>GÄVLEBORGS LÄN</t>
        </is>
      </c>
      <c r="G574" t="inlineStr">
        <is>
          <t>HUDIKSVALL</t>
        </is>
      </c>
      <c r="H574" t="inlineStr">
        <is>
          <t>Holmen skog AB</t>
        </is>
      </c>
      <c r="I574" t="n">
        <v>1.3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25538-2025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45803</v>
      </c>
      <c r="E575" s="1" t="n">
        <v>46307</v>
      </c>
      <c r="F575" t="inlineStr">
        <is>
          <t>GÄVLEBORGS LÄN</t>
        </is>
      </c>
      <c r="G575" t="inlineStr">
        <is>
          <t>HUDIKSVALL</t>
        </is>
      </c>
      <c r="H575" t="inlineStr">
        <is>
          <t>Holmen skog AB</t>
        </is>
      </c>
      <c r="I575" t="n">
        <v>3.6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25551-2025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45803</v>
      </c>
      <c r="E576" s="1" t="n">
        <v>46307</v>
      </c>
      <c r="F576" t="inlineStr">
        <is>
          <t>GÄVLEBORGS LÄN</t>
        </is>
      </c>
      <c r="G576" t="inlineStr">
        <is>
          <t>HUDIKSVALL</t>
        </is>
      </c>
      <c r="H576" t="inlineStr">
        <is>
          <t>Holmen skog AB</t>
        </is>
      </c>
      <c r="I576" t="n">
        <v>5.2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25673-2025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45803</v>
      </c>
      <c r="E577" s="1" t="n">
        <v>46307</v>
      </c>
      <c r="F577" t="inlineStr">
        <is>
          <t>GÄVLEBORGS LÄN</t>
        </is>
      </c>
      <c r="G577" t="inlineStr">
        <is>
          <t>HUDIKSVALL</t>
        </is>
      </c>
      <c r="H577" t="inlineStr">
        <is>
          <t>Holmen skog AB</t>
        </is>
      </c>
      <c r="I577" t="n">
        <v>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61478-2023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45264</v>
      </c>
      <c r="E578" s="1" t="n">
        <v>46307</v>
      </c>
      <c r="F578" t="inlineStr">
        <is>
          <t>GÄVLEBORGS LÄN</t>
        </is>
      </c>
      <c r="G578" t="inlineStr">
        <is>
          <t>HUDIKSVALL</t>
        </is>
      </c>
      <c r="I578" t="n">
        <v>4.1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22641-2024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45447</v>
      </c>
      <c r="E579" s="1" t="n">
        <v>46307</v>
      </c>
      <c r="F579" t="inlineStr">
        <is>
          <t>GÄVLEBORGS LÄN</t>
        </is>
      </c>
      <c r="G579" t="inlineStr">
        <is>
          <t>HUDIKSVALL</t>
        </is>
      </c>
      <c r="I579" t="n">
        <v>0.6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5905-2025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45695</v>
      </c>
      <c r="E580" s="1" t="n">
        <v>46307</v>
      </c>
      <c r="F580" t="inlineStr">
        <is>
          <t>GÄVLEBORGS LÄN</t>
        </is>
      </c>
      <c r="G580" t="inlineStr">
        <is>
          <t>HUDIKSVALL</t>
        </is>
      </c>
      <c r="H580" t="inlineStr">
        <is>
          <t>Holmen skog AB</t>
        </is>
      </c>
      <c r="I580" t="n">
        <v>7.6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2720-2025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45677</v>
      </c>
      <c r="E581" s="1" t="n">
        <v>46307</v>
      </c>
      <c r="F581" t="inlineStr">
        <is>
          <t>GÄVLEBORGS LÄN</t>
        </is>
      </c>
      <c r="G581" t="inlineStr">
        <is>
          <t>HUDIKSVALL</t>
        </is>
      </c>
      <c r="H581" t="inlineStr">
        <is>
          <t>Holmen skog AB</t>
        </is>
      </c>
      <c r="I581" t="n">
        <v>1.7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35002-2023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45142</v>
      </c>
      <c r="E582" s="1" t="n">
        <v>46307</v>
      </c>
      <c r="F582" t="inlineStr">
        <is>
          <t>GÄVLEBORGS LÄN</t>
        </is>
      </c>
      <c r="G582" t="inlineStr">
        <is>
          <t>HUDIKSVALL</t>
        </is>
      </c>
      <c r="I582" t="n">
        <v>2.5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11475-2024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45372</v>
      </c>
      <c r="E583" s="1" t="n">
        <v>46307</v>
      </c>
      <c r="F583" t="inlineStr">
        <is>
          <t>GÄVLEBORGS LÄN</t>
        </is>
      </c>
      <c r="G583" t="inlineStr">
        <is>
          <t>HUDIKSVALL</t>
        </is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45096-2023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45191</v>
      </c>
      <c r="E584" s="1" t="n">
        <v>46307</v>
      </c>
      <c r="F584" t="inlineStr">
        <is>
          <t>GÄVLEBORGS LÄN</t>
        </is>
      </c>
      <c r="G584" t="inlineStr">
        <is>
          <t>HUDIKSVALL</t>
        </is>
      </c>
      <c r="I584" t="n">
        <v>2.5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25503-2025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45803</v>
      </c>
      <c r="E585" s="1" t="n">
        <v>46307</v>
      </c>
      <c r="F585" t="inlineStr">
        <is>
          <t>GÄVLEBORGS LÄN</t>
        </is>
      </c>
      <c r="G585" t="inlineStr">
        <is>
          <t>HUDIKSVALL</t>
        </is>
      </c>
      <c r="H585" t="inlineStr">
        <is>
          <t>Holmen skog AB</t>
        </is>
      </c>
      <c r="I585" t="n">
        <v>7.8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13759-2022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44649</v>
      </c>
      <c r="E586" s="1" t="n">
        <v>46307</v>
      </c>
      <c r="F586" t="inlineStr">
        <is>
          <t>GÄVLEBORGS LÄN</t>
        </is>
      </c>
      <c r="G586" t="inlineStr">
        <is>
          <t>HUDIKSVALL</t>
        </is>
      </c>
      <c r="H586" t="inlineStr">
        <is>
          <t>Holmen skog AB</t>
        </is>
      </c>
      <c r="I586" t="n">
        <v>1.3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14700-2024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45397</v>
      </c>
      <c r="E587" s="1" t="n">
        <v>46307</v>
      </c>
      <c r="F587" t="inlineStr">
        <is>
          <t>GÄVLEBORGS LÄN</t>
        </is>
      </c>
      <c r="G587" t="inlineStr">
        <is>
          <t>HUDIKSVALL</t>
        </is>
      </c>
      <c r="I587" t="n">
        <v>3.8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34284-2024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45524</v>
      </c>
      <c r="E588" s="1" t="n">
        <v>46307</v>
      </c>
      <c r="F588" t="inlineStr">
        <is>
          <t>GÄVLEBORGS LÄN</t>
        </is>
      </c>
      <c r="G588" t="inlineStr">
        <is>
          <t>HUDIKSVALL</t>
        </is>
      </c>
      <c r="H588" t="inlineStr">
        <is>
          <t>Holmen skog AB</t>
        </is>
      </c>
      <c r="I588" t="n">
        <v>4.6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14863-2024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45398</v>
      </c>
      <c r="E589" s="1" t="n">
        <v>46307</v>
      </c>
      <c r="F589" t="inlineStr">
        <is>
          <t>GÄVLEBORGS LÄN</t>
        </is>
      </c>
      <c r="G589" t="inlineStr">
        <is>
          <t>HUDIKSVALL</t>
        </is>
      </c>
      <c r="H589" t="inlineStr">
        <is>
          <t>Holmen skog AB</t>
        </is>
      </c>
      <c r="I589" t="n">
        <v>2.9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16858-2024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45411</v>
      </c>
      <c r="E590" s="1" t="n">
        <v>46307</v>
      </c>
      <c r="F590" t="inlineStr">
        <is>
          <t>GÄVLEBORGS LÄN</t>
        </is>
      </c>
      <c r="G590" t="inlineStr">
        <is>
          <t>HUDIKSVALL</t>
        </is>
      </c>
      <c r="I590" t="n">
        <v>5.7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16781-2024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45411</v>
      </c>
      <c r="E591" s="1" t="n">
        <v>46307</v>
      </c>
      <c r="F591" t="inlineStr">
        <is>
          <t>GÄVLEBORGS LÄN</t>
        </is>
      </c>
      <c r="G591" t="inlineStr">
        <is>
          <t>HUDIKSVALL</t>
        </is>
      </c>
      <c r="I591" t="n">
        <v>2.5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26827-2025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45810</v>
      </c>
      <c r="E592" s="1" t="n">
        <v>46307</v>
      </c>
      <c r="F592" t="inlineStr">
        <is>
          <t>GÄVLEBORGS LÄN</t>
        </is>
      </c>
      <c r="G592" t="inlineStr">
        <is>
          <t>HUDIKSVALL</t>
        </is>
      </c>
      <c r="I592" t="n">
        <v>2.4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24445-2023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45082</v>
      </c>
      <c r="E593" s="1" t="n">
        <v>46307</v>
      </c>
      <c r="F593" t="inlineStr">
        <is>
          <t>GÄVLEBORGS LÄN</t>
        </is>
      </c>
      <c r="G593" t="inlineStr">
        <is>
          <t>HUDIKSVALL</t>
        </is>
      </c>
      <c r="H593" t="inlineStr">
        <is>
          <t>Holmen skog AB</t>
        </is>
      </c>
      <c r="I593" t="n">
        <v>1.5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9918-2025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45717</v>
      </c>
      <c r="E594" s="1" t="n">
        <v>46307</v>
      </c>
      <c r="F594" t="inlineStr">
        <is>
          <t>GÄVLEBORGS LÄN</t>
        </is>
      </c>
      <c r="G594" t="inlineStr">
        <is>
          <t>HUDIKSVALL</t>
        </is>
      </c>
      <c r="I594" t="n">
        <v>2.4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44736-2024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45574</v>
      </c>
      <c r="E595" s="1" t="n">
        <v>46307</v>
      </c>
      <c r="F595" t="inlineStr">
        <is>
          <t>GÄVLEBORGS LÄN</t>
        </is>
      </c>
      <c r="G595" t="inlineStr">
        <is>
          <t>HUDIKSVALL</t>
        </is>
      </c>
      <c r="I595" t="n">
        <v>43.7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34128-2024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45524</v>
      </c>
      <c r="E596" s="1" t="n">
        <v>46307</v>
      </c>
      <c r="F596" t="inlineStr">
        <is>
          <t>GÄVLEBORGS LÄN</t>
        </is>
      </c>
      <c r="G596" t="inlineStr">
        <is>
          <t>HUDIKSVALL</t>
        </is>
      </c>
      <c r="H596" t="inlineStr">
        <is>
          <t>Holmen skog AB</t>
        </is>
      </c>
      <c r="I596" t="n">
        <v>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26402-2025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45807</v>
      </c>
      <c r="E597" s="1" t="n">
        <v>46307</v>
      </c>
      <c r="F597" t="inlineStr">
        <is>
          <t>GÄVLEBORGS LÄN</t>
        </is>
      </c>
      <c r="G597" t="inlineStr">
        <is>
          <t>HUDIKSVALL</t>
        </is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27051-2022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44741</v>
      </c>
      <c r="E598" s="1" t="n">
        <v>46307</v>
      </c>
      <c r="F598" t="inlineStr">
        <is>
          <t>GÄVLEBORGS LÄN</t>
        </is>
      </c>
      <c r="G598" t="inlineStr">
        <is>
          <t>HUDIKSVALL</t>
        </is>
      </c>
      <c r="I598" t="n">
        <v>2.2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59823-2024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45639</v>
      </c>
      <c r="E599" s="1" t="n">
        <v>46307</v>
      </c>
      <c r="F599" t="inlineStr">
        <is>
          <t>GÄVLEBORGS LÄN</t>
        </is>
      </c>
      <c r="G599" t="inlineStr">
        <is>
          <t>HUDIKSVALL</t>
        </is>
      </c>
      <c r="I599" t="n">
        <v>0.8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19605-2025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45770</v>
      </c>
      <c r="E600" s="1" t="n">
        <v>46307</v>
      </c>
      <c r="F600" t="inlineStr">
        <is>
          <t>GÄVLEBORGS LÄN</t>
        </is>
      </c>
      <c r="G600" t="inlineStr">
        <is>
          <t>HUDIKSVALL</t>
        </is>
      </c>
      <c r="H600" t="inlineStr">
        <is>
          <t>Holmen skog AB</t>
        </is>
      </c>
      <c r="I600" t="n">
        <v>9.5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12674-2023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45000</v>
      </c>
      <c r="E601" s="1" t="n">
        <v>46307</v>
      </c>
      <c r="F601" t="inlineStr">
        <is>
          <t>GÄVLEBORGS LÄN</t>
        </is>
      </c>
      <c r="G601" t="inlineStr">
        <is>
          <t>HUDIKSVALL</t>
        </is>
      </c>
      <c r="H601" t="inlineStr">
        <is>
          <t>Holmen skog AB</t>
        </is>
      </c>
      <c r="I601" t="n">
        <v>1.3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26403-2025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45807</v>
      </c>
      <c r="E602" s="1" t="n">
        <v>46307</v>
      </c>
      <c r="F602" t="inlineStr">
        <is>
          <t>GÄVLEBORGS LÄN</t>
        </is>
      </c>
      <c r="G602" t="inlineStr">
        <is>
          <t>HUDIKSVALL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24040-2025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45796</v>
      </c>
      <c r="E603" s="1" t="n">
        <v>46307</v>
      </c>
      <c r="F603" t="inlineStr">
        <is>
          <t>GÄVLEBORGS LÄN</t>
        </is>
      </c>
      <c r="G603" t="inlineStr">
        <is>
          <t>HUDIKSVALL</t>
        </is>
      </c>
      <c r="H603" t="inlineStr">
        <is>
          <t>Holmen skog AB</t>
        </is>
      </c>
      <c r="I603" t="n">
        <v>16.3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5901-2025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45695</v>
      </c>
      <c r="E604" s="1" t="n">
        <v>46307</v>
      </c>
      <c r="F604" t="inlineStr">
        <is>
          <t>GÄVLEBORGS LÄN</t>
        </is>
      </c>
      <c r="G604" t="inlineStr">
        <is>
          <t>HUDIKSVALL</t>
        </is>
      </c>
      <c r="H604" t="inlineStr">
        <is>
          <t>Holmen skog AB</t>
        </is>
      </c>
      <c r="I604" t="n">
        <v>3.2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5940-2025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45695</v>
      </c>
      <c r="E605" s="1" t="n">
        <v>46307</v>
      </c>
      <c r="F605" t="inlineStr">
        <is>
          <t>GÄVLEBORGS LÄN</t>
        </is>
      </c>
      <c r="G605" t="inlineStr">
        <is>
          <t>HUDIKSVALL</t>
        </is>
      </c>
      <c r="I605" t="n">
        <v>0.9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5946-2025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45695</v>
      </c>
      <c r="E606" s="1" t="n">
        <v>46307</v>
      </c>
      <c r="F606" t="inlineStr">
        <is>
          <t>GÄVLEBORGS LÄN</t>
        </is>
      </c>
      <c r="G606" t="inlineStr">
        <is>
          <t>HUDIKSVALL</t>
        </is>
      </c>
      <c r="I606" t="n">
        <v>1.9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56858-2024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45628</v>
      </c>
      <c r="E607" s="1" t="n">
        <v>46307</v>
      </c>
      <c r="F607" t="inlineStr">
        <is>
          <t>GÄVLEBORGS LÄN</t>
        </is>
      </c>
      <c r="G607" t="inlineStr">
        <is>
          <t>HUDIKSVALL</t>
        </is>
      </c>
      <c r="I607" t="n">
        <v>0.9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54225-2023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45232</v>
      </c>
      <c r="E608" s="1" t="n">
        <v>46307</v>
      </c>
      <c r="F608" t="inlineStr">
        <is>
          <t>GÄVLEBORGS LÄN</t>
        </is>
      </c>
      <c r="G608" t="inlineStr">
        <is>
          <t>HUDIKSVALL</t>
        </is>
      </c>
      <c r="I608" t="n">
        <v>1.7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30590-2022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44762</v>
      </c>
      <c r="E609" s="1" t="n">
        <v>46307</v>
      </c>
      <c r="F609" t="inlineStr">
        <is>
          <t>GÄVLEBORGS LÄN</t>
        </is>
      </c>
      <c r="G609" t="inlineStr">
        <is>
          <t>HUDIKSVALL</t>
        </is>
      </c>
      <c r="H609" t="inlineStr">
        <is>
          <t>Sveaskog</t>
        </is>
      </c>
      <c r="I609" t="n">
        <v>0.7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26788-2025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45810</v>
      </c>
      <c r="E610" s="1" t="n">
        <v>46307</v>
      </c>
      <c r="F610" t="inlineStr">
        <is>
          <t>GÄVLEBORGS LÄN</t>
        </is>
      </c>
      <c r="G610" t="inlineStr">
        <is>
          <t>HUDIKSVALL</t>
        </is>
      </c>
      <c r="I610" t="n">
        <v>2.4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40060-2023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45168</v>
      </c>
      <c r="E611" s="1" t="n">
        <v>46307</v>
      </c>
      <c r="F611" t="inlineStr">
        <is>
          <t>GÄVLEBORGS LÄN</t>
        </is>
      </c>
      <c r="G611" t="inlineStr">
        <is>
          <t>HUDIKSVALL</t>
        </is>
      </c>
      <c r="H611" t="inlineStr">
        <is>
          <t>Holmen skog AB</t>
        </is>
      </c>
      <c r="I611" t="n">
        <v>4.3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10843-2022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44627</v>
      </c>
      <c r="E612" s="1" t="n">
        <v>46307</v>
      </c>
      <c r="F612" t="inlineStr">
        <is>
          <t>GÄVLEBORGS LÄN</t>
        </is>
      </c>
      <c r="G612" t="inlineStr">
        <is>
          <t>HUDIKSVALL</t>
        </is>
      </c>
      <c r="I612" t="n">
        <v>15.4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26894-2025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45811</v>
      </c>
      <c r="E613" s="1" t="n">
        <v>46307</v>
      </c>
      <c r="F613" t="inlineStr">
        <is>
          <t>GÄVLEBORGS LÄN</t>
        </is>
      </c>
      <c r="G613" t="inlineStr">
        <is>
          <t>HUDIKSVALL</t>
        </is>
      </c>
      <c r="I613" t="n">
        <v>1.3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41254-2024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45559</v>
      </c>
      <c r="E614" s="1" t="n">
        <v>46307</v>
      </c>
      <c r="F614" t="inlineStr">
        <is>
          <t>GÄVLEBORGS LÄN</t>
        </is>
      </c>
      <c r="G614" t="inlineStr">
        <is>
          <t>HUDIKSVALL</t>
        </is>
      </c>
      <c r="H614" t="inlineStr">
        <is>
          <t>Holmen skog AB</t>
        </is>
      </c>
      <c r="I614" t="n">
        <v>6.4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50320-2025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45944</v>
      </c>
      <c r="E615" s="1" t="n">
        <v>46307</v>
      </c>
      <c r="F615" t="inlineStr">
        <is>
          <t>GÄVLEBORGS LÄN</t>
        </is>
      </c>
      <c r="G615" t="inlineStr">
        <is>
          <t>HUDIKSVALL</t>
        </is>
      </c>
      <c r="I615" t="n">
        <v>1.3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50321-2025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45944</v>
      </c>
      <c r="E616" s="1" t="n">
        <v>46307</v>
      </c>
      <c r="F616" t="inlineStr">
        <is>
          <t>GÄVLEBORGS LÄN</t>
        </is>
      </c>
      <c r="G616" t="inlineStr">
        <is>
          <t>HUDIKSVALL</t>
        </is>
      </c>
      <c r="I616" t="n">
        <v>7.9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50331-2025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45944</v>
      </c>
      <c r="E617" s="1" t="n">
        <v>46307</v>
      </c>
      <c r="F617" t="inlineStr">
        <is>
          <t>GÄVLEBORGS LÄN</t>
        </is>
      </c>
      <c r="G617" t="inlineStr">
        <is>
          <t>HUDIKSVALL</t>
        </is>
      </c>
      <c r="I617" t="n">
        <v>1.2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27253-2025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45812</v>
      </c>
      <c r="E618" s="1" t="n">
        <v>46307</v>
      </c>
      <c r="F618" t="inlineStr">
        <is>
          <t>GÄVLEBORGS LÄN</t>
        </is>
      </c>
      <c r="G618" t="inlineStr">
        <is>
          <t>HUDIKSVALL</t>
        </is>
      </c>
      <c r="H618" t="inlineStr">
        <is>
          <t>Holmen skog AB</t>
        </is>
      </c>
      <c r="I618" t="n">
        <v>1.7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41535-2024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45560</v>
      </c>
      <c r="E619" s="1" t="n">
        <v>46307</v>
      </c>
      <c r="F619" t="inlineStr">
        <is>
          <t>GÄVLEBORGS LÄN</t>
        </is>
      </c>
      <c r="G619" t="inlineStr">
        <is>
          <t>HUDIKSVALL</t>
        </is>
      </c>
      <c r="I619" t="n">
        <v>1.6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27159-2025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45812</v>
      </c>
      <c r="E620" s="1" t="n">
        <v>46307</v>
      </c>
      <c r="F620" t="inlineStr">
        <is>
          <t>GÄVLEBORGS LÄN</t>
        </is>
      </c>
      <c r="G620" t="inlineStr">
        <is>
          <t>HUDIKSVALL</t>
        </is>
      </c>
      <c r="H620" t="inlineStr">
        <is>
          <t>Holmen skog AB</t>
        </is>
      </c>
      <c r="I620" t="n">
        <v>29.4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22892-2023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45072</v>
      </c>
      <c r="E621" s="1" t="n">
        <v>46307</v>
      </c>
      <c r="F621" t="inlineStr">
        <is>
          <t>GÄVLEBORGS LÄN</t>
        </is>
      </c>
      <c r="G621" t="inlineStr">
        <is>
          <t>HUDIKSVALL</t>
        </is>
      </c>
      <c r="I621" t="n">
        <v>1.4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18828-2024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45426</v>
      </c>
      <c r="E622" s="1" t="n">
        <v>46307</v>
      </c>
      <c r="F622" t="inlineStr">
        <is>
          <t>GÄVLEBORGS LÄN</t>
        </is>
      </c>
      <c r="G622" t="inlineStr">
        <is>
          <t>HUDIKSVALL</t>
        </is>
      </c>
      <c r="I622" t="n">
        <v>0.6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50334-2025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45944</v>
      </c>
      <c r="E623" s="1" t="n">
        <v>46307</v>
      </c>
      <c r="F623" t="inlineStr">
        <is>
          <t>GÄVLEBORGS LÄN</t>
        </is>
      </c>
      <c r="G623" t="inlineStr">
        <is>
          <t>HUDIKSVALL</t>
        </is>
      </c>
      <c r="I623" t="n">
        <v>2.8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50313-2025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45944</v>
      </c>
      <c r="E624" s="1" t="n">
        <v>46307</v>
      </c>
      <c r="F624" t="inlineStr">
        <is>
          <t>GÄVLEBORGS LÄN</t>
        </is>
      </c>
      <c r="G624" t="inlineStr">
        <is>
          <t>HUDIKSVALL</t>
        </is>
      </c>
      <c r="I624" t="n">
        <v>3.5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50318-2025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45944</v>
      </c>
      <c r="E625" s="1" t="n">
        <v>46307</v>
      </c>
      <c r="F625" t="inlineStr">
        <is>
          <t>GÄVLEBORGS LÄN</t>
        </is>
      </c>
      <c r="G625" t="inlineStr">
        <is>
          <t>HUDIKSVALL</t>
        </is>
      </c>
      <c r="I625" t="n">
        <v>1.3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27078-2025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45811</v>
      </c>
      <c r="E626" s="1" t="n">
        <v>46307</v>
      </c>
      <c r="F626" t="inlineStr">
        <is>
          <t>GÄVLEBORGS LÄN</t>
        </is>
      </c>
      <c r="G626" t="inlineStr">
        <is>
          <t>HUDIKSVALL</t>
        </is>
      </c>
      <c r="I626" t="n">
        <v>5.9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9905-2024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45363</v>
      </c>
      <c r="E627" s="1" t="n">
        <v>46307</v>
      </c>
      <c r="F627" t="inlineStr">
        <is>
          <t>GÄVLEBORGS LÄN</t>
        </is>
      </c>
      <c r="G627" t="inlineStr">
        <is>
          <t>HUDIKSVALL</t>
        </is>
      </c>
      <c r="H627" t="inlineStr">
        <is>
          <t>Holmen skog AB</t>
        </is>
      </c>
      <c r="I627" t="n">
        <v>16.5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50873-2025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45946</v>
      </c>
      <c r="E628" s="1" t="n">
        <v>46307</v>
      </c>
      <c r="F628" t="inlineStr">
        <is>
          <t>GÄVLEBORGS LÄN</t>
        </is>
      </c>
      <c r="G628" t="inlineStr">
        <is>
          <t>HUDIKSVALL</t>
        </is>
      </c>
      <c r="I628" t="n">
        <v>1.4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50557-2025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45944</v>
      </c>
      <c r="E629" s="1" t="n">
        <v>46307</v>
      </c>
      <c r="F629" t="inlineStr">
        <is>
          <t>GÄVLEBORGS LÄN</t>
        </is>
      </c>
      <c r="G629" t="inlineStr">
        <is>
          <t>HUDIKSVALL</t>
        </is>
      </c>
      <c r="I629" t="n">
        <v>3.6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2528-2025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45674</v>
      </c>
      <c r="E630" s="1" t="n">
        <v>46307</v>
      </c>
      <c r="F630" t="inlineStr">
        <is>
          <t>GÄVLEBORGS LÄN</t>
        </is>
      </c>
      <c r="G630" t="inlineStr">
        <is>
          <t>HUDIKSVALL</t>
        </is>
      </c>
      <c r="I630" t="n">
        <v>3.5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2280-2022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44578</v>
      </c>
      <c r="E631" s="1" t="n">
        <v>46307</v>
      </c>
      <c r="F631" t="inlineStr">
        <is>
          <t>GÄVLEBORGS LÄN</t>
        </is>
      </c>
      <c r="G631" t="inlineStr">
        <is>
          <t>HUDIKSVALL</t>
        </is>
      </c>
      <c r="I631" t="n">
        <v>2.5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62674-2023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45271</v>
      </c>
      <c r="E632" s="1" t="n">
        <v>46307</v>
      </c>
      <c r="F632" t="inlineStr">
        <is>
          <t>GÄVLEBORGS LÄN</t>
        </is>
      </c>
      <c r="G632" t="inlineStr">
        <is>
          <t>HUDIKSVALL</t>
        </is>
      </c>
      <c r="I632" t="n">
        <v>3.5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24329-2024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45457</v>
      </c>
      <c r="E633" s="1" t="n">
        <v>46307</v>
      </c>
      <c r="F633" t="inlineStr">
        <is>
          <t>GÄVLEBORGS LÄN</t>
        </is>
      </c>
      <c r="G633" t="inlineStr">
        <is>
          <t>HUDIKSVALL</t>
        </is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7065-2023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44969</v>
      </c>
      <c r="E634" s="1" t="n">
        <v>46307</v>
      </c>
      <c r="F634" t="inlineStr">
        <is>
          <t>GÄVLEBORGS LÄN</t>
        </is>
      </c>
      <c r="G634" t="inlineStr">
        <is>
          <t>HUDIKSVALL</t>
        </is>
      </c>
      <c r="I634" t="n">
        <v>1.2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11432-2023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44993</v>
      </c>
      <c r="E635" s="1" t="n">
        <v>46307</v>
      </c>
      <c r="F635" t="inlineStr">
        <is>
          <t>GÄVLEBORGS LÄN</t>
        </is>
      </c>
      <c r="G635" t="inlineStr">
        <is>
          <t>HUDIKSVALL</t>
        </is>
      </c>
      <c r="I635" t="n">
        <v>6.3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2663-2025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45676</v>
      </c>
      <c r="E636" s="1" t="n">
        <v>46307</v>
      </c>
      <c r="F636" t="inlineStr">
        <is>
          <t>GÄVLEBORGS LÄN</t>
        </is>
      </c>
      <c r="G636" t="inlineStr">
        <is>
          <t>HUDIKSVALL</t>
        </is>
      </c>
      <c r="I636" t="n">
        <v>0.9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27514-2025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45813</v>
      </c>
      <c r="E637" s="1" t="n">
        <v>46307</v>
      </c>
      <c r="F637" t="inlineStr">
        <is>
          <t>GÄVLEBORGS LÄN</t>
        </is>
      </c>
      <c r="G637" t="inlineStr">
        <is>
          <t>HUDIKSVALL</t>
        </is>
      </c>
      <c r="I637" t="n">
        <v>2.1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50898-2025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45946</v>
      </c>
      <c r="E638" s="1" t="n">
        <v>46307</v>
      </c>
      <c r="F638" t="inlineStr">
        <is>
          <t>GÄVLEBORGS LÄN</t>
        </is>
      </c>
      <c r="G638" t="inlineStr">
        <is>
          <t>HUDIKSVALL</t>
        </is>
      </c>
      <c r="I638" t="n">
        <v>3.1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56754-2022</t>
        </is>
      </c>
      <c r="B639" t="inlineStr">
        <is>
          <t>avverkningsanmälan</t>
        </is>
      </c>
      <c r="C639" t="inlineStr">
        <is>
          <t>Avverkning för annat ändamål</t>
        </is>
      </c>
      <c r="D639" s="1" t="n">
        <v>44894</v>
      </c>
      <c r="E639" s="1" t="n">
        <v>46307</v>
      </c>
      <c r="F639" t="inlineStr">
        <is>
          <t>GÄVLEBORGS LÄN</t>
        </is>
      </c>
      <c r="G639" t="inlineStr">
        <is>
          <t>HUDIKSVALL</t>
        </is>
      </c>
      <c r="H639" t="inlineStr">
        <is>
          <t>Holmen skog AB</t>
        </is>
      </c>
      <c r="I639" t="n">
        <v>1.5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34757-2023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45141</v>
      </c>
      <c r="E640" s="1" t="n">
        <v>46307</v>
      </c>
      <c r="F640" t="inlineStr">
        <is>
          <t>GÄVLEBORGS LÄN</t>
        </is>
      </c>
      <c r="G640" t="inlineStr">
        <is>
          <t>HUDIKSVALL</t>
        </is>
      </c>
      <c r="I640" t="n">
        <v>2.2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19601-2024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45431</v>
      </c>
      <c r="E641" s="1" t="n">
        <v>46307</v>
      </c>
      <c r="F641" t="inlineStr">
        <is>
          <t>GÄVLEBORGS LÄN</t>
        </is>
      </c>
      <c r="G641" t="inlineStr">
        <is>
          <t>HUDIKSVALL</t>
        </is>
      </c>
      <c r="H641" t="inlineStr">
        <is>
          <t>Holmen skog AB</t>
        </is>
      </c>
      <c r="I641" t="n">
        <v>2.8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27791-2025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45816</v>
      </c>
      <c r="E642" s="1" t="n">
        <v>46307</v>
      </c>
      <c r="F642" t="inlineStr">
        <is>
          <t>GÄVLEBORGS LÄN</t>
        </is>
      </c>
      <c r="G642" t="inlineStr">
        <is>
          <t>HUDIKSVALL</t>
        </is>
      </c>
      <c r="I642" t="n">
        <v>3.5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28163-2025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45818</v>
      </c>
      <c r="E643" s="1" t="n">
        <v>46307</v>
      </c>
      <c r="F643" t="inlineStr">
        <is>
          <t>GÄVLEBORGS LÄN</t>
        </is>
      </c>
      <c r="G643" t="inlineStr">
        <is>
          <t>HUDIKSVALL</t>
        </is>
      </c>
      <c r="I643" t="n">
        <v>4.4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3297-2024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45317</v>
      </c>
      <c r="E644" s="1" t="n">
        <v>46307</v>
      </c>
      <c r="F644" t="inlineStr">
        <is>
          <t>GÄVLEBORGS LÄN</t>
        </is>
      </c>
      <c r="G644" t="inlineStr">
        <is>
          <t>HUDIKSVALL</t>
        </is>
      </c>
      <c r="I644" t="n">
        <v>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15486-2024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45401</v>
      </c>
      <c r="E645" s="1" t="n">
        <v>46307</v>
      </c>
      <c r="F645" t="inlineStr">
        <is>
          <t>GÄVLEBORGS LÄN</t>
        </is>
      </c>
      <c r="G645" t="inlineStr">
        <is>
          <t>HUDIKSVALL</t>
        </is>
      </c>
      <c r="I645" t="n">
        <v>2.8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60789-2023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45260</v>
      </c>
      <c r="E646" s="1" t="n">
        <v>46307</v>
      </c>
      <c r="F646" t="inlineStr">
        <is>
          <t>GÄVLEBORGS LÄN</t>
        </is>
      </c>
      <c r="G646" t="inlineStr">
        <is>
          <t>HUDIKSVALL</t>
        </is>
      </c>
      <c r="I646" t="n">
        <v>4.8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65363-2021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44515</v>
      </c>
      <c r="E647" s="1" t="n">
        <v>46307</v>
      </c>
      <c r="F647" t="inlineStr">
        <is>
          <t>GÄVLEBORGS LÄN</t>
        </is>
      </c>
      <c r="G647" t="inlineStr">
        <is>
          <t>HUDIKSVALL</t>
        </is>
      </c>
      <c r="I647" t="n">
        <v>1.8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28184-2025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45818</v>
      </c>
      <c r="E648" s="1" t="n">
        <v>46307</v>
      </c>
      <c r="F648" t="inlineStr">
        <is>
          <t>GÄVLEBORGS LÄN</t>
        </is>
      </c>
      <c r="G648" t="inlineStr">
        <is>
          <t>HUDIKSVALL</t>
        </is>
      </c>
      <c r="I648" t="n">
        <v>1.1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27204-2023</t>
        </is>
      </c>
      <c r="B649" t="inlineStr">
        <is>
          <t>avverkningsanmälan</t>
        </is>
      </c>
      <c r="C649" t="inlineStr">
        <is>
          <t>Avverkning för annat ändamål</t>
        </is>
      </c>
      <c r="D649" s="1" t="n">
        <v>45096</v>
      </c>
      <c r="E649" s="1" t="n">
        <v>46307</v>
      </c>
      <c r="F649" t="inlineStr">
        <is>
          <t>GÄVLEBORGS LÄN</t>
        </is>
      </c>
      <c r="G649" t="inlineStr">
        <is>
          <t>HUDIKSVALL</t>
        </is>
      </c>
      <c r="I649" t="n">
        <v>0.7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27881-2025</t>
        </is>
      </c>
      <c r="B650" t="inlineStr">
        <is>
          <t>avverkningsanmälan</t>
        </is>
      </c>
      <c r="C650" t="inlineStr">
        <is>
          <t>Avverkning för annat ändamål</t>
        </is>
      </c>
      <c r="D650" s="1" t="n">
        <v>45817</v>
      </c>
      <c r="E650" s="1" t="n">
        <v>46307</v>
      </c>
      <c r="F650" t="inlineStr">
        <is>
          <t>GÄVLEBORGS LÄN</t>
        </is>
      </c>
      <c r="G650" t="inlineStr">
        <is>
          <t>HUDIKSVALL</t>
        </is>
      </c>
      <c r="I650" t="n">
        <v>1.4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9392-2025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45715</v>
      </c>
      <c r="E651" s="1" t="n">
        <v>46307</v>
      </c>
      <c r="F651" t="inlineStr">
        <is>
          <t>GÄVLEBORGS LÄN</t>
        </is>
      </c>
      <c r="G651" t="inlineStr">
        <is>
          <t>HUDIKSVALL</t>
        </is>
      </c>
      <c r="I651" t="n">
        <v>0.8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20017-2022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44697</v>
      </c>
      <c r="E652" s="1" t="n">
        <v>46307</v>
      </c>
      <c r="F652" t="inlineStr">
        <is>
          <t>GÄVLEBORGS LÄN</t>
        </is>
      </c>
      <c r="G652" t="inlineStr">
        <is>
          <t>HUDIKSVALL</t>
        </is>
      </c>
      <c r="I652" t="n">
        <v>5.5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28410-2025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45819</v>
      </c>
      <c r="E653" s="1" t="n">
        <v>46307</v>
      </c>
      <c r="F653" t="inlineStr">
        <is>
          <t>GÄVLEBORGS LÄN</t>
        </is>
      </c>
      <c r="G653" t="inlineStr">
        <is>
          <t>HUDIKSVALL</t>
        </is>
      </c>
      <c r="I653" t="n">
        <v>0.6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28475-2025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45819</v>
      </c>
      <c r="E654" s="1" t="n">
        <v>46307</v>
      </c>
      <c r="F654" t="inlineStr">
        <is>
          <t>GÄVLEBORGS LÄN</t>
        </is>
      </c>
      <c r="G654" t="inlineStr">
        <is>
          <t>HUDIKSVALL</t>
        </is>
      </c>
      <c r="H654" t="inlineStr">
        <is>
          <t>Holmen skog AB</t>
        </is>
      </c>
      <c r="I654" t="n">
        <v>4.8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6730-2025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45700</v>
      </c>
      <c r="E655" s="1" t="n">
        <v>46307</v>
      </c>
      <c r="F655" t="inlineStr">
        <is>
          <t>GÄVLEBORGS LÄN</t>
        </is>
      </c>
      <c r="G655" t="inlineStr">
        <is>
          <t>HUDIKSVALL</t>
        </is>
      </c>
      <c r="I655" t="n">
        <v>25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28456-2025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45819</v>
      </c>
      <c r="E656" s="1" t="n">
        <v>46307</v>
      </c>
      <c r="F656" t="inlineStr">
        <is>
          <t>GÄVLEBORGS LÄN</t>
        </is>
      </c>
      <c r="G656" t="inlineStr">
        <is>
          <t>HUDIKSVALL</t>
        </is>
      </c>
      <c r="I656" t="n">
        <v>2.8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28485-2025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45819</v>
      </c>
      <c r="E657" s="1" t="n">
        <v>46307</v>
      </c>
      <c r="F657" t="inlineStr">
        <is>
          <t>GÄVLEBORGS LÄN</t>
        </is>
      </c>
      <c r="G657" t="inlineStr">
        <is>
          <t>HUDIKSVALL</t>
        </is>
      </c>
      <c r="H657" t="inlineStr">
        <is>
          <t>Holmen skog AB</t>
        </is>
      </c>
      <c r="I657" t="n">
        <v>5.8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28599-2025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45819</v>
      </c>
      <c r="E658" s="1" t="n">
        <v>46307</v>
      </c>
      <c r="F658" t="inlineStr">
        <is>
          <t>GÄVLEBORGS LÄN</t>
        </is>
      </c>
      <c r="G658" t="inlineStr">
        <is>
          <t>HUDIKSVALL</t>
        </is>
      </c>
      <c r="I658" t="n">
        <v>0.6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28411-2025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45819</v>
      </c>
      <c r="E659" s="1" t="n">
        <v>46307</v>
      </c>
      <c r="F659" t="inlineStr">
        <is>
          <t>GÄVLEBORGS LÄN</t>
        </is>
      </c>
      <c r="G659" t="inlineStr">
        <is>
          <t>HUDIKSVALL</t>
        </is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28815-2025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45820</v>
      </c>
      <c r="E660" s="1" t="n">
        <v>46307</v>
      </c>
      <c r="F660" t="inlineStr">
        <is>
          <t>GÄVLEBORGS LÄN</t>
        </is>
      </c>
      <c r="G660" t="inlineStr">
        <is>
          <t>HUDIKSVALL</t>
        </is>
      </c>
      <c r="I660" t="n">
        <v>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35737-2023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45147</v>
      </c>
      <c r="E661" s="1" t="n">
        <v>46307</v>
      </c>
      <c r="F661" t="inlineStr">
        <is>
          <t>GÄVLEBORGS LÄN</t>
        </is>
      </c>
      <c r="G661" t="inlineStr">
        <is>
          <t>HUDIKSVALL</t>
        </is>
      </c>
      <c r="I661" t="n">
        <v>2.4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44720-2024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45574</v>
      </c>
      <c r="E662" s="1" t="n">
        <v>46307</v>
      </c>
      <c r="F662" t="inlineStr">
        <is>
          <t>GÄVLEBORGS LÄN</t>
        </is>
      </c>
      <c r="G662" t="inlineStr">
        <is>
          <t>HUDIKSVALL</t>
        </is>
      </c>
      <c r="H662" t="inlineStr">
        <is>
          <t>Holmen skog AB</t>
        </is>
      </c>
      <c r="I662" t="n">
        <v>9.1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28809-2025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45820</v>
      </c>
      <c r="E663" s="1" t="n">
        <v>46307</v>
      </c>
      <c r="F663" t="inlineStr">
        <is>
          <t>GÄVLEBORGS LÄN</t>
        </is>
      </c>
      <c r="G663" t="inlineStr">
        <is>
          <t>HUDIKSVALL</t>
        </is>
      </c>
      <c r="I663" t="n">
        <v>1.1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6990-2025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45701</v>
      </c>
      <c r="E664" s="1" t="n">
        <v>46307</v>
      </c>
      <c r="F664" t="inlineStr">
        <is>
          <t>GÄVLEBORGS LÄN</t>
        </is>
      </c>
      <c r="G664" t="inlineStr">
        <is>
          <t>HUDIKSVALL</t>
        </is>
      </c>
      <c r="I664" t="n">
        <v>7.2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35433-2022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44798</v>
      </c>
      <c r="E665" s="1" t="n">
        <v>46307</v>
      </c>
      <c r="F665" t="inlineStr">
        <is>
          <t>GÄVLEBORGS LÄN</t>
        </is>
      </c>
      <c r="G665" t="inlineStr">
        <is>
          <t>HUDIKSVALL</t>
        </is>
      </c>
      <c r="I665" t="n">
        <v>2.5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19887-2025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45771</v>
      </c>
      <c r="E666" s="1" t="n">
        <v>46307</v>
      </c>
      <c r="F666" t="inlineStr">
        <is>
          <t>GÄVLEBORGS LÄN</t>
        </is>
      </c>
      <c r="G666" t="inlineStr">
        <is>
          <t>HUDIKSVALL</t>
        </is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29276-2025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45824</v>
      </c>
      <c r="E667" s="1" t="n">
        <v>46307</v>
      </c>
      <c r="F667" t="inlineStr">
        <is>
          <t>GÄVLEBORGS LÄN</t>
        </is>
      </c>
      <c r="G667" t="inlineStr">
        <is>
          <t>HUDIKSVALL</t>
        </is>
      </c>
      <c r="I667" t="n">
        <v>2.2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60188-2023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45258</v>
      </c>
      <c r="E668" s="1" t="n">
        <v>46307</v>
      </c>
      <c r="F668" t="inlineStr">
        <is>
          <t>GÄVLEBORGS LÄN</t>
        </is>
      </c>
      <c r="G668" t="inlineStr">
        <is>
          <t>HUDIKSVALL</t>
        </is>
      </c>
      <c r="H668" t="inlineStr">
        <is>
          <t>Holmen skog AB</t>
        </is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29338-2025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45824</v>
      </c>
      <c r="E669" s="1" t="n">
        <v>46307</v>
      </c>
      <c r="F669" t="inlineStr">
        <is>
          <t>GÄVLEBORGS LÄN</t>
        </is>
      </c>
      <c r="G669" t="inlineStr">
        <is>
          <t>HUDIKSVALL</t>
        </is>
      </c>
      <c r="H669" t="inlineStr">
        <is>
          <t>Holmen skog AB</t>
        </is>
      </c>
      <c r="I669" t="n">
        <v>5.2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51329-2025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45950</v>
      </c>
      <c r="E670" s="1" t="n">
        <v>46307</v>
      </c>
      <c r="F670" t="inlineStr">
        <is>
          <t>GÄVLEBORGS LÄN</t>
        </is>
      </c>
      <c r="G670" t="inlineStr">
        <is>
          <t>HUDIKSVALL</t>
        </is>
      </c>
      <c r="I670" t="n">
        <v>1.1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29357-2025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45824</v>
      </c>
      <c r="E671" s="1" t="n">
        <v>46307</v>
      </c>
      <c r="F671" t="inlineStr">
        <is>
          <t>GÄVLEBORGS LÄN</t>
        </is>
      </c>
      <c r="G671" t="inlineStr">
        <is>
          <t>HUDIKSVALL</t>
        </is>
      </c>
      <c r="H671" t="inlineStr">
        <is>
          <t>Holmen skog AB</t>
        </is>
      </c>
      <c r="I671" t="n">
        <v>2.3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29334-2025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45824</v>
      </c>
      <c r="E672" s="1" t="n">
        <v>46307</v>
      </c>
      <c r="F672" t="inlineStr">
        <is>
          <t>GÄVLEBORGS LÄN</t>
        </is>
      </c>
      <c r="G672" t="inlineStr">
        <is>
          <t>HUDIKSVALL</t>
        </is>
      </c>
      <c r="I672" t="n">
        <v>0.6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29329-2025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45824</v>
      </c>
      <c r="E673" s="1" t="n">
        <v>46307</v>
      </c>
      <c r="F673" t="inlineStr">
        <is>
          <t>GÄVLEBORGS LÄN</t>
        </is>
      </c>
      <c r="G673" t="inlineStr">
        <is>
          <t>HUDIKSVALL</t>
        </is>
      </c>
      <c r="H673" t="inlineStr">
        <is>
          <t>Holmen skog AB</t>
        </is>
      </c>
      <c r="I673" t="n">
        <v>15.3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29315-2025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45824</v>
      </c>
      <c r="E674" s="1" t="n">
        <v>46307</v>
      </c>
      <c r="F674" t="inlineStr">
        <is>
          <t>GÄVLEBORGS LÄN</t>
        </is>
      </c>
      <c r="G674" t="inlineStr">
        <is>
          <t>HUDIKSVALL</t>
        </is>
      </c>
      <c r="H674" t="inlineStr">
        <is>
          <t>Holmen skog AB</t>
        </is>
      </c>
      <c r="I674" t="n">
        <v>2.3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29353-2025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45824</v>
      </c>
      <c r="E675" s="1" t="n">
        <v>46307</v>
      </c>
      <c r="F675" t="inlineStr">
        <is>
          <t>GÄVLEBORGS LÄN</t>
        </is>
      </c>
      <c r="G675" t="inlineStr">
        <is>
          <t>HUDIKSVALL</t>
        </is>
      </c>
      <c r="H675" t="inlineStr">
        <is>
          <t>Holmen skog AB</t>
        </is>
      </c>
      <c r="I675" t="n">
        <v>3.1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51534-2025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45950</v>
      </c>
      <c r="E676" s="1" t="n">
        <v>46307</v>
      </c>
      <c r="F676" t="inlineStr">
        <is>
          <t>GÄVLEBORGS LÄN</t>
        </is>
      </c>
      <c r="G676" t="inlineStr">
        <is>
          <t>HUDIKSVALL</t>
        </is>
      </c>
      <c r="I676" t="n">
        <v>15.2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21525-2022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44706</v>
      </c>
      <c r="E677" s="1" t="n">
        <v>46307</v>
      </c>
      <c r="F677" t="inlineStr">
        <is>
          <t>GÄVLEBORGS LÄN</t>
        </is>
      </c>
      <c r="G677" t="inlineStr">
        <is>
          <t>HUDIKSVALL</t>
        </is>
      </c>
      <c r="I677" t="n">
        <v>1.2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57871-2023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45247</v>
      </c>
      <c r="E678" s="1" t="n">
        <v>46307</v>
      </c>
      <c r="F678" t="inlineStr">
        <is>
          <t>GÄVLEBORGS LÄN</t>
        </is>
      </c>
      <c r="G678" t="inlineStr">
        <is>
          <t>HUDIKSVALL</t>
        </is>
      </c>
      <c r="H678" t="inlineStr">
        <is>
          <t>Holmen skog AB</t>
        </is>
      </c>
      <c r="I678" t="n">
        <v>2.3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5892-2025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45695</v>
      </c>
      <c r="E679" s="1" t="n">
        <v>46307</v>
      </c>
      <c r="F679" t="inlineStr">
        <is>
          <t>GÄVLEBORGS LÄN</t>
        </is>
      </c>
      <c r="G679" t="inlineStr">
        <is>
          <t>HUDIKSVALL</t>
        </is>
      </c>
      <c r="H679" t="inlineStr">
        <is>
          <t>Holmen skog AB</t>
        </is>
      </c>
      <c r="I679" t="n">
        <v>2.1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51649-2025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45951</v>
      </c>
      <c r="E680" s="1" t="n">
        <v>46307</v>
      </c>
      <c r="F680" t="inlineStr">
        <is>
          <t>GÄVLEBORGS LÄN</t>
        </is>
      </c>
      <c r="G680" t="inlineStr">
        <is>
          <t>HUDIKSVALL</t>
        </is>
      </c>
      <c r="H680" t="inlineStr">
        <is>
          <t>Holmen skog AB</t>
        </is>
      </c>
      <c r="I680" t="n">
        <v>2.4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52221-2024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45608</v>
      </c>
      <c r="E681" s="1" t="n">
        <v>46307</v>
      </c>
      <c r="F681" t="inlineStr">
        <is>
          <t>GÄVLEBORGS LÄN</t>
        </is>
      </c>
      <c r="G681" t="inlineStr">
        <is>
          <t>HUDIKSVALL</t>
        </is>
      </c>
      <c r="I681" t="n">
        <v>4.5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29772-2025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45825</v>
      </c>
      <c r="E682" s="1" t="n">
        <v>46307</v>
      </c>
      <c r="F682" t="inlineStr">
        <is>
          <t>GÄVLEBORGS LÄN</t>
        </is>
      </c>
      <c r="G682" t="inlineStr">
        <is>
          <t>HUDIKSVALL</t>
        </is>
      </c>
      <c r="I682" t="n">
        <v>1.5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24119-2024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45456</v>
      </c>
      <c r="E683" s="1" t="n">
        <v>46307</v>
      </c>
      <c r="F683" t="inlineStr">
        <is>
          <t>GÄVLEBORGS LÄN</t>
        </is>
      </c>
      <c r="G683" t="inlineStr">
        <is>
          <t>HUDIKSVALL</t>
        </is>
      </c>
      <c r="I683" t="n">
        <v>0.5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24890-2023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45085</v>
      </c>
      <c r="E684" s="1" t="n">
        <v>46307</v>
      </c>
      <c r="F684" t="inlineStr">
        <is>
          <t>GÄVLEBORGS LÄN</t>
        </is>
      </c>
      <c r="G684" t="inlineStr">
        <is>
          <t>HUDIKSVALL</t>
        </is>
      </c>
      <c r="I684" t="n">
        <v>2.5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30481-2025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45828</v>
      </c>
      <c r="E685" s="1" t="n">
        <v>46307</v>
      </c>
      <c r="F685" t="inlineStr">
        <is>
          <t>GÄVLEBORGS LÄN</t>
        </is>
      </c>
      <c r="G685" t="inlineStr">
        <is>
          <t>HUDIKSVALL</t>
        </is>
      </c>
      <c r="H685" t="inlineStr">
        <is>
          <t>Holmen skog AB</t>
        </is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51765-2025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45951</v>
      </c>
      <c r="E686" s="1" t="n">
        <v>46307</v>
      </c>
      <c r="F686" t="inlineStr">
        <is>
          <t>GÄVLEBORGS LÄN</t>
        </is>
      </c>
      <c r="G686" t="inlineStr">
        <is>
          <t>HUDIKSVALL</t>
        </is>
      </c>
      <c r="I686" t="n">
        <v>2.7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51766-2025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45951</v>
      </c>
      <c r="E687" s="1" t="n">
        <v>46307</v>
      </c>
      <c r="F687" t="inlineStr">
        <is>
          <t>GÄVLEBORGS LÄN</t>
        </is>
      </c>
      <c r="G687" t="inlineStr">
        <is>
          <t>HUDIKSVALL</t>
        </is>
      </c>
      <c r="I687" t="n">
        <v>2.3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51618-2025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45951</v>
      </c>
      <c r="E688" s="1" t="n">
        <v>46307</v>
      </c>
      <c r="F688" t="inlineStr">
        <is>
          <t>GÄVLEBORGS LÄN</t>
        </is>
      </c>
      <c r="G688" t="inlineStr">
        <is>
          <t>HUDIKSVALL</t>
        </is>
      </c>
      <c r="H688" t="inlineStr">
        <is>
          <t>Holmen skog AB</t>
        </is>
      </c>
      <c r="I688" t="n">
        <v>5.7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30463-2025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45827</v>
      </c>
      <c r="E689" s="1" t="n">
        <v>46307</v>
      </c>
      <c r="F689" t="inlineStr">
        <is>
          <t>GÄVLEBORGS LÄN</t>
        </is>
      </c>
      <c r="G689" t="inlineStr">
        <is>
          <t>HUDIKSVALL</t>
        </is>
      </c>
      <c r="I689" t="n">
        <v>9.800000000000001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30480-2025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45828</v>
      </c>
      <c r="E690" s="1" t="n">
        <v>46307</v>
      </c>
      <c r="F690" t="inlineStr">
        <is>
          <t>GÄVLEBORGS LÄN</t>
        </is>
      </c>
      <c r="G690" t="inlineStr">
        <is>
          <t>HUDIKSVALL</t>
        </is>
      </c>
      <c r="H690" t="inlineStr">
        <is>
          <t>Holmen skog AB</t>
        </is>
      </c>
      <c r="I690" t="n">
        <v>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36125-2023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45149</v>
      </c>
      <c r="E691" s="1" t="n">
        <v>46307</v>
      </c>
      <c r="F691" t="inlineStr">
        <is>
          <t>GÄVLEBORGS LÄN</t>
        </is>
      </c>
      <c r="G691" t="inlineStr">
        <is>
          <t>HUDIKSVALL</t>
        </is>
      </c>
      <c r="I691" t="n">
        <v>0.8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30450-2025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45827</v>
      </c>
      <c r="E692" s="1" t="n">
        <v>46307</v>
      </c>
      <c r="F692" t="inlineStr">
        <is>
          <t>GÄVLEBORGS LÄN</t>
        </is>
      </c>
      <c r="G692" t="inlineStr">
        <is>
          <t>HUDIKSVALL</t>
        </is>
      </c>
      <c r="I692" t="n">
        <v>14.4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30442-2025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45827</v>
      </c>
      <c r="E693" s="1" t="n">
        <v>46307</v>
      </c>
      <c r="F693" t="inlineStr">
        <is>
          <t>GÄVLEBORGS LÄN</t>
        </is>
      </c>
      <c r="G693" t="inlineStr">
        <is>
          <t>HUDIKSVALL</t>
        </is>
      </c>
      <c r="H693" t="inlineStr">
        <is>
          <t>Holmen skog AB</t>
        </is>
      </c>
      <c r="I693" t="n">
        <v>48.3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30234-2025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45827</v>
      </c>
      <c r="E694" s="1" t="n">
        <v>46307</v>
      </c>
      <c r="F694" t="inlineStr">
        <is>
          <t>GÄVLEBORGS LÄN</t>
        </is>
      </c>
      <c r="G694" t="inlineStr">
        <is>
          <t>HUDIKSVALL</t>
        </is>
      </c>
      <c r="I694" t="n">
        <v>8.300000000000001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30479-2025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45828</v>
      </c>
      <c r="E695" s="1" t="n">
        <v>46307</v>
      </c>
      <c r="F695" t="inlineStr">
        <is>
          <t>GÄVLEBORGS LÄN</t>
        </is>
      </c>
      <c r="G695" t="inlineStr">
        <is>
          <t>HUDIKSVALL</t>
        </is>
      </c>
      <c r="H695" t="inlineStr">
        <is>
          <t>Holmen skog AB</t>
        </is>
      </c>
      <c r="I695" t="n">
        <v>13.5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30158-2025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45827</v>
      </c>
      <c r="E696" s="1" t="n">
        <v>46307</v>
      </c>
      <c r="F696" t="inlineStr">
        <is>
          <t>GÄVLEBORGS LÄN</t>
        </is>
      </c>
      <c r="G696" t="inlineStr">
        <is>
          <t>HUDIKSVALL</t>
        </is>
      </c>
      <c r="H696" t="inlineStr">
        <is>
          <t>Sveaskog</t>
        </is>
      </c>
      <c r="I696" t="n">
        <v>7.2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30307-2025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45827</v>
      </c>
      <c r="E697" s="1" t="n">
        <v>46307</v>
      </c>
      <c r="F697" t="inlineStr">
        <is>
          <t>GÄVLEBORGS LÄN</t>
        </is>
      </c>
      <c r="G697" t="inlineStr">
        <is>
          <t>HUDIKSVALL</t>
        </is>
      </c>
      <c r="I697" t="n">
        <v>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30309-2025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45827</v>
      </c>
      <c r="E698" s="1" t="n">
        <v>46307</v>
      </c>
      <c r="F698" t="inlineStr">
        <is>
          <t>GÄVLEBORGS LÄN</t>
        </is>
      </c>
      <c r="G698" t="inlineStr">
        <is>
          <t>HUDIKSVALL</t>
        </is>
      </c>
      <c r="I698" t="n">
        <v>5.7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51877-2025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45952</v>
      </c>
      <c r="E699" s="1" t="n">
        <v>46307</v>
      </c>
      <c r="F699" t="inlineStr">
        <is>
          <t>GÄVLEBORGS LÄN</t>
        </is>
      </c>
      <c r="G699" t="inlineStr">
        <is>
          <t>HUDIKSVALL</t>
        </is>
      </c>
      <c r="H699" t="inlineStr">
        <is>
          <t>Naturvårdsverket</t>
        </is>
      </c>
      <c r="I699" t="n">
        <v>1.4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56805-2022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44894</v>
      </c>
      <c r="E700" s="1" t="n">
        <v>46307</v>
      </c>
      <c r="F700" t="inlineStr">
        <is>
          <t>GÄVLEBORGS LÄN</t>
        </is>
      </c>
      <c r="G700" t="inlineStr">
        <is>
          <t>HUDIKSVALL</t>
        </is>
      </c>
      <c r="H700" t="inlineStr">
        <is>
          <t>Holmen skog AB</t>
        </is>
      </c>
      <c r="I700" t="n">
        <v>2.8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64632-2021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44511</v>
      </c>
      <c r="E701" s="1" t="n">
        <v>46307</v>
      </c>
      <c r="F701" t="inlineStr">
        <is>
          <t>GÄVLEBORGS LÄN</t>
        </is>
      </c>
      <c r="G701" t="inlineStr">
        <is>
          <t>HUDIKSVALL</t>
        </is>
      </c>
      <c r="I701" t="n">
        <v>4.2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47415-2023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45202</v>
      </c>
      <c r="E702" s="1" t="n">
        <v>46307</v>
      </c>
      <c r="F702" t="inlineStr">
        <is>
          <t>GÄVLEBORGS LÄN</t>
        </is>
      </c>
      <c r="G702" t="inlineStr">
        <is>
          <t>HUDIKSVALL</t>
        </is>
      </c>
      <c r="H702" t="inlineStr">
        <is>
          <t>Holmen skog AB</t>
        </is>
      </c>
      <c r="I702" t="n">
        <v>0.9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4428-2025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45686</v>
      </c>
      <c r="E703" s="1" t="n">
        <v>46307</v>
      </c>
      <c r="F703" t="inlineStr">
        <is>
          <t>GÄVLEBORGS LÄN</t>
        </is>
      </c>
      <c r="G703" t="inlineStr">
        <is>
          <t>HUDIKSVALL</t>
        </is>
      </c>
      <c r="H703" t="inlineStr">
        <is>
          <t>Holmen skog AB</t>
        </is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51860-2025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45952</v>
      </c>
      <c r="E704" s="1" t="n">
        <v>46307</v>
      </c>
      <c r="F704" t="inlineStr">
        <is>
          <t>GÄVLEBORGS LÄN</t>
        </is>
      </c>
      <c r="G704" t="inlineStr">
        <is>
          <t>HUDIKSVALL</t>
        </is>
      </c>
      <c r="H704" t="inlineStr">
        <is>
          <t>Holmen skog AB</t>
        </is>
      </c>
      <c r="I704" t="n">
        <v>3.8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405-2025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45663</v>
      </c>
      <c r="E705" s="1" t="n">
        <v>46307</v>
      </c>
      <c r="F705" t="inlineStr">
        <is>
          <t>GÄVLEBORGS LÄN</t>
        </is>
      </c>
      <c r="G705" t="inlineStr">
        <is>
          <t>HUDIKSVALL</t>
        </is>
      </c>
      <c r="I705" t="n">
        <v>0.3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39669-2022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44818</v>
      </c>
      <c r="E706" s="1" t="n">
        <v>46307</v>
      </c>
      <c r="F706" t="inlineStr">
        <is>
          <t>GÄVLEBORGS LÄN</t>
        </is>
      </c>
      <c r="G706" t="inlineStr">
        <is>
          <t>HUDIKSVALL</t>
        </is>
      </c>
      <c r="H706" t="inlineStr">
        <is>
          <t>Holmen skog AB</t>
        </is>
      </c>
      <c r="I706" t="n">
        <v>5.9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58088-2022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44900</v>
      </c>
      <c r="E707" s="1" t="n">
        <v>46307</v>
      </c>
      <c r="F707" t="inlineStr">
        <is>
          <t>GÄVLEBORGS LÄN</t>
        </is>
      </c>
      <c r="G707" t="inlineStr">
        <is>
          <t>HUDIKSVALL</t>
        </is>
      </c>
      <c r="I707" t="n">
        <v>7.5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30757-2025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45831</v>
      </c>
      <c r="E708" s="1" t="n">
        <v>46307</v>
      </c>
      <c r="F708" t="inlineStr">
        <is>
          <t>GÄVLEBORGS LÄN</t>
        </is>
      </c>
      <c r="G708" t="inlineStr">
        <is>
          <t>HUDIKSVALL</t>
        </is>
      </c>
      <c r="H708" t="inlineStr">
        <is>
          <t>Holmen skog AB</t>
        </is>
      </c>
      <c r="I708" t="n">
        <v>6.6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51548-2025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45950</v>
      </c>
      <c r="E709" s="1" t="n">
        <v>46307</v>
      </c>
      <c r="F709" t="inlineStr">
        <is>
          <t>GÄVLEBORGS LÄN</t>
        </is>
      </c>
      <c r="G709" t="inlineStr">
        <is>
          <t>HUDIKSVALL</t>
        </is>
      </c>
      <c r="H709" t="inlineStr">
        <is>
          <t>Holmen skog AB</t>
        </is>
      </c>
      <c r="I709" t="n">
        <v>5.7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51897-2025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45952</v>
      </c>
      <c r="E710" s="1" t="n">
        <v>46307</v>
      </c>
      <c r="F710" t="inlineStr">
        <is>
          <t>GÄVLEBORGS LÄN</t>
        </is>
      </c>
      <c r="G710" t="inlineStr">
        <is>
          <t>HUDIKSVALL</t>
        </is>
      </c>
      <c r="H710" t="inlineStr">
        <is>
          <t>Naturvårdsverket</t>
        </is>
      </c>
      <c r="I710" t="n">
        <v>3.2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52478-2025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45954</v>
      </c>
      <c r="E711" s="1" t="n">
        <v>46307</v>
      </c>
      <c r="F711" t="inlineStr">
        <is>
          <t>GÄVLEBORGS LÄN</t>
        </is>
      </c>
      <c r="G711" t="inlineStr">
        <is>
          <t>HUDIKSVALL</t>
        </is>
      </c>
      <c r="I711" t="n">
        <v>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52870-2025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45957</v>
      </c>
      <c r="E712" s="1" t="n">
        <v>46307</v>
      </c>
      <c r="F712" t="inlineStr">
        <is>
          <t>GÄVLEBORGS LÄN</t>
        </is>
      </c>
      <c r="G712" t="inlineStr">
        <is>
          <t>HUDIKSVALL</t>
        </is>
      </c>
      <c r="I712" t="n">
        <v>2.2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52850-2025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45957</v>
      </c>
      <c r="E713" s="1" t="n">
        <v>46307</v>
      </c>
      <c r="F713" t="inlineStr">
        <is>
          <t>GÄVLEBORGS LÄN</t>
        </is>
      </c>
      <c r="G713" t="inlineStr">
        <is>
          <t>HUDIKSVALL</t>
        </is>
      </c>
      <c r="I713" t="n">
        <v>2.3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52839-2025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45957</v>
      </c>
      <c r="E714" s="1" t="n">
        <v>46307</v>
      </c>
      <c r="F714" t="inlineStr">
        <is>
          <t>GÄVLEBORGS LÄN</t>
        </is>
      </c>
      <c r="G714" t="inlineStr">
        <is>
          <t>HUDIKSVALL</t>
        </is>
      </c>
      <c r="I714" t="n">
        <v>3.1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52862-2025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45957</v>
      </c>
      <c r="E715" s="1" t="n">
        <v>46307</v>
      </c>
      <c r="F715" t="inlineStr">
        <is>
          <t>GÄVLEBORGS LÄN</t>
        </is>
      </c>
      <c r="G715" t="inlineStr">
        <is>
          <t>HUDIKSVALL</t>
        </is>
      </c>
      <c r="I715" t="n">
        <v>2.2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53278-2025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45958</v>
      </c>
      <c r="E716" s="1" t="n">
        <v>46307</v>
      </c>
      <c r="F716" t="inlineStr">
        <is>
          <t>GÄVLEBORGS LÄN</t>
        </is>
      </c>
      <c r="G716" t="inlineStr">
        <is>
          <t>HUDIKSVALL</t>
        </is>
      </c>
      <c r="I716" t="n">
        <v>2.5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53755-2025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45960</v>
      </c>
      <c r="E717" s="1" t="n">
        <v>46307</v>
      </c>
      <c r="F717" t="inlineStr">
        <is>
          <t>GÄVLEBORGS LÄN</t>
        </is>
      </c>
      <c r="G717" t="inlineStr">
        <is>
          <t>HUDIKSVALL</t>
        </is>
      </c>
      <c r="I717" t="n">
        <v>1.1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22165-2022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44712</v>
      </c>
      <c r="E718" s="1" t="n">
        <v>46307</v>
      </c>
      <c r="F718" t="inlineStr">
        <is>
          <t>GÄVLEBORGS LÄN</t>
        </is>
      </c>
      <c r="G718" t="inlineStr">
        <is>
          <t>HUDIKSVALL</t>
        </is>
      </c>
      <c r="I718" t="n">
        <v>1.7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31907-2025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45834</v>
      </c>
      <c r="E719" s="1" t="n">
        <v>46307</v>
      </c>
      <c r="F719" t="inlineStr">
        <is>
          <t>GÄVLEBORGS LÄN</t>
        </is>
      </c>
      <c r="G719" t="inlineStr">
        <is>
          <t>HUDIKSVALL</t>
        </is>
      </c>
      <c r="I719" t="n">
        <v>8.9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35303-2023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45146</v>
      </c>
      <c r="E720" s="1" t="n">
        <v>46307</v>
      </c>
      <c r="F720" t="inlineStr">
        <is>
          <t>GÄVLEBORGS LÄN</t>
        </is>
      </c>
      <c r="G720" t="inlineStr">
        <is>
          <t>HUDIKSVALL</t>
        </is>
      </c>
      <c r="H720" t="inlineStr">
        <is>
          <t>Holmen skog AB</t>
        </is>
      </c>
      <c r="I720" t="n">
        <v>1.1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31720-2025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45834</v>
      </c>
      <c r="E721" s="1" t="n">
        <v>46307</v>
      </c>
      <c r="F721" t="inlineStr">
        <is>
          <t>GÄVLEBORGS LÄN</t>
        </is>
      </c>
      <c r="G721" t="inlineStr">
        <is>
          <t>HUDIKSVALL</t>
        </is>
      </c>
      <c r="I721" t="n">
        <v>31.2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31477-2025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45833</v>
      </c>
      <c r="E722" s="1" t="n">
        <v>46307</v>
      </c>
      <c r="F722" t="inlineStr">
        <is>
          <t>GÄVLEBORGS LÄN</t>
        </is>
      </c>
      <c r="G722" t="inlineStr">
        <is>
          <t>HUDIKSVALL</t>
        </is>
      </c>
      <c r="I722" t="n">
        <v>1.4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31766-2025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45834</v>
      </c>
      <c r="E723" s="1" t="n">
        <v>46307</v>
      </c>
      <c r="F723" t="inlineStr">
        <is>
          <t>GÄVLEBORGS LÄN</t>
        </is>
      </c>
      <c r="G723" t="inlineStr">
        <is>
          <t>HUDIKSVALL</t>
        </is>
      </c>
      <c r="H723" t="inlineStr">
        <is>
          <t>Holmen skog AB</t>
        </is>
      </c>
      <c r="I723" t="n">
        <v>3.6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43659-2023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45187</v>
      </c>
      <c r="E724" s="1" t="n">
        <v>46307</v>
      </c>
      <c r="F724" t="inlineStr">
        <is>
          <t>GÄVLEBORGS LÄN</t>
        </is>
      </c>
      <c r="G724" t="inlineStr">
        <is>
          <t>HUDIKSVALL</t>
        </is>
      </c>
      <c r="I724" t="n">
        <v>2.3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27418-2024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45474</v>
      </c>
      <c r="E725" s="1" t="n">
        <v>46307</v>
      </c>
      <c r="F725" t="inlineStr">
        <is>
          <t>GÄVLEBORGS LÄN</t>
        </is>
      </c>
      <c r="G725" t="inlineStr">
        <is>
          <t>HUDIKSVALL</t>
        </is>
      </c>
      <c r="I725" t="n">
        <v>1.7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9477-2025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45715</v>
      </c>
      <c r="E726" s="1" t="n">
        <v>46307</v>
      </c>
      <c r="F726" t="inlineStr">
        <is>
          <t>GÄVLEBORGS LÄN</t>
        </is>
      </c>
      <c r="G726" t="inlineStr">
        <is>
          <t>HUDIKSVALL</t>
        </is>
      </c>
      <c r="I726" t="n">
        <v>2.5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27302-2023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45096</v>
      </c>
      <c r="E727" s="1" t="n">
        <v>46307</v>
      </c>
      <c r="F727" t="inlineStr">
        <is>
          <t>GÄVLEBORGS LÄN</t>
        </is>
      </c>
      <c r="G727" t="inlineStr">
        <is>
          <t>HUDIKSVALL</t>
        </is>
      </c>
      <c r="I727" t="n">
        <v>1.2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27467-2024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45474</v>
      </c>
      <c r="E728" s="1" t="n">
        <v>46307</v>
      </c>
      <c r="F728" t="inlineStr">
        <is>
          <t>GÄVLEBORGS LÄN</t>
        </is>
      </c>
      <c r="G728" t="inlineStr">
        <is>
          <t>HUDIKSVALL</t>
        </is>
      </c>
      <c r="H728" t="inlineStr">
        <is>
          <t>Holmen skog AB</t>
        </is>
      </c>
      <c r="I728" t="n">
        <v>8.6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31936-2025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45834</v>
      </c>
      <c r="E729" s="1" t="n">
        <v>46307</v>
      </c>
      <c r="F729" t="inlineStr">
        <is>
          <t>GÄVLEBORGS LÄN</t>
        </is>
      </c>
      <c r="G729" t="inlineStr">
        <is>
          <t>HUDIKSVALL</t>
        </is>
      </c>
      <c r="I729" t="n">
        <v>3.8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32167-2025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45835</v>
      </c>
      <c r="E730" s="1" t="n">
        <v>46307</v>
      </c>
      <c r="F730" t="inlineStr">
        <is>
          <t>GÄVLEBORGS LÄN</t>
        </is>
      </c>
      <c r="G730" t="inlineStr">
        <is>
          <t>HUDIKSVALL</t>
        </is>
      </c>
      <c r="H730" t="inlineStr">
        <is>
          <t>Holmen skog AB</t>
        </is>
      </c>
      <c r="I730" t="n">
        <v>13.7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43930-2023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45187</v>
      </c>
      <c r="E731" s="1" t="n">
        <v>46307</v>
      </c>
      <c r="F731" t="inlineStr">
        <is>
          <t>GÄVLEBORGS LÄN</t>
        </is>
      </c>
      <c r="G731" t="inlineStr">
        <is>
          <t>HUDIKSVALL</t>
        </is>
      </c>
      <c r="I731" t="n">
        <v>0.5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53156-2024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45611</v>
      </c>
      <c r="E732" s="1" t="n">
        <v>46307</v>
      </c>
      <c r="F732" t="inlineStr">
        <is>
          <t>GÄVLEBORGS LÄN</t>
        </is>
      </c>
      <c r="G732" t="inlineStr">
        <is>
          <t>HUDIKSVALL</t>
        </is>
      </c>
      <c r="I732" t="n">
        <v>2.6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13039-2023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45002</v>
      </c>
      <c r="E733" s="1" t="n">
        <v>46307</v>
      </c>
      <c r="F733" t="inlineStr">
        <is>
          <t>GÄVLEBORGS LÄN</t>
        </is>
      </c>
      <c r="G733" t="inlineStr">
        <is>
          <t>HUDIKSVALL</t>
        </is>
      </c>
      <c r="I733" t="n">
        <v>2.2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54515-2025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45965</v>
      </c>
      <c r="E734" s="1" t="n">
        <v>46307</v>
      </c>
      <c r="F734" t="inlineStr">
        <is>
          <t>GÄVLEBORGS LÄN</t>
        </is>
      </c>
      <c r="G734" t="inlineStr">
        <is>
          <t>HUDIKSVALL</t>
        </is>
      </c>
      <c r="I734" t="n">
        <v>1.4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3077-2025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45678</v>
      </c>
      <c r="E735" s="1" t="n">
        <v>46307</v>
      </c>
      <c r="F735" t="inlineStr">
        <is>
          <t>GÄVLEBORGS LÄN</t>
        </is>
      </c>
      <c r="G735" t="inlineStr">
        <is>
          <t>HUDIKSVALL</t>
        </is>
      </c>
      <c r="I735" t="n">
        <v>4.9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33197-2025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45840</v>
      </c>
      <c r="E736" s="1" t="n">
        <v>46307</v>
      </c>
      <c r="F736" t="inlineStr">
        <is>
          <t>GÄVLEBORGS LÄN</t>
        </is>
      </c>
      <c r="G736" t="inlineStr">
        <is>
          <t>HUDIKSVALL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33239-2025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45840</v>
      </c>
      <c r="E737" s="1" t="n">
        <v>46307</v>
      </c>
      <c r="F737" t="inlineStr">
        <is>
          <t>GÄVLEBORGS LÄN</t>
        </is>
      </c>
      <c r="G737" t="inlineStr">
        <is>
          <t>HUDIKSVALL</t>
        </is>
      </c>
      <c r="H737" t="inlineStr">
        <is>
          <t>Holmen skog AB</t>
        </is>
      </c>
      <c r="I737" t="n">
        <v>1.3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52986-2024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45611</v>
      </c>
      <c r="E738" s="1" t="n">
        <v>46307</v>
      </c>
      <c r="F738" t="inlineStr">
        <is>
          <t>GÄVLEBORGS LÄN</t>
        </is>
      </c>
      <c r="G738" t="inlineStr">
        <is>
          <t>HUDIKSVALL</t>
        </is>
      </c>
      <c r="I738" t="n">
        <v>3.8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34370-2022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44792</v>
      </c>
      <c r="E739" s="1" t="n">
        <v>46307</v>
      </c>
      <c r="F739" t="inlineStr">
        <is>
          <t>GÄVLEBORGS LÄN</t>
        </is>
      </c>
      <c r="G739" t="inlineStr">
        <is>
          <t>HUDIKSVALL</t>
        </is>
      </c>
      <c r="H739" t="inlineStr">
        <is>
          <t>Holmen skog AB</t>
        </is>
      </c>
      <c r="I739" t="n">
        <v>3.7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33254-2025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45840</v>
      </c>
      <c r="E740" s="1" t="n">
        <v>46307</v>
      </c>
      <c r="F740" t="inlineStr">
        <is>
          <t>GÄVLEBORGS LÄN</t>
        </is>
      </c>
      <c r="G740" t="inlineStr">
        <is>
          <t>HUDIKSVALL</t>
        </is>
      </c>
      <c r="H740" t="inlineStr">
        <is>
          <t>Holmen skog AB</t>
        </is>
      </c>
      <c r="I740" t="n">
        <v>1.3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33260-2025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45840</v>
      </c>
      <c r="E741" s="1" t="n">
        <v>46307</v>
      </c>
      <c r="F741" t="inlineStr">
        <is>
          <t>GÄVLEBORGS LÄN</t>
        </is>
      </c>
      <c r="G741" t="inlineStr">
        <is>
          <t>HUDIKSVALL</t>
        </is>
      </c>
      <c r="H741" t="inlineStr">
        <is>
          <t>Holmen skog AB</t>
        </is>
      </c>
      <c r="I741" t="n">
        <v>0.9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33166-2025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45840</v>
      </c>
      <c r="E742" s="1" t="n">
        <v>46307</v>
      </c>
      <c r="F742" t="inlineStr">
        <is>
          <t>GÄVLEBORGS LÄN</t>
        </is>
      </c>
      <c r="G742" t="inlineStr">
        <is>
          <t>HUDIKSVALL</t>
        </is>
      </c>
      <c r="H742" t="inlineStr">
        <is>
          <t>Holmen skog AB</t>
        </is>
      </c>
      <c r="I742" t="n">
        <v>6.2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36086-2024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45533</v>
      </c>
      <c r="E743" s="1" t="n">
        <v>46307</v>
      </c>
      <c r="F743" t="inlineStr">
        <is>
          <t>GÄVLEBORGS LÄN</t>
        </is>
      </c>
      <c r="G743" t="inlineStr">
        <is>
          <t>HUDIKSVALL</t>
        </is>
      </c>
      <c r="I743" t="n">
        <v>2.1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41555-2024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45560</v>
      </c>
      <c r="E744" s="1" t="n">
        <v>46307</v>
      </c>
      <c r="F744" t="inlineStr">
        <is>
          <t>GÄVLEBORGS LÄN</t>
        </is>
      </c>
      <c r="G744" t="inlineStr">
        <is>
          <t>HUDIKSVALL</t>
        </is>
      </c>
      <c r="I744" t="n">
        <v>1.2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55072-2025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45967</v>
      </c>
      <c r="E745" s="1" t="n">
        <v>46307</v>
      </c>
      <c r="F745" t="inlineStr">
        <is>
          <t>GÄVLEBORGS LÄN</t>
        </is>
      </c>
      <c r="G745" t="inlineStr">
        <is>
          <t>HUDIKSVALL</t>
        </is>
      </c>
      <c r="I745" t="n">
        <v>1.4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54864-2025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45966</v>
      </c>
      <c r="E746" s="1" t="n">
        <v>46307</v>
      </c>
      <c r="F746" t="inlineStr">
        <is>
          <t>GÄVLEBORGS LÄN</t>
        </is>
      </c>
      <c r="G746" t="inlineStr">
        <is>
          <t>HUDIKSVALL</t>
        </is>
      </c>
      <c r="H746" t="inlineStr">
        <is>
          <t>Holmen skog AB</t>
        </is>
      </c>
      <c r="I746" t="n">
        <v>3.9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33176-2025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45840</v>
      </c>
      <c r="E747" s="1" t="n">
        <v>46307</v>
      </c>
      <c r="F747" t="inlineStr">
        <is>
          <t>GÄVLEBORGS LÄN</t>
        </is>
      </c>
      <c r="G747" t="inlineStr">
        <is>
          <t>HUDIKSVALL</t>
        </is>
      </c>
      <c r="I747" t="n">
        <v>0.7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33714-2025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45841</v>
      </c>
      <c r="E748" s="1" t="n">
        <v>46307</v>
      </c>
      <c r="F748" t="inlineStr">
        <is>
          <t>GÄVLEBORGS LÄN</t>
        </is>
      </c>
      <c r="G748" t="inlineStr">
        <is>
          <t>HUDIKSVALL</t>
        </is>
      </c>
      <c r="H748" t="inlineStr">
        <is>
          <t>Holmen skog AB</t>
        </is>
      </c>
      <c r="I748" t="n">
        <v>3.8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17345-2024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45414</v>
      </c>
      <c r="E749" s="1" t="n">
        <v>46307</v>
      </c>
      <c r="F749" t="inlineStr">
        <is>
          <t>GÄVLEBORGS LÄN</t>
        </is>
      </c>
      <c r="G749" t="inlineStr">
        <is>
          <t>HUDIKSVALL</t>
        </is>
      </c>
      <c r="I749" t="n">
        <v>3.2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6083-2025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45697</v>
      </c>
      <c r="E750" s="1" t="n">
        <v>46307</v>
      </c>
      <c r="F750" t="inlineStr">
        <is>
          <t>GÄVLEBORGS LÄN</t>
        </is>
      </c>
      <c r="G750" t="inlineStr">
        <is>
          <t>HUDIKSVALL</t>
        </is>
      </c>
      <c r="I750" t="n">
        <v>0.9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33965-2025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45842</v>
      </c>
      <c r="E751" s="1" t="n">
        <v>46307</v>
      </c>
      <c r="F751" t="inlineStr">
        <is>
          <t>GÄVLEBORGS LÄN</t>
        </is>
      </c>
      <c r="G751" t="inlineStr">
        <is>
          <t>HUDIKSVALL</t>
        </is>
      </c>
      <c r="H751" t="inlineStr">
        <is>
          <t>Holmen skog AB</t>
        </is>
      </c>
      <c r="I751" t="n">
        <v>32.2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60872-2024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45644</v>
      </c>
      <c r="E752" s="1" t="n">
        <v>46307</v>
      </c>
      <c r="F752" t="inlineStr">
        <is>
          <t>GÄVLEBORGS LÄN</t>
        </is>
      </c>
      <c r="G752" t="inlineStr">
        <is>
          <t>HUDIKSVALL</t>
        </is>
      </c>
      <c r="I752" t="n">
        <v>0.9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43665-2023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45187</v>
      </c>
      <c r="E753" s="1" t="n">
        <v>46307</v>
      </c>
      <c r="F753" t="inlineStr">
        <is>
          <t>GÄVLEBORGS LÄN</t>
        </is>
      </c>
      <c r="G753" t="inlineStr">
        <is>
          <t>HUDIKSVALL</t>
        </is>
      </c>
      <c r="H753" t="inlineStr">
        <is>
          <t>Holmen skog AB</t>
        </is>
      </c>
      <c r="I753" t="n">
        <v>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6019-2025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45695</v>
      </c>
      <c r="E754" s="1" t="n">
        <v>46307</v>
      </c>
      <c r="F754" t="inlineStr">
        <is>
          <t>GÄVLEBORGS LÄN</t>
        </is>
      </c>
      <c r="G754" t="inlineStr">
        <is>
          <t>HUDIKSVALL</t>
        </is>
      </c>
      <c r="I754" t="n">
        <v>1.4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60938-2023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45261</v>
      </c>
      <c r="E755" s="1" t="n">
        <v>46307</v>
      </c>
      <c r="F755" t="inlineStr">
        <is>
          <t>GÄVLEBORGS LÄN</t>
        </is>
      </c>
      <c r="G755" t="inlineStr">
        <is>
          <t>HUDIKSVALL</t>
        </is>
      </c>
      <c r="H755" t="inlineStr">
        <is>
          <t>Holmen skog AB</t>
        </is>
      </c>
      <c r="I755" t="n">
        <v>2.2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53434-2023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45229</v>
      </c>
      <c r="E756" s="1" t="n">
        <v>46307</v>
      </c>
      <c r="F756" t="inlineStr">
        <is>
          <t>GÄVLEBORGS LÄN</t>
        </is>
      </c>
      <c r="G756" t="inlineStr">
        <is>
          <t>HUDIKSVALL</t>
        </is>
      </c>
      <c r="I756" t="n">
        <v>0.5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55395-2025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45971</v>
      </c>
      <c r="E757" s="1" t="n">
        <v>46307</v>
      </c>
      <c r="F757" t="inlineStr">
        <is>
          <t>GÄVLEBORGS LÄN</t>
        </is>
      </c>
      <c r="G757" t="inlineStr">
        <is>
          <t>HUDIKSVALL</t>
        </is>
      </c>
      <c r="I757" t="n">
        <v>1.4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55404-2025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45971</v>
      </c>
      <c r="E758" s="1" t="n">
        <v>46307</v>
      </c>
      <c r="F758" t="inlineStr">
        <is>
          <t>GÄVLEBORGS LÄN</t>
        </is>
      </c>
      <c r="G758" t="inlineStr">
        <is>
          <t>HUDIKSVALL</t>
        </is>
      </c>
      <c r="H758" t="inlineStr">
        <is>
          <t>Holmen skog AB</t>
        </is>
      </c>
      <c r="I758" t="n">
        <v>0.8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18991-2025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45764</v>
      </c>
      <c r="E759" s="1" t="n">
        <v>46307</v>
      </c>
      <c r="F759" t="inlineStr">
        <is>
          <t>GÄVLEBORGS LÄN</t>
        </is>
      </c>
      <c r="G759" t="inlineStr">
        <is>
          <t>HUDIKSVALL</t>
        </is>
      </c>
      <c r="H759" t="inlineStr">
        <is>
          <t>Holmen skog AB</t>
        </is>
      </c>
      <c r="I759" t="n">
        <v>6.8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55375-2025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45971</v>
      </c>
      <c r="E760" s="1" t="n">
        <v>46307</v>
      </c>
      <c r="F760" t="inlineStr">
        <is>
          <t>GÄVLEBORGS LÄN</t>
        </is>
      </c>
      <c r="G760" t="inlineStr">
        <is>
          <t>HUDIKSVALL</t>
        </is>
      </c>
      <c r="H760" t="inlineStr">
        <is>
          <t>Holmen skog AB</t>
        </is>
      </c>
      <c r="I760" t="n">
        <v>2.4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18997-2025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45764</v>
      </c>
      <c r="E761" s="1" t="n">
        <v>46307</v>
      </c>
      <c r="F761" t="inlineStr">
        <is>
          <t>GÄVLEBORGS LÄN</t>
        </is>
      </c>
      <c r="G761" t="inlineStr">
        <is>
          <t>HUDIKSVALL</t>
        </is>
      </c>
      <c r="H761" t="inlineStr">
        <is>
          <t>Holmen skog AB</t>
        </is>
      </c>
      <c r="I761" t="n">
        <v>3.5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16633-2024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45408</v>
      </c>
      <c r="E762" s="1" t="n">
        <v>46307</v>
      </c>
      <c r="F762" t="inlineStr">
        <is>
          <t>GÄVLEBORGS LÄN</t>
        </is>
      </c>
      <c r="G762" t="inlineStr">
        <is>
          <t>HUDIKSVALL</t>
        </is>
      </c>
      <c r="I762" t="n">
        <v>2.2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55330-2025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45971</v>
      </c>
      <c r="E763" s="1" t="n">
        <v>46307</v>
      </c>
      <c r="F763" t="inlineStr">
        <is>
          <t>GÄVLEBORGS LÄN</t>
        </is>
      </c>
      <c r="G763" t="inlineStr">
        <is>
          <t>HUDIKSVALL</t>
        </is>
      </c>
      <c r="H763" t="inlineStr">
        <is>
          <t>Holmen skog AB</t>
        </is>
      </c>
      <c r="I763" t="n">
        <v>2.9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55370-2025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45971</v>
      </c>
      <c r="E764" s="1" t="n">
        <v>46307</v>
      </c>
      <c r="F764" t="inlineStr">
        <is>
          <t>GÄVLEBORGS LÄN</t>
        </is>
      </c>
      <c r="G764" t="inlineStr">
        <is>
          <t>HUDIKSVALL</t>
        </is>
      </c>
      <c r="I764" t="n">
        <v>4.1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25349-2022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44732</v>
      </c>
      <c r="E765" s="1" t="n">
        <v>46307</v>
      </c>
      <c r="F765" t="inlineStr">
        <is>
          <t>GÄVLEBORGS LÄN</t>
        </is>
      </c>
      <c r="G765" t="inlineStr">
        <is>
          <t>HUDIKSVALL</t>
        </is>
      </c>
      <c r="I765" t="n">
        <v>5.4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2760-2024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45314</v>
      </c>
      <c r="E766" s="1" t="n">
        <v>46307</v>
      </c>
      <c r="F766" t="inlineStr">
        <is>
          <t>GÄVLEBORGS LÄN</t>
        </is>
      </c>
      <c r="G766" t="inlineStr">
        <is>
          <t>HUDIKSVALL</t>
        </is>
      </c>
      <c r="I766" t="n">
        <v>2.4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55340-2025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45971</v>
      </c>
      <c r="E767" s="1" t="n">
        <v>46307</v>
      </c>
      <c r="F767" t="inlineStr">
        <is>
          <t>GÄVLEBORGS LÄN</t>
        </is>
      </c>
      <c r="G767" t="inlineStr">
        <is>
          <t>HUDIKSVALL</t>
        </is>
      </c>
      <c r="H767" t="inlineStr">
        <is>
          <t>Holmen skog AB</t>
        </is>
      </c>
      <c r="I767" t="n">
        <v>6.5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44229-2024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45573</v>
      </c>
      <c r="E768" s="1" t="n">
        <v>46307</v>
      </c>
      <c r="F768" t="inlineStr">
        <is>
          <t>GÄVLEBORGS LÄN</t>
        </is>
      </c>
      <c r="G768" t="inlineStr">
        <is>
          <t>HUDIKSVALL</t>
        </is>
      </c>
      <c r="I768" t="n">
        <v>0.9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55481-2025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45971</v>
      </c>
      <c r="E769" s="1" t="n">
        <v>46307</v>
      </c>
      <c r="F769" t="inlineStr">
        <is>
          <t>GÄVLEBORGS LÄN</t>
        </is>
      </c>
      <c r="G769" t="inlineStr">
        <is>
          <t>HUDIKSVALL</t>
        </is>
      </c>
      <c r="H769" t="inlineStr">
        <is>
          <t>Holmen skog AB</t>
        </is>
      </c>
      <c r="I769" t="n">
        <v>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56244-2025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45974</v>
      </c>
      <c r="E770" s="1" t="n">
        <v>46307</v>
      </c>
      <c r="F770" t="inlineStr">
        <is>
          <t>GÄVLEBORGS LÄN</t>
        </is>
      </c>
      <c r="G770" t="inlineStr">
        <is>
          <t>HUDIKSVALL</t>
        </is>
      </c>
      <c r="H770" t="inlineStr">
        <is>
          <t>Holmen skog AB</t>
        </is>
      </c>
      <c r="I770" t="n">
        <v>5.5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56250-2025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45974</v>
      </c>
      <c r="E771" s="1" t="n">
        <v>46307</v>
      </c>
      <c r="F771" t="inlineStr">
        <is>
          <t>GÄVLEBORGS LÄN</t>
        </is>
      </c>
      <c r="G771" t="inlineStr">
        <is>
          <t>HUDIKSVALL</t>
        </is>
      </c>
      <c r="H771" t="inlineStr">
        <is>
          <t>Holmen skog AB</t>
        </is>
      </c>
      <c r="I771" t="n">
        <v>2.1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2707-2024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45314</v>
      </c>
      <c r="E772" s="1" t="n">
        <v>46307</v>
      </c>
      <c r="F772" t="inlineStr">
        <is>
          <t>GÄVLEBORGS LÄN</t>
        </is>
      </c>
      <c r="G772" t="inlineStr">
        <is>
          <t>HUDIKSVALL</t>
        </is>
      </c>
      <c r="I772" t="n">
        <v>1.3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1297-2024</t>
        </is>
      </c>
      <c r="B773" t="inlineStr">
        <is>
          <t>avverkningsanmälan</t>
        </is>
      </c>
      <c r="C773" t="inlineStr">
        <is>
          <t>Avverkning för annat ändamål</t>
        </is>
      </c>
      <c r="D773" s="1" t="n">
        <v>45303</v>
      </c>
      <c r="E773" s="1" t="n">
        <v>46307</v>
      </c>
      <c r="F773" t="inlineStr">
        <is>
          <t>GÄVLEBORGS LÄN</t>
        </is>
      </c>
      <c r="G773" t="inlineStr">
        <is>
          <t>HUDIKSVALL</t>
        </is>
      </c>
      <c r="H773" t="inlineStr">
        <is>
          <t>Holmen skog AB</t>
        </is>
      </c>
      <c r="I773" t="n">
        <v>0.3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11093-2025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45723</v>
      </c>
      <c r="E774" s="1" t="n">
        <v>46307</v>
      </c>
      <c r="F774" t="inlineStr">
        <is>
          <t>GÄVLEBORGS LÄN</t>
        </is>
      </c>
      <c r="G774" t="inlineStr">
        <is>
          <t>HUDIKSVALL</t>
        </is>
      </c>
      <c r="H774" t="inlineStr">
        <is>
          <t>Holmen skog AB</t>
        </is>
      </c>
      <c r="I774" t="n">
        <v>6.1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43929-2023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45187</v>
      </c>
      <c r="E775" s="1" t="n">
        <v>46307</v>
      </c>
      <c r="F775" t="inlineStr">
        <is>
          <t>GÄVLEBORGS LÄN</t>
        </is>
      </c>
      <c r="G775" t="inlineStr">
        <is>
          <t>HUDIKSVALL</t>
        </is>
      </c>
      <c r="I775" t="n">
        <v>0.8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21561-2022</t>
        </is>
      </c>
      <c r="B776" t="inlineStr">
        <is>
          <t>avverkningsanmälan</t>
        </is>
      </c>
      <c r="C776" t="inlineStr">
        <is>
          <t>Avverkning för annat ändamål</t>
        </is>
      </c>
      <c r="D776" s="1" t="n">
        <v>44706</v>
      </c>
      <c r="E776" s="1" t="n">
        <v>46307</v>
      </c>
      <c r="F776" t="inlineStr">
        <is>
          <t>GÄVLEBORGS LÄN</t>
        </is>
      </c>
      <c r="G776" t="inlineStr">
        <is>
          <t>HUDIKSVALL</t>
        </is>
      </c>
      <c r="I776" t="n">
        <v>1.5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64015-2023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45278</v>
      </c>
      <c r="E777" s="1" t="n">
        <v>46307</v>
      </c>
      <c r="F777" t="inlineStr">
        <is>
          <t>GÄVLEBORGS LÄN</t>
        </is>
      </c>
      <c r="G777" t="inlineStr">
        <is>
          <t>HUDIKSVALL</t>
        </is>
      </c>
      <c r="I777" t="n">
        <v>1.4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35679-2023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45147</v>
      </c>
      <c r="E778" s="1" t="n">
        <v>46307</v>
      </c>
      <c r="F778" t="inlineStr">
        <is>
          <t>GÄVLEBORGS LÄN</t>
        </is>
      </c>
      <c r="G778" t="inlineStr">
        <is>
          <t>HUDIKSVALL</t>
        </is>
      </c>
      <c r="H778" t="inlineStr">
        <is>
          <t>Holmen skog AB</t>
        </is>
      </c>
      <c r="I778" t="n">
        <v>6.5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62439-2023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45268</v>
      </c>
      <c r="E779" s="1" t="n">
        <v>46307</v>
      </c>
      <c r="F779" t="inlineStr">
        <is>
          <t>GÄVLEBORGS LÄN</t>
        </is>
      </c>
      <c r="G779" t="inlineStr">
        <is>
          <t>HUDIKSVALL</t>
        </is>
      </c>
      <c r="I779" t="n">
        <v>13.3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34625-2025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45847</v>
      </c>
      <c r="E780" s="1" t="n">
        <v>46307</v>
      </c>
      <c r="F780" t="inlineStr">
        <is>
          <t>GÄVLEBORGS LÄN</t>
        </is>
      </c>
      <c r="G780" t="inlineStr">
        <is>
          <t>HUDIKSVALL</t>
        </is>
      </c>
      <c r="H780" t="inlineStr">
        <is>
          <t>Holmen skog AB</t>
        </is>
      </c>
      <c r="I780" t="n">
        <v>15.7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10994-2025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45723</v>
      </c>
      <c r="E781" s="1" t="n">
        <v>46307</v>
      </c>
      <c r="F781" t="inlineStr">
        <is>
          <t>GÄVLEBORGS LÄN</t>
        </is>
      </c>
      <c r="G781" t="inlineStr">
        <is>
          <t>HUDIKSVALL</t>
        </is>
      </c>
      <c r="H781" t="inlineStr">
        <is>
          <t>Holmen skog AB</t>
        </is>
      </c>
      <c r="I781" t="n">
        <v>5.7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35100-2025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45852</v>
      </c>
      <c r="E782" s="1" t="n">
        <v>46307</v>
      </c>
      <c r="F782" t="inlineStr">
        <is>
          <t>GÄVLEBORGS LÄN</t>
        </is>
      </c>
      <c r="G782" t="inlineStr">
        <is>
          <t>HUDIKSVALL</t>
        </is>
      </c>
      <c r="H782" t="inlineStr">
        <is>
          <t>Holmen skog AB</t>
        </is>
      </c>
      <c r="I782" t="n">
        <v>2.8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19509-2025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45770</v>
      </c>
      <c r="E783" s="1" t="n">
        <v>46307</v>
      </c>
      <c r="F783" t="inlineStr">
        <is>
          <t>GÄVLEBORGS LÄN</t>
        </is>
      </c>
      <c r="G783" t="inlineStr">
        <is>
          <t>HUDIKSVALL</t>
        </is>
      </c>
      <c r="I783" t="n">
        <v>13.7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35268-2022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44798</v>
      </c>
      <c r="E784" s="1" t="n">
        <v>46307</v>
      </c>
      <c r="F784" t="inlineStr">
        <is>
          <t>GÄVLEBORGS LÄN</t>
        </is>
      </c>
      <c r="G784" t="inlineStr">
        <is>
          <t>HUDIKSVALL</t>
        </is>
      </c>
      <c r="H784" t="inlineStr">
        <is>
          <t>Holmen skog AB</t>
        </is>
      </c>
      <c r="I784" t="n">
        <v>1.8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56021-2025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45973</v>
      </c>
      <c r="E785" s="1" t="n">
        <v>46307</v>
      </c>
      <c r="F785" t="inlineStr">
        <is>
          <t>GÄVLEBORGS LÄN</t>
        </is>
      </c>
      <c r="G785" t="inlineStr">
        <is>
          <t>HUDIKSVALL</t>
        </is>
      </c>
      <c r="I785" t="n">
        <v>0.9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56151-2025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45974</v>
      </c>
      <c r="E786" s="1" t="n">
        <v>46307</v>
      </c>
      <c r="F786" t="inlineStr">
        <is>
          <t>GÄVLEBORGS LÄN</t>
        </is>
      </c>
      <c r="G786" t="inlineStr">
        <is>
          <t>HUDIKSVALL</t>
        </is>
      </c>
      <c r="I786" t="n">
        <v>3.9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34836-2025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45849</v>
      </c>
      <c r="E787" s="1" t="n">
        <v>46307</v>
      </c>
      <c r="F787" t="inlineStr">
        <is>
          <t>GÄVLEBORGS LÄN</t>
        </is>
      </c>
      <c r="G787" t="inlineStr">
        <is>
          <t>HUDIKSVALL</t>
        </is>
      </c>
      <c r="I787" t="n">
        <v>2.4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34837-2025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45849</v>
      </c>
      <c r="E788" s="1" t="n">
        <v>46307</v>
      </c>
      <c r="F788" t="inlineStr">
        <is>
          <t>GÄVLEBORGS LÄN</t>
        </is>
      </c>
      <c r="G788" t="inlineStr">
        <is>
          <t>HUDIKSVALL</t>
        </is>
      </c>
      <c r="I788" t="n">
        <v>0.8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35128-2025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45852</v>
      </c>
      <c r="E789" s="1" t="n">
        <v>46307</v>
      </c>
      <c r="F789" t="inlineStr">
        <is>
          <t>GÄVLEBORGS LÄN</t>
        </is>
      </c>
      <c r="G789" t="inlineStr">
        <is>
          <t>HUDIKSVALL</t>
        </is>
      </c>
      <c r="H789" t="inlineStr">
        <is>
          <t>Holmen skog AB</t>
        </is>
      </c>
      <c r="I789" t="n">
        <v>4.8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2645-2024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45314</v>
      </c>
      <c r="E790" s="1" t="n">
        <v>46307</v>
      </c>
      <c r="F790" t="inlineStr">
        <is>
          <t>GÄVLEBORGS LÄN</t>
        </is>
      </c>
      <c r="G790" t="inlineStr">
        <is>
          <t>HUDIKSVALL</t>
        </is>
      </c>
      <c r="I790" t="n">
        <v>1.4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2654-2024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45314</v>
      </c>
      <c r="E791" s="1" t="n">
        <v>46307</v>
      </c>
      <c r="F791" t="inlineStr">
        <is>
          <t>GÄVLEBORGS LÄN</t>
        </is>
      </c>
      <c r="G791" t="inlineStr">
        <is>
          <t>HUDIKSVALL</t>
        </is>
      </c>
      <c r="H791" t="inlineStr">
        <is>
          <t>Holmen skog AB</t>
        </is>
      </c>
      <c r="I791" t="n">
        <v>0.6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40136-2023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45169</v>
      </c>
      <c r="E792" s="1" t="n">
        <v>46307</v>
      </c>
      <c r="F792" t="inlineStr">
        <is>
          <t>GÄVLEBORGS LÄN</t>
        </is>
      </c>
      <c r="G792" t="inlineStr">
        <is>
          <t>HUDIKSVALL</t>
        </is>
      </c>
      <c r="H792" t="inlineStr">
        <is>
          <t>Holmen skog AB</t>
        </is>
      </c>
      <c r="I792" t="n">
        <v>6.3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56694-2025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45976</v>
      </c>
      <c r="E793" s="1" t="n">
        <v>46307</v>
      </c>
      <c r="F793" t="inlineStr">
        <is>
          <t>GÄVLEBORGS LÄN</t>
        </is>
      </c>
      <c r="G793" t="inlineStr">
        <is>
          <t>HUDIKSVALL</t>
        </is>
      </c>
      <c r="I793" t="n">
        <v>0.9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56637-2025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45975</v>
      </c>
      <c r="E794" s="1" t="n">
        <v>46307</v>
      </c>
      <c r="F794" t="inlineStr">
        <is>
          <t>GÄVLEBORGS LÄN</t>
        </is>
      </c>
      <c r="G794" t="inlineStr">
        <is>
          <t>HUDIKSVALL</t>
        </is>
      </c>
      <c r="I794" t="n">
        <v>1.9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11315-2025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45726</v>
      </c>
      <c r="E795" s="1" t="n">
        <v>46307</v>
      </c>
      <c r="F795" t="inlineStr">
        <is>
          <t>GÄVLEBORGS LÄN</t>
        </is>
      </c>
      <c r="G795" t="inlineStr">
        <is>
          <t>HUDIKSVALL</t>
        </is>
      </c>
      <c r="H795" t="inlineStr">
        <is>
          <t>Holmen skog AB</t>
        </is>
      </c>
      <c r="I795" t="n">
        <v>9.6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1111-2025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45666</v>
      </c>
      <c r="E796" s="1" t="n">
        <v>46307</v>
      </c>
      <c r="F796" t="inlineStr">
        <is>
          <t>GÄVLEBORGS LÄN</t>
        </is>
      </c>
      <c r="G796" t="inlineStr">
        <is>
          <t>HUDIKSVALL</t>
        </is>
      </c>
      <c r="I796" t="n">
        <v>3.2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4504-2024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45327</v>
      </c>
      <c r="E797" s="1" t="n">
        <v>46307</v>
      </c>
      <c r="F797" t="inlineStr">
        <is>
          <t>GÄVLEBORGS LÄN</t>
        </is>
      </c>
      <c r="G797" t="inlineStr">
        <is>
          <t>HUDIKSVALL</t>
        </is>
      </c>
      <c r="I797" t="n">
        <v>2.7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15985-2025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45749</v>
      </c>
      <c r="E798" s="1" t="n">
        <v>46307</v>
      </c>
      <c r="F798" t="inlineStr">
        <is>
          <t>GÄVLEBORGS LÄN</t>
        </is>
      </c>
      <c r="G798" t="inlineStr">
        <is>
          <t>HUDIKSVALL</t>
        </is>
      </c>
      <c r="I798" t="n">
        <v>1.1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59851-2023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45257</v>
      </c>
      <c r="E799" s="1" t="n">
        <v>46307</v>
      </c>
      <c r="F799" t="inlineStr">
        <is>
          <t>GÄVLEBORGS LÄN</t>
        </is>
      </c>
      <c r="G799" t="inlineStr">
        <is>
          <t>HUDIKSVALL</t>
        </is>
      </c>
      <c r="I799" t="n">
        <v>1.8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43469-2023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45184</v>
      </c>
      <c r="E800" s="1" t="n">
        <v>46307</v>
      </c>
      <c r="F800" t="inlineStr">
        <is>
          <t>GÄVLEBORGS LÄN</t>
        </is>
      </c>
      <c r="G800" t="inlineStr">
        <is>
          <t>HUDIKSVALL</t>
        </is>
      </c>
      <c r="I800" t="n">
        <v>1.7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56820-2025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45978</v>
      </c>
      <c r="E801" s="1" t="n">
        <v>46307</v>
      </c>
      <c r="F801" t="inlineStr">
        <is>
          <t>GÄVLEBORGS LÄN</t>
        </is>
      </c>
      <c r="G801" t="inlineStr">
        <is>
          <t>HUDIKSVALL</t>
        </is>
      </c>
      <c r="I801" t="n">
        <v>1.9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35825-2025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45861</v>
      </c>
      <c r="E802" s="1" t="n">
        <v>46307</v>
      </c>
      <c r="F802" t="inlineStr">
        <is>
          <t>GÄVLEBORGS LÄN</t>
        </is>
      </c>
      <c r="G802" t="inlineStr">
        <is>
          <t>HUDIKSVALL</t>
        </is>
      </c>
      <c r="I802" t="n">
        <v>5.9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35593-2023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45147</v>
      </c>
      <c r="E803" s="1" t="n">
        <v>46307</v>
      </c>
      <c r="F803" t="inlineStr">
        <is>
          <t>GÄVLEBORGS LÄN</t>
        </is>
      </c>
      <c r="G803" t="inlineStr">
        <is>
          <t>HUDIKSVALL</t>
        </is>
      </c>
      <c r="H803" t="inlineStr">
        <is>
          <t>Holmen skog AB</t>
        </is>
      </c>
      <c r="I803" t="n">
        <v>4.8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35831-2025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45861</v>
      </c>
      <c r="E804" s="1" t="n">
        <v>46307</v>
      </c>
      <c r="F804" t="inlineStr">
        <is>
          <t>GÄVLEBORGS LÄN</t>
        </is>
      </c>
      <c r="G804" t="inlineStr">
        <is>
          <t>HUDIKSVALL</t>
        </is>
      </c>
      <c r="I804" t="n">
        <v>1.3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24885-2023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45085</v>
      </c>
      <c r="E805" s="1" t="n">
        <v>46307</v>
      </c>
      <c r="F805" t="inlineStr">
        <is>
          <t>GÄVLEBORGS LÄN</t>
        </is>
      </c>
      <c r="G805" t="inlineStr">
        <is>
          <t>HUDIKSVALL</t>
        </is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55201-2023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45237</v>
      </c>
      <c r="E806" s="1" t="n">
        <v>46307</v>
      </c>
      <c r="F806" t="inlineStr">
        <is>
          <t>GÄVLEBORGS LÄN</t>
        </is>
      </c>
      <c r="G806" t="inlineStr">
        <is>
          <t>HUDIKSVALL</t>
        </is>
      </c>
      <c r="H806" t="inlineStr">
        <is>
          <t>Holmen skog AB</t>
        </is>
      </c>
      <c r="I806" t="n">
        <v>0.5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56663-2025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45975</v>
      </c>
      <c r="E807" s="1" t="n">
        <v>46307</v>
      </c>
      <c r="F807" t="inlineStr">
        <is>
          <t>GÄVLEBORGS LÄN</t>
        </is>
      </c>
      <c r="G807" t="inlineStr">
        <is>
          <t>HUDIKSVALL</t>
        </is>
      </c>
      <c r="I807" t="n">
        <v>1.4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56818-2025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45978</v>
      </c>
      <c r="E808" s="1" t="n">
        <v>46307</v>
      </c>
      <c r="F808" t="inlineStr">
        <is>
          <t>GÄVLEBORGS LÄN</t>
        </is>
      </c>
      <c r="G808" t="inlineStr">
        <is>
          <t>HUDIKSVALL</t>
        </is>
      </c>
      <c r="I808" t="n">
        <v>1.9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47530-2023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45203</v>
      </c>
      <c r="E809" s="1" t="n">
        <v>46307</v>
      </c>
      <c r="F809" t="inlineStr">
        <is>
          <t>GÄVLEBORGS LÄN</t>
        </is>
      </c>
      <c r="G809" t="inlineStr">
        <is>
          <t>HUDIKSVALL</t>
        </is>
      </c>
      <c r="H809" t="inlineStr">
        <is>
          <t>Holmen skog AB</t>
        </is>
      </c>
      <c r="I809" t="n">
        <v>37.8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56834-2025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45978</v>
      </c>
      <c r="E810" s="1" t="n">
        <v>46307</v>
      </c>
      <c r="F810" t="inlineStr">
        <is>
          <t>GÄVLEBORGS LÄN</t>
        </is>
      </c>
      <c r="G810" t="inlineStr">
        <is>
          <t>HUDIKSVALL</t>
        </is>
      </c>
      <c r="I810" t="n">
        <v>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36200-2025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45867</v>
      </c>
      <c r="E811" s="1" t="n">
        <v>46307</v>
      </c>
      <c r="F811" t="inlineStr">
        <is>
          <t>GÄVLEBORGS LÄN</t>
        </is>
      </c>
      <c r="G811" t="inlineStr">
        <is>
          <t>HUDIKSVALL</t>
        </is>
      </c>
      <c r="H811" t="inlineStr">
        <is>
          <t>Holmen skog AB</t>
        </is>
      </c>
      <c r="I811" t="n">
        <v>2.4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60899-2023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45261</v>
      </c>
      <c r="E812" s="1" t="n">
        <v>46307</v>
      </c>
      <c r="F812" t="inlineStr">
        <is>
          <t>GÄVLEBORGS LÄN</t>
        </is>
      </c>
      <c r="G812" t="inlineStr">
        <is>
          <t>HUDIKSVALL</t>
        </is>
      </c>
      <c r="H812" t="inlineStr">
        <is>
          <t>Holmen skog AB</t>
        </is>
      </c>
      <c r="I812" t="n">
        <v>3.4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60901-2023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45261</v>
      </c>
      <c r="E813" s="1" t="n">
        <v>46307</v>
      </c>
      <c r="F813" t="inlineStr">
        <is>
          <t>GÄVLEBORGS LÄN</t>
        </is>
      </c>
      <c r="G813" t="inlineStr">
        <is>
          <t>HUDIKSVALL</t>
        </is>
      </c>
      <c r="H813" t="inlineStr">
        <is>
          <t>Holmen skog AB</t>
        </is>
      </c>
      <c r="I813" t="n">
        <v>3.7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36194-2025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45867</v>
      </c>
      <c r="E814" s="1" t="n">
        <v>46307</v>
      </c>
      <c r="F814" t="inlineStr">
        <is>
          <t>GÄVLEBORGS LÄN</t>
        </is>
      </c>
      <c r="G814" t="inlineStr">
        <is>
          <t>HUDIKSVALL</t>
        </is>
      </c>
      <c r="H814" t="inlineStr">
        <is>
          <t>Holmen skog AB</t>
        </is>
      </c>
      <c r="I814" t="n">
        <v>3.6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56698-2025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45976</v>
      </c>
      <c r="E815" s="1" t="n">
        <v>46307</v>
      </c>
      <c r="F815" t="inlineStr">
        <is>
          <t>GÄVLEBORGS LÄN</t>
        </is>
      </c>
      <c r="G815" t="inlineStr">
        <is>
          <t>HUDIKSVALL</t>
        </is>
      </c>
      <c r="I815" t="n">
        <v>2.4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36418-2025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45868</v>
      </c>
      <c r="E816" s="1" t="n">
        <v>46307</v>
      </c>
      <c r="F816" t="inlineStr">
        <is>
          <t>GÄVLEBORGS LÄN</t>
        </is>
      </c>
      <c r="G816" t="inlineStr">
        <is>
          <t>HUDIKSVALL</t>
        </is>
      </c>
      <c r="I816" t="n">
        <v>6.1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36159-2025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45867</v>
      </c>
      <c r="E817" s="1" t="n">
        <v>46307</v>
      </c>
      <c r="F817" t="inlineStr">
        <is>
          <t>GÄVLEBORGS LÄN</t>
        </is>
      </c>
      <c r="G817" t="inlineStr">
        <is>
          <t>HUDIKSVALL</t>
        </is>
      </c>
      <c r="I817" t="n">
        <v>3.6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67082-2021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44522</v>
      </c>
      <c r="E818" s="1" t="n">
        <v>46307</v>
      </c>
      <c r="F818" t="inlineStr">
        <is>
          <t>GÄVLEBORGS LÄN</t>
        </is>
      </c>
      <c r="G818" t="inlineStr">
        <is>
          <t>HUDIKSVALL</t>
        </is>
      </c>
      <c r="I818" t="n">
        <v>2.5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56695-2025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45976</v>
      </c>
      <c r="E819" s="1" t="n">
        <v>46307</v>
      </c>
      <c r="F819" t="inlineStr">
        <is>
          <t>GÄVLEBORGS LÄN</t>
        </is>
      </c>
      <c r="G819" t="inlineStr">
        <is>
          <t>HUDIKSVALL</t>
        </is>
      </c>
      <c r="I819" t="n">
        <v>3.3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57210-2025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45979</v>
      </c>
      <c r="E820" s="1" t="n">
        <v>46307</v>
      </c>
      <c r="F820" t="inlineStr">
        <is>
          <t>GÄVLEBORGS LÄN</t>
        </is>
      </c>
      <c r="G820" t="inlineStr">
        <is>
          <t>HUDIKSVALL</t>
        </is>
      </c>
      <c r="I820" t="n">
        <v>3.1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57213-2025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45979</v>
      </c>
      <c r="E821" s="1" t="n">
        <v>46307</v>
      </c>
      <c r="F821" t="inlineStr">
        <is>
          <t>GÄVLEBORGS LÄN</t>
        </is>
      </c>
      <c r="G821" t="inlineStr">
        <is>
          <t>HUDIKSVALL</t>
        </is>
      </c>
      <c r="I821" t="n">
        <v>2.1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5942-2025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45695</v>
      </c>
      <c r="E822" s="1" t="n">
        <v>46307</v>
      </c>
      <c r="F822" t="inlineStr">
        <is>
          <t>GÄVLEBORGS LÄN</t>
        </is>
      </c>
      <c r="G822" t="inlineStr">
        <is>
          <t>HUDIKSVALL</t>
        </is>
      </c>
      <c r="I822" t="n">
        <v>1.1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7538-2025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45705</v>
      </c>
      <c r="E823" s="1" t="n">
        <v>46307</v>
      </c>
      <c r="F823" t="inlineStr">
        <is>
          <t>GÄVLEBORGS LÄN</t>
        </is>
      </c>
      <c r="G823" t="inlineStr">
        <is>
          <t>HUDIKSVALL</t>
        </is>
      </c>
      <c r="H823" t="inlineStr">
        <is>
          <t>Holmen skog AB</t>
        </is>
      </c>
      <c r="I823" t="n">
        <v>2.9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34427-2022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44792</v>
      </c>
      <c r="E824" s="1" t="n">
        <v>46307</v>
      </c>
      <c r="F824" t="inlineStr">
        <is>
          <t>GÄVLEBORGS LÄN</t>
        </is>
      </c>
      <c r="G824" t="inlineStr">
        <is>
          <t>HUDIKSVALL</t>
        </is>
      </c>
      <c r="H824" t="inlineStr">
        <is>
          <t>Holmen skog AB</t>
        </is>
      </c>
      <c r="I824" t="n">
        <v>0.9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44084-2023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45188</v>
      </c>
      <c r="E825" s="1" t="n">
        <v>46307</v>
      </c>
      <c r="F825" t="inlineStr">
        <is>
          <t>GÄVLEBORGS LÄN</t>
        </is>
      </c>
      <c r="G825" t="inlineStr">
        <is>
          <t>HUDIKSVALL</t>
        </is>
      </c>
      <c r="H825" t="inlineStr">
        <is>
          <t>Holmen skog AB</t>
        </is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57191-2025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45979</v>
      </c>
      <c r="E826" s="1" t="n">
        <v>46307</v>
      </c>
      <c r="F826" t="inlineStr">
        <is>
          <t>GÄVLEBORGS LÄN</t>
        </is>
      </c>
      <c r="G826" t="inlineStr">
        <is>
          <t>HUDIKSVALL</t>
        </is>
      </c>
      <c r="I826" t="n">
        <v>1.5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2889-2025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45677</v>
      </c>
      <c r="E827" s="1" t="n">
        <v>46307</v>
      </c>
      <c r="F827" t="inlineStr">
        <is>
          <t>GÄVLEBORGS LÄN</t>
        </is>
      </c>
      <c r="G827" t="inlineStr">
        <is>
          <t>HUDIKSVALL</t>
        </is>
      </c>
      <c r="I827" t="n">
        <v>3.2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8732-2023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44978</v>
      </c>
      <c r="E828" s="1" t="n">
        <v>46307</v>
      </c>
      <c r="F828" t="inlineStr">
        <is>
          <t>GÄVLEBORGS LÄN</t>
        </is>
      </c>
      <c r="G828" t="inlineStr">
        <is>
          <t>HUDIKSVALL</t>
        </is>
      </c>
      <c r="I828" t="n">
        <v>2.7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21772-2023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45065</v>
      </c>
      <c r="E829" s="1" t="n">
        <v>46307</v>
      </c>
      <c r="F829" t="inlineStr">
        <is>
          <t>GÄVLEBORGS LÄN</t>
        </is>
      </c>
      <c r="G829" t="inlineStr">
        <is>
          <t>HUDIKSVALL</t>
        </is>
      </c>
      <c r="I829" t="n">
        <v>1.2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35964-2024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45533</v>
      </c>
      <c r="E830" s="1" t="n">
        <v>46307</v>
      </c>
      <c r="F830" t="inlineStr">
        <is>
          <t>GÄVLEBORGS LÄN</t>
        </is>
      </c>
      <c r="G830" t="inlineStr">
        <is>
          <t>HUDIKSVALL</t>
        </is>
      </c>
      <c r="I830" t="n">
        <v>2.1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35985-2024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45533</v>
      </c>
      <c r="E831" s="1" t="n">
        <v>46307</v>
      </c>
      <c r="F831" t="inlineStr">
        <is>
          <t>GÄVLEBORGS LÄN</t>
        </is>
      </c>
      <c r="G831" t="inlineStr">
        <is>
          <t>HUDIKSVALL</t>
        </is>
      </c>
      <c r="I831" t="n">
        <v>0.6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36647-2025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45872</v>
      </c>
      <c r="E832" s="1" t="n">
        <v>46307</v>
      </c>
      <c r="F832" t="inlineStr">
        <is>
          <t>GÄVLEBORGS LÄN</t>
        </is>
      </c>
      <c r="G832" t="inlineStr">
        <is>
          <t>HUDIKSVALL</t>
        </is>
      </c>
      <c r="H832" t="inlineStr">
        <is>
          <t>Holmen skog AB</t>
        </is>
      </c>
      <c r="I832" t="n">
        <v>8.199999999999999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8522-2024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45355</v>
      </c>
      <c r="E833" s="1" t="n">
        <v>46307</v>
      </c>
      <c r="F833" t="inlineStr">
        <is>
          <t>GÄVLEBORGS LÄN</t>
        </is>
      </c>
      <c r="G833" t="inlineStr">
        <is>
          <t>HUDIKSVALL</t>
        </is>
      </c>
      <c r="I833" t="n">
        <v>2.3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10108-2024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45364</v>
      </c>
      <c r="E834" s="1" t="n">
        <v>46307</v>
      </c>
      <c r="F834" t="inlineStr">
        <is>
          <t>GÄVLEBORGS LÄN</t>
        </is>
      </c>
      <c r="G834" t="inlineStr">
        <is>
          <t>HUDIKSVALL</t>
        </is>
      </c>
      <c r="H834" t="inlineStr">
        <is>
          <t>Holmen skog AB</t>
        </is>
      </c>
      <c r="I834" t="n">
        <v>23.1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35302-2024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45530</v>
      </c>
      <c r="E835" s="1" t="n">
        <v>46307</v>
      </c>
      <c r="F835" t="inlineStr">
        <is>
          <t>GÄVLEBORGS LÄN</t>
        </is>
      </c>
      <c r="G835" t="inlineStr">
        <is>
          <t>HUDIKSVALL</t>
        </is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17206-2025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45756</v>
      </c>
      <c r="E836" s="1" t="n">
        <v>46307</v>
      </c>
      <c r="F836" t="inlineStr">
        <is>
          <t>GÄVLEBORGS LÄN</t>
        </is>
      </c>
      <c r="G836" t="inlineStr">
        <is>
          <t>HUDIKSVALL</t>
        </is>
      </c>
      <c r="H836" t="inlineStr">
        <is>
          <t>Holmen skog AB</t>
        </is>
      </c>
      <c r="I836" t="n">
        <v>15.7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2906-2025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45677</v>
      </c>
      <c r="E837" s="1" t="n">
        <v>46307</v>
      </c>
      <c r="F837" t="inlineStr">
        <is>
          <t>GÄVLEBORGS LÄN</t>
        </is>
      </c>
      <c r="G837" t="inlineStr">
        <is>
          <t>HUDIKSVALL</t>
        </is>
      </c>
      <c r="H837" t="inlineStr">
        <is>
          <t>Holmen skog AB</t>
        </is>
      </c>
      <c r="I837" t="n">
        <v>22.5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19156-2023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45048</v>
      </c>
      <c r="E838" s="1" t="n">
        <v>46307</v>
      </c>
      <c r="F838" t="inlineStr">
        <is>
          <t>GÄVLEBORGS LÄN</t>
        </is>
      </c>
      <c r="G838" t="inlineStr">
        <is>
          <t>HUDIKSVALL</t>
        </is>
      </c>
      <c r="I838" t="n">
        <v>3.7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57322-2025</t>
        </is>
      </c>
      <c r="B839" t="inlineStr">
        <is>
          <t>avverkningsanmälan</t>
        </is>
      </c>
      <c r="C839" t="inlineStr">
        <is>
          <t>Avverkning för annat ändamål</t>
        </is>
      </c>
      <c r="D839" s="1" t="n">
        <v>45980</v>
      </c>
      <c r="E839" s="1" t="n">
        <v>46307</v>
      </c>
      <c r="F839" t="inlineStr">
        <is>
          <t>GÄVLEBORGS LÄN</t>
        </is>
      </c>
      <c r="G839" t="inlineStr">
        <is>
          <t>HUDIKSVALL</t>
        </is>
      </c>
      <c r="I839" t="n">
        <v>0.2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62628-2023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45271</v>
      </c>
      <c r="E840" s="1" t="n">
        <v>46307</v>
      </c>
      <c r="F840" t="inlineStr">
        <is>
          <t>GÄVLEBORGS LÄN</t>
        </is>
      </c>
      <c r="G840" t="inlineStr">
        <is>
          <t>HUDIKSVALL</t>
        </is>
      </c>
      <c r="I840" t="n">
        <v>0.5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30116-2024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45489</v>
      </c>
      <c r="E841" s="1" t="n">
        <v>46307</v>
      </c>
      <c r="F841" t="inlineStr">
        <is>
          <t>GÄVLEBORGS LÄN</t>
        </is>
      </c>
      <c r="G841" t="inlineStr">
        <is>
          <t>HUDIKSVALL</t>
        </is>
      </c>
      <c r="H841" t="inlineStr">
        <is>
          <t>Holmen skog AB</t>
        </is>
      </c>
      <c r="I841" t="n">
        <v>0.6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37213-2025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45875</v>
      </c>
      <c r="E842" s="1" t="n">
        <v>46307</v>
      </c>
      <c r="F842" t="inlineStr">
        <is>
          <t>GÄVLEBORGS LÄN</t>
        </is>
      </c>
      <c r="G842" t="inlineStr">
        <is>
          <t>HUDIKSVALL</t>
        </is>
      </c>
      <c r="H842" t="inlineStr">
        <is>
          <t>Holmen skog AB</t>
        </is>
      </c>
      <c r="I842" t="n">
        <v>7.8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19894-2025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45771</v>
      </c>
      <c r="E843" s="1" t="n">
        <v>46307</v>
      </c>
      <c r="F843" t="inlineStr">
        <is>
          <t>GÄVLEBORGS LÄN</t>
        </is>
      </c>
      <c r="G843" t="inlineStr">
        <is>
          <t>HUDIKSVALL</t>
        </is>
      </c>
      <c r="I843" t="n">
        <v>1.4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37082-2025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45875</v>
      </c>
      <c r="E844" s="1" t="n">
        <v>46307</v>
      </c>
      <c r="F844" t="inlineStr">
        <is>
          <t>GÄVLEBORGS LÄN</t>
        </is>
      </c>
      <c r="G844" t="inlineStr">
        <is>
          <t>HUDIKSVALL</t>
        </is>
      </c>
      <c r="H844" t="inlineStr">
        <is>
          <t>Holmen skog AB</t>
        </is>
      </c>
      <c r="I844" t="n">
        <v>10.8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41735-2023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45176</v>
      </c>
      <c r="E845" s="1" t="n">
        <v>46307</v>
      </c>
      <c r="F845" t="inlineStr">
        <is>
          <t>GÄVLEBORGS LÄN</t>
        </is>
      </c>
      <c r="G845" t="inlineStr">
        <is>
          <t>HUDIKSVALL</t>
        </is>
      </c>
      <c r="H845" t="inlineStr">
        <is>
          <t>Holmen skog AB</t>
        </is>
      </c>
      <c r="I845" t="n">
        <v>0.8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41745-2023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45176</v>
      </c>
      <c r="E846" s="1" t="n">
        <v>46307</v>
      </c>
      <c r="F846" t="inlineStr">
        <is>
          <t>GÄVLEBORGS LÄN</t>
        </is>
      </c>
      <c r="G846" t="inlineStr">
        <is>
          <t>HUDIKSVALL</t>
        </is>
      </c>
      <c r="H846" t="inlineStr">
        <is>
          <t>Holmen skog AB</t>
        </is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37208-2025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45875</v>
      </c>
      <c r="E847" s="1" t="n">
        <v>46307</v>
      </c>
      <c r="F847" t="inlineStr">
        <is>
          <t>GÄVLEBORGS LÄN</t>
        </is>
      </c>
      <c r="G847" t="inlineStr">
        <is>
          <t>HUDIKSVALL</t>
        </is>
      </c>
      <c r="I847" t="n">
        <v>1.2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9462-2025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45715</v>
      </c>
      <c r="E848" s="1" t="n">
        <v>46307</v>
      </c>
      <c r="F848" t="inlineStr">
        <is>
          <t>GÄVLEBORGS LÄN</t>
        </is>
      </c>
      <c r="G848" t="inlineStr">
        <is>
          <t>HUDIKSVALL</t>
        </is>
      </c>
      <c r="H848" t="inlineStr">
        <is>
          <t>Holmen skog AB</t>
        </is>
      </c>
      <c r="I848" t="n">
        <v>24.3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5861-2025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45695</v>
      </c>
      <c r="E849" s="1" t="n">
        <v>46307</v>
      </c>
      <c r="F849" t="inlineStr">
        <is>
          <t>GÄVLEBORGS LÄN</t>
        </is>
      </c>
      <c r="G849" t="inlineStr">
        <is>
          <t>HUDIKSVALL</t>
        </is>
      </c>
      <c r="H849" t="inlineStr">
        <is>
          <t>Holmen skog AB</t>
        </is>
      </c>
      <c r="I849" t="n">
        <v>3.2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37083-2025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45875</v>
      </c>
      <c r="E850" s="1" t="n">
        <v>46307</v>
      </c>
      <c r="F850" t="inlineStr">
        <is>
          <t>GÄVLEBORGS LÄN</t>
        </is>
      </c>
      <c r="G850" t="inlineStr">
        <is>
          <t>HUDIKSVALL</t>
        </is>
      </c>
      <c r="H850" t="inlineStr">
        <is>
          <t>Holmen skog AB</t>
        </is>
      </c>
      <c r="I850" t="n">
        <v>6.4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37355-2025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45876</v>
      </c>
      <c r="E851" s="1" t="n">
        <v>46307</v>
      </c>
      <c r="F851" t="inlineStr">
        <is>
          <t>GÄVLEBORGS LÄN</t>
        </is>
      </c>
      <c r="G851" t="inlineStr">
        <is>
          <t>HUDIKSVALL</t>
        </is>
      </c>
      <c r="H851" t="inlineStr">
        <is>
          <t>Holmen skog AB</t>
        </is>
      </c>
      <c r="I851" t="n">
        <v>14.6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37645-2025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45880</v>
      </c>
      <c r="E852" s="1" t="n">
        <v>46307</v>
      </c>
      <c r="F852" t="inlineStr">
        <is>
          <t>GÄVLEBORGS LÄN</t>
        </is>
      </c>
      <c r="G852" t="inlineStr">
        <is>
          <t>HUDIKSVALL</t>
        </is>
      </c>
      <c r="I852" t="n">
        <v>3.4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61234-2023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45264</v>
      </c>
      <c r="E853" s="1" t="n">
        <v>46307</v>
      </c>
      <c r="F853" t="inlineStr">
        <is>
          <t>GÄVLEBORGS LÄN</t>
        </is>
      </c>
      <c r="G853" t="inlineStr">
        <is>
          <t>HUDIKSVALL</t>
        </is>
      </c>
      <c r="I853" t="n">
        <v>0.9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37725-2025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45880</v>
      </c>
      <c r="E854" s="1" t="n">
        <v>46307</v>
      </c>
      <c r="F854" t="inlineStr">
        <is>
          <t>GÄVLEBORGS LÄN</t>
        </is>
      </c>
      <c r="G854" t="inlineStr">
        <is>
          <t>HUDIKSVALL</t>
        </is>
      </c>
      <c r="I854" t="n">
        <v>2.3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37701-2025</t>
        </is>
      </c>
      <c r="B855" t="inlineStr">
        <is>
          <t>avverkningsanmälan</t>
        </is>
      </c>
      <c r="C855" t="inlineStr">
        <is>
          <t>Avverkning för annat ändamål</t>
        </is>
      </c>
      <c r="D855" s="1" t="n">
        <v>45880</v>
      </c>
      <c r="E855" s="1" t="n">
        <v>46307</v>
      </c>
      <c r="F855" t="inlineStr">
        <is>
          <t>GÄVLEBORGS LÄN</t>
        </is>
      </c>
      <c r="G855" t="inlineStr">
        <is>
          <t>HUDIKSVALL</t>
        </is>
      </c>
      <c r="I855" t="n">
        <v>0.4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68342-2021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44528</v>
      </c>
      <c r="E856" s="1" t="n">
        <v>46307</v>
      </c>
      <c r="F856" t="inlineStr">
        <is>
          <t>GÄVLEBORGS LÄN</t>
        </is>
      </c>
      <c r="G856" t="inlineStr">
        <is>
          <t>HUDIKSVALL</t>
        </is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68659-2021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44529</v>
      </c>
      <c r="E857" s="1" t="n">
        <v>46307</v>
      </c>
      <c r="F857" t="inlineStr">
        <is>
          <t>GÄVLEBORGS LÄN</t>
        </is>
      </c>
      <c r="G857" t="inlineStr">
        <is>
          <t>HUDIKSVALL</t>
        </is>
      </c>
      <c r="H857" t="inlineStr">
        <is>
          <t>Holmen skog AB</t>
        </is>
      </c>
      <c r="I857" t="n">
        <v>1.2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2754-2025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45677</v>
      </c>
      <c r="E858" s="1" t="n">
        <v>46307</v>
      </c>
      <c r="F858" t="inlineStr">
        <is>
          <t>GÄVLEBORGS LÄN</t>
        </is>
      </c>
      <c r="G858" t="inlineStr">
        <is>
          <t>HUDIKSVALL</t>
        </is>
      </c>
      <c r="I858" t="n">
        <v>2.1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70258-2021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44536</v>
      </c>
      <c r="E859" s="1" t="n">
        <v>46307</v>
      </c>
      <c r="F859" t="inlineStr">
        <is>
          <t>GÄVLEBORGS LÄN</t>
        </is>
      </c>
      <c r="G859" t="inlineStr">
        <is>
          <t>HUDIKSVALL</t>
        </is>
      </c>
      <c r="I859" t="n">
        <v>1.7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57999-2025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45982</v>
      </c>
      <c r="E860" s="1" t="n">
        <v>46307</v>
      </c>
      <c r="F860" t="inlineStr">
        <is>
          <t>GÄVLEBORGS LÄN</t>
        </is>
      </c>
      <c r="G860" t="inlineStr">
        <is>
          <t>HUDIKSVALL</t>
        </is>
      </c>
      <c r="I860" t="n">
        <v>0.9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32201-2022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44781</v>
      </c>
      <c r="E861" s="1" t="n">
        <v>46307</v>
      </c>
      <c r="F861" t="inlineStr">
        <is>
          <t>GÄVLEBORGS LÄN</t>
        </is>
      </c>
      <c r="G861" t="inlineStr">
        <is>
          <t>HUDIKSVALL</t>
        </is>
      </c>
      <c r="I861" t="n">
        <v>1.4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37616-2025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45880</v>
      </c>
      <c r="E862" s="1" t="n">
        <v>46307</v>
      </c>
      <c r="F862" t="inlineStr">
        <is>
          <t>GÄVLEBORGS LÄN</t>
        </is>
      </c>
      <c r="G862" t="inlineStr">
        <is>
          <t>HUDIKSVALL</t>
        </is>
      </c>
      <c r="I862" t="n">
        <v>6.9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63643-2023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45275</v>
      </c>
      <c r="E863" s="1" t="n">
        <v>46307</v>
      </c>
      <c r="F863" t="inlineStr">
        <is>
          <t>GÄVLEBORGS LÄN</t>
        </is>
      </c>
      <c r="G863" t="inlineStr">
        <is>
          <t>HUDIKSVALL</t>
        </is>
      </c>
      <c r="I863" t="n">
        <v>2.3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15964-2025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45749</v>
      </c>
      <c r="E864" s="1" t="n">
        <v>46307</v>
      </c>
      <c r="F864" t="inlineStr">
        <is>
          <t>GÄVLEBORGS LÄN</t>
        </is>
      </c>
      <c r="G864" t="inlineStr">
        <is>
          <t>HUDIKSVALL</t>
        </is>
      </c>
      <c r="I864" t="n">
        <v>3.5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37804-2025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45881</v>
      </c>
      <c r="E865" s="1" t="n">
        <v>46307</v>
      </c>
      <c r="F865" t="inlineStr">
        <is>
          <t>GÄVLEBORGS LÄN</t>
        </is>
      </c>
      <c r="G865" t="inlineStr">
        <is>
          <t>HUDIKSVALL</t>
        </is>
      </c>
      <c r="H865" t="inlineStr">
        <is>
          <t>Holmen skog AB</t>
        </is>
      </c>
      <c r="I865" t="n">
        <v>25.3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60356-2024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45643</v>
      </c>
      <c r="E866" s="1" t="n">
        <v>46307</v>
      </c>
      <c r="F866" t="inlineStr">
        <is>
          <t>GÄVLEBORGS LÄN</t>
        </is>
      </c>
      <c r="G866" t="inlineStr">
        <is>
          <t>HUDIKSVALL</t>
        </is>
      </c>
      <c r="I866" t="n">
        <v>1.5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14771-2025</t>
        </is>
      </c>
      <c r="B867" t="inlineStr">
        <is>
          <t>avverkningsanmälan</t>
        </is>
      </c>
      <c r="C867" t="inlineStr">
        <is>
          <t>Avverkning för annat ändamål</t>
        </is>
      </c>
      <c r="D867" s="1" t="n">
        <v>45742</v>
      </c>
      <c r="E867" s="1" t="n">
        <v>46307</v>
      </c>
      <c r="F867" t="inlineStr">
        <is>
          <t>GÄVLEBORGS LÄN</t>
        </is>
      </c>
      <c r="G867" t="inlineStr">
        <is>
          <t>HUDIKSVALL</t>
        </is>
      </c>
      <c r="I867" t="n">
        <v>0.6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38077-2025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45882</v>
      </c>
      <c r="E868" s="1" t="n">
        <v>46307</v>
      </c>
      <c r="F868" t="inlineStr">
        <is>
          <t>GÄVLEBORGS LÄN</t>
        </is>
      </c>
      <c r="G868" t="inlineStr">
        <is>
          <t>HUDIKSVALL</t>
        </is>
      </c>
      <c r="I868" t="n">
        <v>4.5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23187-2023</t>
        </is>
      </c>
      <c r="B869" t="inlineStr">
        <is>
          <t>avverkningsanmälan</t>
        </is>
      </c>
      <c r="C869" t="inlineStr">
        <is>
          <t>Avverkning för annat ändamål</t>
        </is>
      </c>
      <c r="D869" s="1" t="n">
        <v>45075</v>
      </c>
      <c r="E869" s="1" t="n">
        <v>46307</v>
      </c>
      <c r="F869" t="inlineStr">
        <is>
          <t>GÄVLEBORGS LÄN</t>
        </is>
      </c>
      <c r="G869" t="inlineStr">
        <is>
          <t>HUDIKSVALL</t>
        </is>
      </c>
      <c r="H869" t="inlineStr">
        <is>
          <t>Kommuner</t>
        </is>
      </c>
      <c r="I869" t="n">
        <v>0.3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13458-2026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46094</v>
      </c>
      <c r="E870" s="1" t="n">
        <v>46307</v>
      </c>
      <c r="F870" t="inlineStr">
        <is>
          <t>GÄVLEBORGS LÄN</t>
        </is>
      </c>
      <c r="G870" t="inlineStr">
        <is>
          <t>HUDIKSVALL</t>
        </is>
      </c>
      <c r="H870" t="inlineStr">
        <is>
          <t>Holmen skog AB</t>
        </is>
      </c>
      <c r="I870" t="n">
        <v>7.9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35026-2024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45527</v>
      </c>
      <c r="E871" s="1" t="n">
        <v>46307</v>
      </c>
      <c r="F871" t="inlineStr">
        <is>
          <t>GÄVLEBORGS LÄN</t>
        </is>
      </c>
      <c r="G871" t="inlineStr">
        <is>
          <t>HUDIKSVALL</t>
        </is>
      </c>
      <c r="H871" t="inlineStr">
        <is>
          <t>Holmen skog AB</t>
        </is>
      </c>
      <c r="I871" t="n">
        <v>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14059-2025</t>
        </is>
      </c>
      <c r="B872" t="inlineStr">
        <is>
          <t>avverkningsanmälan</t>
        </is>
      </c>
      <c r="C872" t="inlineStr">
        <is>
          <t>Avverkning för annat ändamål</t>
        </is>
      </c>
      <c r="D872" s="1" t="n">
        <v>45740</v>
      </c>
      <c r="E872" s="1" t="n">
        <v>46307</v>
      </c>
      <c r="F872" t="inlineStr">
        <is>
          <t>GÄVLEBORGS LÄN</t>
        </is>
      </c>
      <c r="G872" t="inlineStr">
        <is>
          <t>HUDIKSVALL</t>
        </is>
      </c>
      <c r="I872" t="n">
        <v>0.7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7532-2025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45705</v>
      </c>
      <c r="E873" s="1" t="n">
        <v>46307</v>
      </c>
      <c r="F873" t="inlineStr">
        <is>
          <t>GÄVLEBORGS LÄN</t>
        </is>
      </c>
      <c r="G873" t="inlineStr">
        <is>
          <t>HUDIKSVALL</t>
        </is>
      </c>
      <c r="H873" t="inlineStr">
        <is>
          <t>Holmen skog AB</t>
        </is>
      </c>
      <c r="I873" t="n">
        <v>4.8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53967-2025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45961</v>
      </c>
      <c r="E874" s="1" t="n">
        <v>46307</v>
      </c>
      <c r="F874" t="inlineStr">
        <is>
          <t>GÄVLEBORGS LÄN</t>
        </is>
      </c>
      <c r="G874" t="inlineStr">
        <is>
          <t>HUDIKSVALL</t>
        </is>
      </c>
      <c r="H874" t="inlineStr">
        <is>
          <t>Naturvårdsverket</t>
        </is>
      </c>
      <c r="I874" t="n">
        <v>10.9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58035-2025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45982</v>
      </c>
      <c r="E875" s="1" t="n">
        <v>46307</v>
      </c>
      <c r="F875" t="inlineStr">
        <is>
          <t>GÄVLEBORGS LÄN</t>
        </is>
      </c>
      <c r="G875" t="inlineStr">
        <is>
          <t>HUDIKSVALL</t>
        </is>
      </c>
      <c r="I875" t="n">
        <v>1.5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58038-2025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45982</v>
      </c>
      <c r="E876" s="1" t="n">
        <v>46307</v>
      </c>
      <c r="F876" t="inlineStr">
        <is>
          <t>GÄVLEBORGS LÄN</t>
        </is>
      </c>
      <c r="G876" t="inlineStr">
        <is>
          <t>HUDIKSVALL</t>
        </is>
      </c>
      <c r="I876" t="n">
        <v>0.8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63414-2023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45274</v>
      </c>
      <c r="E877" s="1" t="n">
        <v>46307</v>
      </c>
      <c r="F877" t="inlineStr">
        <is>
          <t>GÄVLEBORGS LÄN</t>
        </is>
      </c>
      <c r="G877" t="inlineStr">
        <is>
          <t>HUDIKSVALL</t>
        </is>
      </c>
      <c r="I877" t="n">
        <v>9.1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13981-2026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46098</v>
      </c>
      <c r="E878" s="1" t="n">
        <v>46307</v>
      </c>
      <c r="F878" t="inlineStr">
        <is>
          <t>GÄVLEBORGS LÄN</t>
        </is>
      </c>
      <c r="G878" t="inlineStr">
        <is>
          <t>HUDIKSVALL</t>
        </is>
      </c>
      <c r="I878" t="n">
        <v>0.5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53966-2025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45961</v>
      </c>
      <c r="E879" s="1" t="n">
        <v>46307</v>
      </c>
      <c r="F879" t="inlineStr">
        <is>
          <t>GÄVLEBORGS LÄN</t>
        </is>
      </c>
      <c r="G879" t="inlineStr">
        <is>
          <t>HUDIKSVALL</t>
        </is>
      </c>
      <c r="H879" t="inlineStr">
        <is>
          <t>Naturvårdsverket</t>
        </is>
      </c>
      <c r="I879" t="n">
        <v>17.5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58562-2025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45986</v>
      </c>
      <c r="E880" s="1" t="n">
        <v>46307</v>
      </c>
      <c r="F880" t="inlineStr">
        <is>
          <t>GÄVLEBORGS LÄN</t>
        </is>
      </c>
      <c r="G880" t="inlineStr">
        <is>
          <t>HUDIKSVALL</t>
        </is>
      </c>
      <c r="I880" t="n">
        <v>0.7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47059-2024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45586</v>
      </c>
      <c r="E881" s="1" t="n">
        <v>46307</v>
      </c>
      <c r="F881" t="inlineStr">
        <is>
          <t>GÄVLEBORGS LÄN</t>
        </is>
      </c>
      <c r="G881" t="inlineStr">
        <is>
          <t>HUDIKSVALL</t>
        </is>
      </c>
      <c r="I881" t="n">
        <v>18.2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33968-2024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45523</v>
      </c>
      <c r="E882" s="1" t="n">
        <v>46307</v>
      </c>
      <c r="F882" t="inlineStr">
        <is>
          <t>GÄVLEBORGS LÄN</t>
        </is>
      </c>
      <c r="G882" t="inlineStr">
        <is>
          <t>HUDIKSVALL</t>
        </is>
      </c>
      <c r="I882" t="n">
        <v>1.4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13980-2026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46098</v>
      </c>
      <c r="E883" s="1" t="n">
        <v>46307</v>
      </c>
      <c r="F883" t="inlineStr">
        <is>
          <t>GÄVLEBORGS LÄN</t>
        </is>
      </c>
      <c r="G883" t="inlineStr">
        <is>
          <t>HUDIKSVALL</t>
        </is>
      </c>
      <c r="I883" t="n">
        <v>1.1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58782-2025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45986</v>
      </c>
      <c r="E884" s="1" t="n">
        <v>46307</v>
      </c>
      <c r="F884" t="inlineStr">
        <is>
          <t>GÄVLEBORGS LÄN</t>
        </is>
      </c>
      <c r="G884" t="inlineStr">
        <is>
          <t>HUDIKSVALL</t>
        </is>
      </c>
      <c r="I884" t="n">
        <v>8.9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58481-2025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45985</v>
      </c>
      <c r="E885" s="1" t="n">
        <v>46307</v>
      </c>
      <c r="F885" t="inlineStr">
        <is>
          <t>GÄVLEBORGS LÄN</t>
        </is>
      </c>
      <c r="G885" t="inlineStr">
        <is>
          <t>HUDIKSVALL</t>
        </is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13959-2026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46098</v>
      </c>
      <c r="E886" s="1" t="n">
        <v>46307</v>
      </c>
      <c r="F886" t="inlineStr">
        <is>
          <t>GÄVLEBORGS LÄN</t>
        </is>
      </c>
      <c r="G886" t="inlineStr">
        <is>
          <t>HUDIKSVALL</t>
        </is>
      </c>
      <c r="H886" t="inlineStr">
        <is>
          <t>Holmen skog AB</t>
        </is>
      </c>
      <c r="I886" t="n">
        <v>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14158-2026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46099</v>
      </c>
      <c r="E887" s="1" t="n">
        <v>46307</v>
      </c>
      <c r="F887" t="inlineStr">
        <is>
          <t>GÄVLEBORGS LÄN</t>
        </is>
      </c>
      <c r="G887" t="inlineStr">
        <is>
          <t>HUDIKSVALL</t>
        </is>
      </c>
      <c r="I887" t="n">
        <v>5.2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14593-2026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46101</v>
      </c>
      <c r="E888" s="1" t="n">
        <v>46307</v>
      </c>
      <c r="F888" t="inlineStr">
        <is>
          <t>GÄVLEBORGS LÄN</t>
        </is>
      </c>
      <c r="G888" t="inlineStr">
        <is>
          <t>HUDIKSVALL</t>
        </is>
      </c>
      <c r="I888" t="n">
        <v>3.4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58529-2025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45985</v>
      </c>
      <c r="E889" s="1" t="n">
        <v>46307</v>
      </c>
      <c r="F889" t="inlineStr">
        <is>
          <t>GÄVLEBORGS LÄN</t>
        </is>
      </c>
      <c r="G889" t="inlineStr">
        <is>
          <t>HUDIKSVALL</t>
        </is>
      </c>
      <c r="H889" t="inlineStr">
        <is>
          <t>Holmen skog AB</t>
        </is>
      </c>
      <c r="I889" t="n">
        <v>1.2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18657-2023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45043</v>
      </c>
      <c r="E890" s="1" t="n">
        <v>46307</v>
      </c>
      <c r="F890" t="inlineStr">
        <is>
          <t>GÄVLEBORGS LÄN</t>
        </is>
      </c>
      <c r="G890" t="inlineStr">
        <is>
          <t>HUDIKSVALL</t>
        </is>
      </c>
      <c r="H890" t="inlineStr">
        <is>
          <t>Holmen skog AB</t>
        </is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14460-2026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46100</v>
      </c>
      <c r="E891" s="1" t="n">
        <v>46307</v>
      </c>
      <c r="F891" t="inlineStr">
        <is>
          <t>GÄVLEBORGS LÄN</t>
        </is>
      </c>
      <c r="G891" t="inlineStr">
        <is>
          <t>HUDIKSVALL</t>
        </is>
      </c>
      <c r="I891" t="n">
        <v>2.1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58723-2022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44902</v>
      </c>
      <c r="E892" s="1" t="n">
        <v>46307</v>
      </c>
      <c r="F892" t="inlineStr">
        <is>
          <t>GÄVLEBORGS LÄN</t>
        </is>
      </c>
      <c r="G892" t="inlineStr">
        <is>
          <t>HUDIKSVALL</t>
        </is>
      </c>
      <c r="I892" t="n">
        <v>0.7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14685-2026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46101</v>
      </c>
      <c r="E893" s="1" t="n">
        <v>46307</v>
      </c>
      <c r="F893" t="inlineStr">
        <is>
          <t>GÄVLEBORGS LÄN</t>
        </is>
      </c>
      <c r="G893" t="inlineStr">
        <is>
          <t>HUDIKSVALL</t>
        </is>
      </c>
      <c r="I893" t="n">
        <v>7.1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10858-2025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45722</v>
      </c>
      <c r="E894" s="1" t="n">
        <v>46307</v>
      </c>
      <c r="F894" t="inlineStr">
        <is>
          <t>GÄVLEBORGS LÄN</t>
        </is>
      </c>
      <c r="G894" t="inlineStr">
        <is>
          <t>HUDIKSVALL</t>
        </is>
      </c>
      <c r="H894" t="inlineStr">
        <is>
          <t>Holmen skog AB</t>
        </is>
      </c>
      <c r="I894" t="n">
        <v>13.4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58243-2025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45985</v>
      </c>
      <c r="E895" s="1" t="n">
        <v>46307</v>
      </c>
      <c r="F895" t="inlineStr">
        <is>
          <t>GÄVLEBORGS LÄN</t>
        </is>
      </c>
      <c r="G895" t="inlineStr">
        <is>
          <t>HUDIKSVALL</t>
        </is>
      </c>
      <c r="H895" t="inlineStr">
        <is>
          <t>Holmen skog AB</t>
        </is>
      </c>
      <c r="I895" t="n">
        <v>3.9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14803-2026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46103</v>
      </c>
      <c r="E896" s="1" t="n">
        <v>46307</v>
      </c>
      <c r="F896" t="inlineStr">
        <is>
          <t>GÄVLEBORGS LÄN</t>
        </is>
      </c>
      <c r="G896" t="inlineStr">
        <is>
          <t>HUDIKSVALL</t>
        </is>
      </c>
      <c r="H896" t="inlineStr">
        <is>
          <t>Holmen skog AB</t>
        </is>
      </c>
      <c r="I896" t="n">
        <v>8.9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35201-2024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45530</v>
      </c>
      <c r="E897" s="1" t="n">
        <v>46307</v>
      </c>
      <c r="F897" t="inlineStr">
        <is>
          <t>GÄVLEBORGS LÄN</t>
        </is>
      </c>
      <c r="G897" t="inlineStr">
        <is>
          <t>HUDIKSVALL</t>
        </is>
      </c>
      <c r="H897" t="inlineStr">
        <is>
          <t>Holmen skog AB</t>
        </is>
      </c>
      <c r="I897" t="n">
        <v>7.3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58530-2025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45985</v>
      </c>
      <c r="E898" s="1" t="n">
        <v>46307</v>
      </c>
      <c r="F898" t="inlineStr">
        <is>
          <t>GÄVLEBORGS LÄN</t>
        </is>
      </c>
      <c r="G898" t="inlineStr">
        <is>
          <t>HUDIKSVALL</t>
        </is>
      </c>
      <c r="H898" t="inlineStr">
        <is>
          <t>Holmen skog AB</t>
        </is>
      </c>
      <c r="I898" t="n">
        <v>0.5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9546-2025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45715</v>
      </c>
      <c r="E899" s="1" t="n">
        <v>46307</v>
      </c>
      <c r="F899" t="inlineStr">
        <is>
          <t>GÄVLEBORGS LÄN</t>
        </is>
      </c>
      <c r="G899" t="inlineStr">
        <is>
          <t>HUDIKSVALL</t>
        </is>
      </c>
      <c r="H899" t="inlineStr">
        <is>
          <t>Holmen skog AB</t>
        </is>
      </c>
      <c r="I899" t="n">
        <v>29.4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9852-2026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46072</v>
      </c>
      <c r="E900" s="1" t="n">
        <v>46307</v>
      </c>
      <c r="F900" t="inlineStr">
        <is>
          <t>GÄVLEBORGS LÄN</t>
        </is>
      </c>
      <c r="G900" t="inlineStr">
        <is>
          <t>HUDIKSVALL</t>
        </is>
      </c>
      <c r="I900" t="n">
        <v>0.5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63798-2021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44509</v>
      </c>
      <c r="E901" s="1" t="n">
        <v>46307</v>
      </c>
      <c r="F901" t="inlineStr">
        <is>
          <t>GÄVLEBORGS LÄN</t>
        </is>
      </c>
      <c r="G901" t="inlineStr">
        <is>
          <t>HUDIKSVALL</t>
        </is>
      </c>
      <c r="I901" t="n">
        <v>2.4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35805-2024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45532</v>
      </c>
      <c r="E902" s="1" t="n">
        <v>46307</v>
      </c>
      <c r="F902" t="inlineStr">
        <is>
          <t>GÄVLEBORGS LÄN</t>
        </is>
      </c>
      <c r="G902" t="inlineStr">
        <is>
          <t>HUDIKSVALL</t>
        </is>
      </c>
      <c r="I902" t="n">
        <v>1.5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22136-2022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44712</v>
      </c>
      <c r="E903" s="1" t="n">
        <v>46307</v>
      </c>
      <c r="F903" t="inlineStr">
        <is>
          <t>GÄVLEBORGS LÄN</t>
        </is>
      </c>
      <c r="G903" t="inlineStr">
        <is>
          <t>HUDIKSVALL</t>
        </is>
      </c>
      <c r="H903" t="inlineStr">
        <is>
          <t>Holmen skog AB</t>
        </is>
      </c>
      <c r="I903" t="n">
        <v>3.4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42128-2023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45177</v>
      </c>
      <c r="E904" s="1" t="n">
        <v>46307</v>
      </c>
      <c r="F904" t="inlineStr">
        <is>
          <t>GÄVLEBORGS LÄN</t>
        </is>
      </c>
      <c r="G904" t="inlineStr">
        <is>
          <t>HUDIKSVALL</t>
        </is>
      </c>
      <c r="H904" t="inlineStr">
        <is>
          <t>Holmen skog AB</t>
        </is>
      </c>
      <c r="I904" t="n">
        <v>9.1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58560-2025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45986</v>
      </c>
      <c r="E905" s="1" t="n">
        <v>46307</v>
      </c>
      <c r="F905" t="inlineStr">
        <is>
          <t>GÄVLEBORGS LÄN</t>
        </is>
      </c>
      <c r="G905" t="inlineStr">
        <is>
          <t>HUDIKSVALL</t>
        </is>
      </c>
      <c r="I905" t="n">
        <v>2.1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2418-2024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45310</v>
      </c>
      <c r="E906" s="1" t="n">
        <v>46307</v>
      </c>
      <c r="F906" t="inlineStr">
        <is>
          <t>GÄVLEBORGS LÄN</t>
        </is>
      </c>
      <c r="G906" t="inlineStr">
        <is>
          <t>HUDIKSVALL</t>
        </is>
      </c>
      <c r="I906" t="n">
        <v>0.5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18939-2025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45764</v>
      </c>
      <c r="E907" s="1" t="n">
        <v>46307</v>
      </c>
      <c r="F907" t="inlineStr">
        <is>
          <t>GÄVLEBORGS LÄN</t>
        </is>
      </c>
      <c r="G907" t="inlineStr">
        <is>
          <t>HUDIKSVALL</t>
        </is>
      </c>
      <c r="I907" t="n">
        <v>10.4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58561-2025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45986</v>
      </c>
      <c r="E908" s="1" t="n">
        <v>46307</v>
      </c>
      <c r="F908" t="inlineStr">
        <is>
          <t>GÄVLEBORGS LÄN</t>
        </is>
      </c>
      <c r="G908" t="inlineStr">
        <is>
          <t>HUDIKSVALL</t>
        </is>
      </c>
      <c r="I908" t="n">
        <v>0.7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14805-2026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46103</v>
      </c>
      <c r="E909" s="1" t="n">
        <v>46307</v>
      </c>
      <c r="F909" t="inlineStr">
        <is>
          <t>GÄVLEBORGS LÄN</t>
        </is>
      </c>
      <c r="G909" t="inlineStr">
        <is>
          <t>HUDIKSVALL</t>
        </is>
      </c>
      <c r="H909" t="inlineStr">
        <is>
          <t>Holmen skog AB</t>
        </is>
      </c>
      <c r="I909" t="n">
        <v>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14804-2026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46103</v>
      </c>
      <c r="E910" s="1" t="n">
        <v>46307</v>
      </c>
      <c r="F910" t="inlineStr">
        <is>
          <t>GÄVLEBORGS LÄN</t>
        </is>
      </c>
      <c r="G910" t="inlineStr">
        <is>
          <t>HUDIKSVALL</t>
        </is>
      </c>
      <c r="H910" t="inlineStr">
        <is>
          <t>Holmen skog AB</t>
        </is>
      </c>
      <c r="I910" t="n">
        <v>8.199999999999999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58254-2025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45985</v>
      </c>
      <c r="E911" s="1" t="n">
        <v>46307</v>
      </c>
      <c r="F911" t="inlineStr">
        <is>
          <t>GÄVLEBORGS LÄN</t>
        </is>
      </c>
      <c r="G911" t="inlineStr">
        <is>
          <t>HUDIKSVALL</t>
        </is>
      </c>
      <c r="H911" t="inlineStr">
        <is>
          <t>Holmen skog AB</t>
        </is>
      </c>
      <c r="I911" t="n">
        <v>15.5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58257-2025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45985</v>
      </c>
      <c r="E912" s="1" t="n">
        <v>46307</v>
      </c>
      <c r="F912" t="inlineStr">
        <is>
          <t>GÄVLEBORGS LÄN</t>
        </is>
      </c>
      <c r="G912" t="inlineStr">
        <is>
          <t>HUDIKSVALL</t>
        </is>
      </c>
      <c r="H912" t="inlineStr">
        <is>
          <t>Holmen skog AB</t>
        </is>
      </c>
      <c r="I912" t="n">
        <v>1.3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44687-2024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45574</v>
      </c>
      <c r="E913" s="1" t="n">
        <v>46307</v>
      </c>
      <c r="F913" t="inlineStr">
        <is>
          <t>GÄVLEBORGS LÄN</t>
        </is>
      </c>
      <c r="G913" t="inlineStr">
        <is>
          <t>HUDIKSVALL</t>
        </is>
      </c>
      <c r="I913" t="n">
        <v>17.3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15473-2026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46106</v>
      </c>
      <c r="E914" s="1" t="n">
        <v>46307</v>
      </c>
      <c r="F914" t="inlineStr">
        <is>
          <t>GÄVLEBORGS LÄN</t>
        </is>
      </c>
      <c r="G914" t="inlineStr">
        <is>
          <t>HUDIKSVALL</t>
        </is>
      </c>
      <c r="H914" t="inlineStr">
        <is>
          <t>Holmen skog AB</t>
        </is>
      </c>
      <c r="I914" t="n">
        <v>8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15949-2026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46107</v>
      </c>
      <c r="E915" s="1" t="n">
        <v>46307</v>
      </c>
      <c r="F915" t="inlineStr">
        <is>
          <t>GÄVLEBORGS LÄN</t>
        </is>
      </c>
      <c r="G915" t="inlineStr">
        <is>
          <t>HUDIKSVALL</t>
        </is>
      </c>
      <c r="H915" t="inlineStr">
        <is>
          <t>Holmen skog AB</t>
        </is>
      </c>
      <c r="I915" t="n">
        <v>4.4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15719-2026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46107</v>
      </c>
      <c r="E916" s="1" t="n">
        <v>46307</v>
      </c>
      <c r="F916" t="inlineStr">
        <is>
          <t>GÄVLEBORGS LÄN</t>
        </is>
      </c>
      <c r="G916" t="inlineStr">
        <is>
          <t>HUDIKSVALL</t>
        </is>
      </c>
      <c r="H916" t="inlineStr">
        <is>
          <t>Holmen skog AB</t>
        </is>
      </c>
      <c r="I916" t="n">
        <v>36.9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60283-2022</t>
        </is>
      </c>
      <c r="B917" t="inlineStr">
        <is>
          <t>avverkningsanmälan</t>
        </is>
      </c>
      <c r="C917" t="inlineStr">
        <is>
          <t>Avverkning för annat ändamål</t>
        </is>
      </c>
      <c r="D917" s="1" t="n">
        <v>44910</v>
      </c>
      <c r="E917" s="1" t="n">
        <v>46307</v>
      </c>
      <c r="F917" t="inlineStr">
        <is>
          <t>GÄVLEBORGS LÄN</t>
        </is>
      </c>
      <c r="G917" t="inlineStr">
        <is>
          <t>HUDIKSVALL</t>
        </is>
      </c>
      <c r="I917" t="n">
        <v>0.7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15952-2026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46107</v>
      </c>
      <c r="E918" s="1" t="n">
        <v>46307</v>
      </c>
      <c r="F918" t="inlineStr">
        <is>
          <t>GÄVLEBORGS LÄN</t>
        </is>
      </c>
      <c r="G918" t="inlineStr">
        <is>
          <t>HUDIKSVALL</t>
        </is>
      </c>
      <c r="H918" t="inlineStr">
        <is>
          <t>Holmen skog AB</t>
        </is>
      </c>
      <c r="I918" t="n">
        <v>4.6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58843-2025</t>
        </is>
      </c>
      <c r="B919" t="inlineStr">
        <is>
          <t>avverkningsanmälan</t>
        </is>
      </c>
      <c r="C919" t="inlineStr">
        <is>
          <t>Avverkning för annat ändamål</t>
        </is>
      </c>
      <c r="D919" s="1" t="n">
        <v>45987</v>
      </c>
      <c r="E919" s="1" t="n">
        <v>46307</v>
      </c>
      <c r="F919" t="inlineStr">
        <is>
          <t>GÄVLEBORGS LÄN</t>
        </is>
      </c>
      <c r="G919" t="inlineStr">
        <is>
          <t>HUDIKSVALL</t>
        </is>
      </c>
      <c r="I919" t="n">
        <v>1.5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24834-2024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45461</v>
      </c>
      <c r="E920" s="1" t="n">
        <v>46307</v>
      </c>
      <c r="F920" t="inlineStr">
        <is>
          <t>GÄVLEBORGS LÄN</t>
        </is>
      </c>
      <c r="G920" t="inlineStr">
        <is>
          <t>HUDIKSVALL</t>
        </is>
      </c>
      <c r="H920" t="inlineStr">
        <is>
          <t>Holmen skog AB</t>
        </is>
      </c>
      <c r="I920" t="n">
        <v>3.4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68730-2021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44529</v>
      </c>
      <c r="E921" s="1" t="n">
        <v>46307</v>
      </c>
      <c r="F921" t="inlineStr">
        <is>
          <t>GÄVLEBORGS LÄN</t>
        </is>
      </c>
      <c r="G921" t="inlineStr">
        <is>
          <t>HUDIKSVALL</t>
        </is>
      </c>
      <c r="I921" t="n">
        <v>4.4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36084-2024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45533</v>
      </c>
      <c r="E922" s="1" t="n">
        <v>46307</v>
      </c>
      <c r="F922" t="inlineStr">
        <is>
          <t>GÄVLEBORGS LÄN</t>
        </is>
      </c>
      <c r="G922" t="inlineStr">
        <is>
          <t>HUDIKSVALL</t>
        </is>
      </c>
      <c r="I922" t="n">
        <v>1.5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18493-2024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45425</v>
      </c>
      <c r="E923" s="1" t="n">
        <v>46307</v>
      </c>
      <c r="F923" t="inlineStr">
        <is>
          <t>GÄVLEBORGS LÄN</t>
        </is>
      </c>
      <c r="G923" t="inlineStr">
        <is>
          <t>HUDIKSVALL</t>
        </is>
      </c>
      <c r="I923" t="n">
        <v>0.5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816-2022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44571</v>
      </c>
      <c r="E924" s="1" t="n">
        <v>46307</v>
      </c>
      <c r="F924" t="inlineStr">
        <is>
          <t>GÄVLEBORGS LÄN</t>
        </is>
      </c>
      <c r="G924" t="inlineStr">
        <is>
          <t>HUDIKSVALL</t>
        </is>
      </c>
      <c r="I924" t="n">
        <v>1.2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59096-2025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45988</v>
      </c>
      <c r="E925" s="1" t="n">
        <v>46307</v>
      </c>
      <c r="F925" t="inlineStr">
        <is>
          <t>GÄVLEBORGS LÄN</t>
        </is>
      </c>
      <c r="G925" t="inlineStr">
        <is>
          <t>HUDIKSVALL</t>
        </is>
      </c>
      <c r="I925" t="n">
        <v>12.9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59488-2025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45989</v>
      </c>
      <c r="E926" s="1" t="n">
        <v>46307</v>
      </c>
      <c r="F926" t="inlineStr">
        <is>
          <t>GÄVLEBORGS LÄN</t>
        </is>
      </c>
      <c r="G926" t="inlineStr">
        <is>
          <t>HUDIKSVALL</t>
        </is>
      </c>
      <c r="H926" t="inlineStr">
        <is>
          <t>Holmen skog AB</t>
        </is>
      </c>
      <c r="I926" t="n">
        <v>3.4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59325-2025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45989</v>
      </c>
      <c r="E927" s="1" t="n">
        <v>46307</v>
      </c>
      <c r="F927" t="inlineStr">
        <is>
          <t>GÄVLEBORGS LÄN</t>
        </is>
      </c>
      <c r="G927" t="inlineStr">
        <is>
          <t>HUDIKSVALL</t>
        </is>
      </c>
      <c r="I927" t="n">
        <v>4.5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59781-2025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45992</v>
      </c>
      <c r="E928" s="1" t="n">
        <v>46307</v>
      </c>
      <c r="F928" t="inlineStr">
        <is>
          <t>GÄVLEBORGS LÄN</t>
        </is>
      </c>
      <c r="G928" t="inlineStr">
        <is>
          <t>HUDIKSVALL</t>
        </is>
      </c>
      <c r="I928" t="n">
        <v>1.3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18985-2025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45764</v>
      </c>
      <c r="E929" s="1" t="n">
        <v>46307</v>
      </c>
      <c r="F929" t="inlineStr">
        <is>
          <t>GÄVLEBORGS LÄN</t>
        </is>
      </c>
      <c r="G929" t="inlineStr">
        <is>
          <t>HUDIKSVALL</t>
        </is>
      </c>
      <c r="H929" t="inlineStr">
        <is>
          <t>Holmen skog AB</t>
        </is>
      </c>
      <c r="I929" t="n">
        <v>8.1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16221-2026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46111</v>
      </c>
      <c r="E930" s="1" t="n">
        <v>46307</v>
      </c>
      <c r="F930" t="inlineStr">
        <is>
          <t>GÄVLEBORGS LÄN</t>
        </is>
      </c>
      <c r="G930" t="inlineStr">
        <is>
          <t>HUDIKSVALL</t>
        </is>
      </c>
      <c r="H930" t="inlineStr">
        <is>
          <t>Naturvårdsverket</t>
        </is>
      </c>
      <c r="I930" t="n">
        <v>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43216-2024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45567</v>
      </c>
      <c r="E931" s="1" t="n">
        <v>46307</v>
      </c>
      <c r="F931" t="inlineStr">
        <is>
          <t>GÄVLEBORGS LÄN</t>
        </is>
      </c>
      <c r="G931" t="inlineStr">
        <is>
          <t>HUDIKSVALL</t>
        </is>
      </c>
      <c r="H931" t="inlineStr">
        <is>
          <t>Holmen skog AB</t>
        </is>
      </c>
      <c r="I931" t="n">
        <v>22.4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59595-2025</t>
        </is>
      </c>
      <c r="B932" t="inlineStr">
        <is>
          <t>avverkningsanmälan</t>
        </is>
      </c>
      <c r="C932" t="inlineStr">
        <is>
          <t>Avverkning för annat ändamål</t>
        </is>
      </c>
      <c r="D932" s="1" t="n">
        <v>45992</v>
      </c>
      <c r="E932" s="1" t="n">
        <v>46307</v>
      </c>
      <c r="F932" t="inlineStr">
        <is>
          <t>GÄVLEBORGS LÄN</t>
        </is>
      </c>
      <c r="G932" t="inlineStr">
        <is>
          <t>HUDIKSVALL</t>
        </is>
      </c>
      <c r="I932" t="n">
        <v>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16848-2026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46113</v>
      </c>
      <c r="E933" s="1" t="n">
        <v>46307</v>
      </c>
      <c r="F933" t="inlineStr">
        <is>
          <t>GÄVLEBORGS LÄN</t>
        </is>
      </c>
      <c r="G933" t="inlineStr">
        <is>
          <t>HUDIKSVALL</t>
        </is>
      </c>
      <c r="H933" t="inlineStr">
        <is>
          <t>Holmen skog AB</t>
        </is>
      </c>
      <c r="I933" t="n">
        <v>4.8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18825-2024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45426</v>
      </c>
      <c r="E934" s="1" t="n">
        <v>46307</v>
      </c>
      <c r="F934" t="inlineStr">
        <is>
          <t>GÄVLEBORGS LÄN</t>
        </is>
      </c>
      <c r="G934" t="inlineStr">
        <is>
          <t>HUDIKSVALL</t>
        </is>
      </c>
      <c r="I934" t="n">
        <v>0.3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18832-2024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45426</v>
      </c>
      <c r="E935" s="1" t="n">
        <v>46307</v>
      </c>
      <c r="F935" t="inlineStr">
        <is>
          <t>GÄVLEBORGS LÄN</t>
        </is>
      </c>
      <c r="G935" t="inlineStr">
        <is>
          <t>HUDIKSVALL</t>
        </is>
      </c>
      <c r="I935" t="n">
        <v>0.9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56813-2022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44894</v>
      </c>
      <c r="E936" s="1" t="n">
        <v>46307</v>
      </c>
      <c r="F936" t="inlineStr">
        <is>
          <t>GÄVLEBORGS LÄN</t>
        </is>
      </c>
      <c r="G936" t="inlineStr">
        <is>
          <t>HUDIKSVALL</t>
        </is>
      </c>
      <c r="H936" t="inlineStr">
        <is>
          <t>Kommuner</t>
        </is>
      </c>
      <c r="I936" t="n">
        <v>0.6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16722-2026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46113</v>
      </c>
      <c r="E937" s="1" t="n">
        <v>46307</v>
      </c>
      <c r="F937" t="inlineStr">
        <is>
          <t>GÄVLEBORGS LÄN</t>
        </is>
      </c>
      <c r="G937" t="inlineStr">
        <is>
          <t>HUDIKSVALL</t>
        </is>
      </c>
      <c r="I937" t="n">
        <v>2.5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16683-2026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46112</v>
      </c>
      <c r="E938" s="1" t="n">
        <v>46307</v>
      </c>
      <c r="F938" t="inlineStr">
        <is>
          <t>GÄVLEBORGS LÄN</t>
        </is>
      </c>
      <c r="G938" t="inlineStr">
        <is>
          <t>HUDIKSVALL</t>
        </is>
      </c>
      <c r="I938" t="n">
        <v>0.8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16842-2026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46113</v>
      </c>
      <c r="E939" s="1" t="n">
        <v>46307</v>
      </c>
      <c r="F939" t="inlineStr">
        <is>
          <t>GÄVLEBORGS LÄN</t>
        </is>
      </c>
      <c r="G939" t="inlineStr">
        <is>
          <t>HUDIKSVALL</t>
        </is>
      </c>
      <c r="I939" t="n">
        <v>9.199999999999999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16738-2026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46113</v>
      </c>
      <c r="E940" s="1" t="n">
        <v>46307</v>
      </c>
      <c r="F940" t="inlineStr">
        <is>
          <t>GÄVLEBORGS LÄN</t>
        </is>
      </c>
      <c r="G940" t="inlineStr">
        <is>
          <t>HUDIKSVALL</t>
        </is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16741-2026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46113</v>
      </c>
      <c r="E941" s="1" t="n">
        <v>46307</v>
      </c>
      <c r="F941" t="inlineStr">
        <is>
          <t>GÄVLEBORGS LÄN</t>
        </is>
      </c>
      <c r="G941" t="inlineStr">
        <is>
          <t>HUDIKSVALL</t>
        </is>
      </c>
      <c r="I941" t="n">
        <v>1.4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59741-2022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44908</v>
      </c>
      <c r="E942" s="1" t="n">
        <v>46307</v>
      </c>
      <c r="F942" t="inlineStr">
        <is>
          <t>GÄVLEBORGS LÄN</t>
        </is>
      </c>
      <c r="G942" t="inlineStr">
        <is>
          <t>HUDIKSVALL</t>
        </is>
      </c>
      <c r="I942" t="n">
        <v>7.3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39440-2024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45551</v>
      </c>
      <c r="E943" s="1" t="n">
        <v>46307</v>
      </c>
      <c r="F943" t="inlineStr">
        <is>
          <t>GÄVLEBORGS LÄN</t>
        </is>
      </c>
      <c r="G943" t="inlineStr">
        <is>
          <t>HUDIKSVALL</t>
        </is>
      </c>
      <c r="H943" t="inlineStr">
        <is>
          <t>Holmen skog AB</t>
        </is>
      </c>
      <c r="I943" t="n">
        <v>3.5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50898-2023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45218</v>
      </c>
      <c r="E944" s="1" t="n">
        <v>46307</v>
      </c>
      <c r="F944" t="inlineStr">
        <is>
          <t>GÄVLEBORGS LÄN</t>
        </is>
      </c>
      <c r="G944" t="inlineStr">
        <is>
          <t>HUDIKSVALL</t>
        </is>
      </c>
      <c r="H944" t="inlineStr">
        <is>
          <t>Holmen skog AB</t>
        </is>
      </c>
      <c r="I944" t="n">
        <v>6.5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60796-2023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45260</v>
      </c>
      <c r="E945" s="1" t="n">
        <v>46307</v>
      </c>
      <c r="F945" t="inlineStr">
        <is>
          <t>GÄVLEBORGS LÄN</t>
        </is>
      </c>
      <c r="G945" t="inlineStr">
        <is>
          <t>HUDIKSVALL</t>
        </is>
      </c>
      <c r="H945" t="inlineStr">
        <is>
          <t>Holmen skog AB</t>
        </is>
      </c>
      <c r="I945" t="n">
        <v>1.6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60801-2023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45260</v>
      </c>
      <c r="E946" s="1" t="n">
        <v>46307</v>
      </c>
      <c r="F946" t="inlineStr">
        <is>
          <t>GÄVLEBORGS LÄN</t>
        </is>
      </c>
      <c r="G946" t="inlineStr">
        <is>
          <t>HUDIKSVALL</t>
        </is>
      </c>
      <c r="I946" t="n">
        <v>1.7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16968-2026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46114</v>
      </c>
      <c r="E947" s="1" t="n">
        <v>46307</v>
      </c>
      <c r="F947" t="inlineStr">
        <is>
          <t>GÄVLEBORGS LÄN</t>
        </is>
      </c>
      <c r="G947" t="inlineStr">
        <is>
          <t>HUDIKSVALL</t>
        </is>
      </c>
      <c r="H947" t="inlineStr">
        <is>
          <t>Holmen skog AB</t>
        </is>
      </c>
      <c r="I947" t="n">
        <v>16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16972-2026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46114</v>
      </c>
      <c r="E948" s="1" t="n">
        <v>46307</v>
      </c>
      <c r="F948" t="inlineStr">
        <is>
          <t>GÄVLEBORGS LÄN</t>
        </is>
      </c>
      <c r="G948" t="inlineStr">
        <is>
          <t>HUDIKSVALL</t>
        </is>
      </c>
      <c r="H948" t="inlineStr">
        <is>
          <t>Holmen skog AB</t>
        </is>
      </c>
      <c r="I948" t="n">
        <v>32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17528-2026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46120</v>
      </c>
      <c r="E949" s="1" t="n">
        <v>46307</v>
      </c>
      <c r="F949" t="inlineStr">
        <is>
          <t>GÄVLEBORGS LÄN</t>
        </is>
      </c>
      <c r="G949" t="inlineStr">
        <is>
          <t>HUDIKSVALL</t>
        </is>
      </c>
      <c r="I949" t="n">
        <v>2.5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60066-2025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45993</v>
      </c>
      <c r="E950" s="1" t="n">
        <v>46307</v>
      </c>
      <c r="F950" t="inlineStr">
        <is>
          <t>GÄVLEBORGS LÄN</t>
        </is>
      </c>
      <c r="G950" t="inlineStr">
        <is>
          <t>HUDIKSVALL</t>
        </is>
      </c>
      <c r="I950" t="n">
        <v>1.2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60073-2025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45993</v>
      </c>
      <c r="E951" s="1" t="n">
        <v>46307</v>
      </c>
      <c r="F951" t="inlineStr">
        <is>
          <t>GÄVLEBORGS LÄN</t>
        </is>
      </c>
      <c r="G951" t="inlineStr">
        <is>
          <t>HUDIKSVALL</t>
        </is>
      </c>
      <c r="I951" t="n">
        <v>3.9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17440-2026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46120</v>
      </c>
      <c r="E952" s="1" t="n">
        <v>46307</v>
      </c>
      <c r="F952" t="inlineStr">
        <is>
          <t>GÄVLEBORGS LÄN</t>
        </is>
      </c>
      <c r="G952" t="inlineStr">
        <is>
          <t>HUDIKSVALL</t>
        </is>
      </c>
      <c r="H952" t="inlineStr">
        <is>
          <t>Kommuner</t>
        </is>
      </c>
      <c r="I952" t="n">
        <v>0.7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17662-2026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46121</v>
      </c>
      <c r="E953" s="1" t="n">
        <v>46307</v>
      </c>
      <c r="F953" t="inlineStr">
        <is>
          <t>GÄVLEBORGS LÄN</t>
        </is>
      </c>
      <c r="G953" t="inlineStr">
        <is>
          <t>HUDIKSVALL</t>
        </is>
      </c>
      <c r="H953" t="inlineStr">
        <is>
          <t>Holmen skog AB</t>
        </is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17566-2026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46121</v>
      </c>
      <c r="E954" s="1" t="n">
        <v>46307</v>
      </c>
      <c r="F954" t="inlineStr">
        <is>
          <t>GÄVLEBORGS LÄN</t>
        </is>
      </c>
      <c r="G954" t="inlineStr">
        <is>
          <t>HUDIKSVALL</t>
        </is>
      </c>
      <c r="H954" t="inlineStr">
        <is>
          <t>Naturvårdsverket</t>
        </is>
      </c>
      <c r="I954" t="n">
        <v>2.7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60319-2025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45994</v>
      </c>
      <c r="E955" s="1" t="n">
        <v>46307</v>
      </c>
      <c r="F955" t="inlineStr">
        <is>
          <t>GÄVLEBORGS LÄN</t>
        </is>
      </c>
      <c r="G955" t="inlineStr">
        <is>
          <t>HUDIKSVALL</t>
        </is>
      </c>
      <c r="I955" t="n">
        <v>1.1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17800-2026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46122</v>
      </c>
      <c r="E956" s="1" t="n">
        <v>46307</v>
      </c>
      <c r="F956" t="inlineStr">
        <is>
          <t>GÄVLEBORGS LÄN</t>
        </is>
      </c>
      <c r="G956" t="inlineStr">
        <is>
          <t>HUDIKSVALL</t>
        </is>
      </c>
      <c r="I956" t="n">
        <v>0.8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18100-2026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46125</v>
      </c>
      <c r="E957" s="1" t="n">
        <v>46307</v>
      </c>
      <c r="F957" t="inlineStr">
        <is>
          <t>GÄVLEBORGS LÄN</t>
        </is>
      </c>
      <c r="G957" t="inlineStr">
        <is>
          <t>HUDIKSVALL</t>
        </is>
      </c>
      <c r="H957" t="inlineStr">
        <is>
          <t>Holmen skog AB</t>
        </is>
      </c>
      <c r="I957" t="n">
        <v>1.5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24240-2025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45797</v>
      </c>
      <c r="E958" s="1" t="n">
        <v>46307</v>
      </c>
      <c r="F958" t="inlineStr">
        <is>
          <t>GÄVLEBORGS LÄN</t>
        </is>
      </c>
      <c r="G958" t="inlineStr">
        <is>
          <t>HUDIKSVALL</t>
        </is>
      </c>
      <c r="I958" t="n">
        <v>2.8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17322-2022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44678</v>
      </c>
      <c r="E959" s="1" t="n">
        <v>46307</v>
      </c>
      <c r="F959" t="inlineStr">
        <is>
          <t>GÄVLEBORGS LÄN</t>
        </is>
      </c>
      <c r="G959" t="inlineStr">
        <is>
          <t>HUDIKSVALL</t>
        </is>
      </c>
      <c r="H959" t="inlineStr">
        <is>
          <t>Holmen skog AB</t>
        </is>
      </c>
      <c r="I959" t="n">
        <v>5.3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24239-2025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45797</v>
      </c>
      <c r="E960" s="1" t="n">
        <v>46307</v>
      </c>
      <c r="F960" t="inlineStr">
        <is>
          <t>GÄVLEBORGS LÄN</t>
        </is>
      </c>
      <c r="G960" t="inlineStr">
        <is>
          <t>HUDIKSVALL</t>
        </is>
      </c>
      <c r="I960" t="n">
        <v>0.6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60366-2025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45995</v>
      </c>
      <c r="E961" s="1" t="n">
        <v>46307</v>
      </c>
      <c r="F961" t="inlineStr">
        <is>
          <t>GÄVLEBORGS LÄN</t>
        </is>
      </c>
      <c r="G961" t="inlineStr">
        <is>
          <t>HUDIKSVALL</t>
        </is>
      </c>
      <c r="I961" t="n">
        <v>4.2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17921-2026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46122</v>
      </c>
      <c r="E962" s="1" t="n">
        <v>46307</v>
      </c>
      <c r="F962" t="inlineStr">
        <is>
          <t>GÄVLEBORGS LÄN</t>
        </is>
      </c>
      <c r="G962" t="inlineStr">
        <is>
          <t>HUDIKSVALL</t>
        </is>
      </c>
      <c r="I962" t="n">
        <v>0.7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18154-2026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46125</v>
      </c>
      <c r="E963" s="1" t="n">
        <v>46307</v>
      </c>
      <c r="F963" t="inlineStr">
        <is>
          <t>GÄVLEBORGS LÄN</t>
        </is>
      </c>
      <c r="G963" t="inlineStr">
        <is>
          <t>HUDIKSVALL</t>
        </is>
      </c>
      <c r="I963" t="n">
        <v>6.1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18587-2026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46127</v>
      </c>
      <c r="E964" s="1" t="n">
        <v>46307</v>
      </c>
      <c r="F964" t="inlineStr">
        <is>
          <t>GÄVLEBORGS LÄN</t>
        </is>
      </c>
      <c r="G964" t="inlineStr">
        <is>
          <t>HUDIKSVALL</t>
        </is>
      </c>
      <c r="I964" t="n">
        <v>4.1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18387-2026</t>
        </is>
      </c>
      <c r="B965" t="inlineStr">
        <is>
          <t>avverkningsanmälan</t>
        </is>
      </c>
      <c r="C965" t="inlineStr">
        <is>
          <t>Avverkning för att bevara och utveckla /försöksver</t>
        </is>
      </c>
      <c r="D965" s="1" t="n">
        <v>46126</v>
      </c>
      <c r="E965" s="1" t="n">
        <v>46307</v>
      </c>
      <c r="F965" t="inlineStr">
        <is>
          <t>GÄVLEBORGS LÄN</t>
        </is>
      </c>
      <c r="G965" t="inlineStr">
        <is>
          <t>HUDIKSVALL</t>
        </is>
      </c>
      <c r="I965" t="n">
        <v>1.5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23663-2025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45792</v>
      </c>
      <c r="E966" s="1" t="n">
        <v>46307</v>
      </c>
      <c r="F966" t="inlineStr">
        <is>
          <t>GÄVLEBORGS LÄN</t>
        </is>
      </c>
      <c r="G966" t="inlineStr">
        <is>
          <t>HUDIKSVALL</t>
        </is>
      </c>
      <c r="H966" t="inlineStr">
        <is>
          <t>Holmen skog AB</t>
        </is>
      </c>
      <c r="I966" t="n">
        <v>24.7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60427-2025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45995</v>
      </c>
      <c r="E967" s="1" t="n">
        <v>46307</v>
      </c>
      <c r="F967" t="inlineStr">
        <is>
          <t>GÄVLEBORGS LÄN</t>
        </is>
      </c>
      <c r="G967" t="inlineStr">
        <is>
          <t>HUDIKSVALL</t>
        </is>
      </c>
      <c r="I967" t="n">
        <v>11.5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23964-2025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45796</v>
      </c>
      <c r="E968" s="1" t="n">
        <v>46307</v>
      </c>
      <c r="F968" t="inlineStr">
        <is>
          <t>GÄVLEBORGS LÄN</t>
        </is>
      </c>
      <c r="G968" t="inlineStr">
        <is>
          <t>HUDIKSVALL</t>
        </is>
      </c>
      <c r="H968" t="inlineStr">
        <is>
          <t>Holmen skog AB</t>
        </is>
      </c>
      <c r="I968" t="n">
        <v>9.5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60431-2025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45995</v>
      </c>
      <c r="E969" s="1" t="n">
        <v>46307</v>
      </c>
      <c r="F969" t="inlineStr">
        <is>
          <t>GÄVLEBORGS LÄN</t>
        </is>
      </c>
      <c r="G969" t="inlineStr">
        <is>
          <t>HUDIKSVALL</t>
        </is>
      </c>
      <c r="I969" t="n">
        <v>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18582-2026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46127</v>
      </c>
      <c r="E970" s="1" t="n">
        <v>46307</v>
      </c>
      <c r="F970" t="inlineStr">
        <is>
          <t>GÄVLEBORGS LÄN</t>
        </is>
      </c>
      <c r="G970" t="inlineStr">
        <is>
          <t>HUDIKSVALL</t>
        </is>
      </c>
      <c r="I970" t="n">
        <v>0.5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18486-2026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46127</v>
      </c>
      <c r="E971" s="1" t="n">
        <v>46307</v>
      </c>
      <c r="F971" t="inlineStr">
        <is>
          <t>GÄVLEBORGS LÄN</t>
        </is>
      </c>
      <c r="G971" t="inlineStr">
        <is>
          <t>HUDIKSVALL</t>
        </is>
      </c>
      <c r="I971" t="n">
        <v>2.2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59244-2025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45988</v>
      </c>
      <c r="E972" s="1" t="n">
        <v>46307</v>
      </c>
      <c r="F972" t="inlineStr">
        <is>
          <t>GÄVLEBORGS LÄN</t>
        </is>
      </c>
      <c r="G972" t="inlineStr">
        <is>
          <t>HUDIKSVALL</t>
        </is>
      </c>
      <c r="H972" t="inlineStr">
        <is>
          <t>Kommuner</t>
        </is>
      </c>
      <c r="I972" t="n">
        <v>1.4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58248-2025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45985</v>
      </c>
      <c r="E973" s="1" t="n">
        <v>46307</v>
      </c>
      <c r="F973" t="inlineStr">
        <is>
          <t>GÄVLEBORGS LÄN</t>
        </is>
      </c>
      <c r="G973" t="inlineStr">
        <is>
          <t>HUDIKSVALL</t>
        </is>
      </c>
      <c r="H973" t="inlineStr">
        <is>
          <t>Holmen skog AB</t>
        </is>
      </c>
      <c r="I973" t="n">
        <v>13.3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18257-2026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46126</v>
      </c>
      <c r="E974" s="1" t="n">
        <v>46307</v>
      </c>
      <c r="F974" t="inlineStr">
        <is>
          <t>GÄVLEBORGS LÄN</t>
        </is>
      </c>
      <c r="G974" t="inlineStr">
        <is>
          <t>HUDIKSVALL</t>
        </is>
      </c>
      <c r="I974" t="n">
        <v>1.3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18256-2026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46126</v>
      </c>
      <c r="E975" s="1" t="n">
        <v>46307</v>
      </c>
      <c r="F975" t="inlineStr">
        <is>
          <t>GÄVLEBORGS LÄN</t>
        </is>
      </c>
      <c r="G975" t="inlineStr">
        <is>
          <t>HUDIKSVALL</t>
        </is>
      </c>
      <c r="I975" t="n">
        <v>4.1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18434-2026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46127</v>
      </c>
      <c r="E976" s="1" t="n">
        <v>46307</v>
      </c>
      <c r="F976" t="inlineStr">
        <is>
          <t>GÄVLEBORGS LÄN</t>
        </is>
      </c>
      <c r="G976" t="inlineStr">
        <is>
          <t>HUDIKSVALL</t>
        </is>
      </c>
      <c r="I976" t="n">
        <v>5.3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15242-2023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45019</v>
      </c>
      <c r="E977" s="1" t="n">
        <v>46307</v>
      </c>
      <c r="F977" t="inlineStr">
        <is>
          <t>GÄVLEBORGS LÄN</t>
        </is>
      </c>
      <c r="G977" t="inlineStr">
        <is>
          <t>HUDIKSVALL</t>
        </is>
      </c>
      <c r="I977" t="n">
        <v>2.7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32959-2024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45517</v>
      </c>
      <c r="E978" s="1" t="n">
        <v>46307</v>
      </c>
      <c r="F978" t="inlineStr">
        <is>
          <t>GÄVLEBORGS LÄN</t>
        </is>
      </c>
      <c r="G978" t="inlineStr">
        <is>
          <t>HUDIKSVALL</t>
        </is>
      </c>
      <c r="H978" t="inlineStr">
        <is>
          <t>Holmen skog AB</t>
        </is>
      </c>
      <c r="I978" t="n">
        <v>2.9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61343-2025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46001</v>
      </c>
      <c r="E979" s="1" t="n">
        <v>46307</v>
      </c>
      <c r="F979" t="inlineStr">
        <is>
          <t>GÄVLEBORGS LÄN</t>
        </is>
      </c>
      <c r="G979" t="inlineStr">
        <is>
          <t>HUDIKSVALL</t>
        </is>
      </c>
      <c r="I979" t="n">
        <v>2.5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55434-2022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44887</v>
      </c>
      <c r="E980" s="1" t="n">
        <v>46307</v>
      </c>
      <c r="F980" t="inlineStr">
        <is>
          <t>GÄVLEBORGS LÄN</t>
        </is>
      </c>
      <c r="G980" t="inlineStr">
        <is>
          <t>HUDIKSVALL</t>
        </is>
      </c>
      <c r="H980" t="inlineStr">
        <is>
          <t>Holmen skog AB</t>
        </is>
      </c>
      <c r="I980" t="n">
        <v>1.7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14108-2026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46099</v>
      </c>
      <c r="E981" s="1" t="n">
        <v>46307</v>
      </c>
      <c r="F981" t="inlineStr">
        <is>
          <t>GÄVLEBORGS LÄN</t>
        </is>
      </c>
      <c r="G981" t="inlineStr">
        <is>
          <t>HUDIKSVALL</t>
        </is>
      </c>
      <c r="I981" t="n">
        <v>5.5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61696-2025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46002</v>
      </c>
      <c r="E982" s="1" t="n">
        <v>46307</v>
      </c>
      <c r="F982" t="inlineStr">
        <is>
          <t>GÄVLEBORGS LÄN</t>
        </is>
      </c>
      <c r="G982" t="inlineStr">
        <is>
          <t>HUDIKSVALL</t>
        </is>
      </c>
      <c r="I982" t="n">
        <v>0.9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61546-2025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46001</v>
      </c>
      <c r="E983" s="1" t="n">
        <v>46307</v>
      </c>
      <c r="F983" t="inlineStr">
        <is>
          <t>GÄVLEBORGS LÄN</t>
        </is>
      </c>
      <c r="G983" t="inlineStr">
        <is>
          <t>HUDIKSVALL</t>
        </is>
      </c>
      <c r="I983" t="n">
        <v>1.4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40876-2022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44825</v>
      </c>
      <c r="E984" s="1" t="n">
        <v>46307</v>
      </c>
      <c r="F984" t="inlineStr">
        <is>
          <t>GÄVLEBORGS LÄN</t>
        </is>
      </c>
      <c r="G984" t="inlineStr">
        <is>
          <t>HUDIKSVALL</t>
        </is>
      </c>
      <c r="I984" t="n">
        <v>1.2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15306-2023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45019</v>
      </c>
      <c r="E985" s="1" t="n">
        <v>46307</v>
      </c>
      <c r="F985" t="inlineStr">
        <is>
          <t>GÄVLEBORGS LÄN</t>
        </is>
      </c>
      <c r="G985" t="inlineStr">
        <is>
          <t>HUDIKSVALL</t>
        </is>
      </c>
      <c r="I985" t="n">
        <v>0.8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61649-2025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46002</v>
      </c>
      <c r="E986" s="1" t="n">
        <v>46307</v>
      </c>
      <c r="F986" t="inlineStr">
        <is>
          <t>GÄVLEBORGS LÄN</t>
        </is>
      </c>
      <c r="G986" t="inlineStr">
        <is>
          <t>HUDIKSVALL</t>
        </is>
      </c>
      <c r="I986" t="n">
        <v>1.6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62639-2023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45271</v>
      </c>
      <c r="E987" s="1" t="n">
        <v>46307</v>
      </c>
      <c r="F987" t="inlineStr">
        <is>
          <t>GÄVLEBORGS LÄN</t>
        </is>
      </c>
      <c r="G987" t="inlineStr">
        <is>
          <t>HUDIKSVALL</t>
        </is>
      </c>
      <c r="I987" t="n">
        <v>1.1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2232-2022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44578</v>
      </c>
      <c r="E988" s="1" t="n">
        <v>46307</v>
      </c>
      <c r="F988" t="inlineStr">
        <is>
          <t>GÄVLEBORGS LÄN</t>
        </is>
      </c>
      <c r="G988" t="inlineStr">
        <is>
          <t>HUDIKSVALL</t>
        </is>
      </c>
      <c r="H988" t="inlineStr">
        <is>
          <t>Holmen skog AB</t>
        </is>
      </c>
      <c r="I988" t="n">
        <v>8.699999999999999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63619-2023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45275</v>
      </c>
      <c r="E989" s="1" t="n">
        <v>46307</v>
      </c>
      <c r="F989" t="inlineStr">
        <is>
          <t>GÄVLEBORGS LÄN</t>
        </is>
      </c>
      <c r="G989" t="inlineStr">
        <is>
          <t>HUDIKSVALL</t>
        </is>
      </c>
      <c r="I989" t="n">
        <v>6.4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19270-2026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46133</v>
      </c>
      <c r="E990" s="1" t="n">
        <v>46307</v>
      </c>
      <c r="F990" t="inlineStr">
        <is>
          <t>GÄVLEBORGS LÄN</t>
        </is>
      </c>
      <c r="G990" t="inlineStr">
        <is>
          <t>HUDIKSVALL</t>
        </is>
      </c>
      <c r="I990" t="n">
        <v>1.3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19705-2026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46134</v>
      </c>
      <c r="E991" s="1" t="n">
        <v>46307</v>
      </c>
      <c r="F991" t="inlineStr">
        <is>
          <t>GÄVLEBORGS LÄN</t>
        </is>
      </c>
      <c r="G991" t="inlineStr">
        <is>
          <t>HUDIKSVALL</t>
        </is>
      </c>
      <c r="H991" t="inlineStr">
        <is>
          <t>Holmen skog AB</t>
        </is>
      </c>
      <c r="I991" t="n">
        <v>5.5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19535-2026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46134</v>
      </c>
      <c r="E992" s="1" t="n">
        <v>46307</v>
      </c>
      <c r="F992" t="inlineStr">
        <is>
          <t>GÄVLEBORGS LÄN</t>
        </is>
      </c>
      <c r="G992" t="inlineStr">
        <is>
          <t>HUDIKSVALL</t>
        </is>
      </c>
      <c r="I992" t="n">
        <v>2.7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62036-2025</t>
        </is>
      </c>
      <c r="B993" t="inlineStr">
        <is>
          <t>avverkningsanmälan</t>
        </is>
      </c>
      <c r="C993" t="inlineStr">
        <is>
          <t>Avverkning för att bevara och utveckla /försöksver</t>
        </is>
      </c>
      <c r="D993" s="1" t="n">
        <v>46004</v>
      </c>
      <c r="E993" s="1" t="n">
        <v>46307</v>
      </c>
      <c r="F993" t="inlineStr">
        <is>
          <t>GÄVLEBORGS LÄN</t>
        </is>
      </c>
      <c r="G993" t="inlineStr">
        <is>
          <t>HUDIKSVALL</t>
        </is>
      </c>
      <c r="I993" t="n">
        <v>4.9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19348-2026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46133</v>
      </c>
      <c r="E994" s="1" t="n">
        <v>46307</v>
      </c>
      <c r="F994" t="inlineStr">
        <is>
          <t>GÄVLEBORGS LÄN</t>
        </is>
      </c>
      <c r="G994" t="inlineStr">
        <is>
          <t>HUDIKSVALL</t>
        </is>
      </c>
      <c r="H994" t="inlineStr">
        <is>
          <t>Kommuner</t>
        </is>
      </c>
      <c r="I994" t="n">
        <v>1.8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19568-2026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46134</v>
      </c>
      <c r="E995" s="1" t="n">
        <v>46307</v>
      </c>
      <c r="F995" t="inlineStr">
        <is>
          <t>GÄVLEBORGS LÄN</t>
        </is>
      </c>
      <c r="G995" t="inlineStr">
        <is>
          <t>HUDIKSVALL</t>
        </is>
      </c>
      <c r="I995" t="n">
        <v>2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21805-2024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45442</v>
      </c>
      <c r="E996" s="1" t="n">
        <v>46307</v>
      </c>
      <c r="F996" t="inlineStr">
        <is>
          <t>GÄVLEBORGS LÄN</t>
        </is>
      </c>
      <c r="G996" t="inlineStr">
        <is>
          <t>HUDIKSVALL</t>
        </is>
      </c>
      <c r="I996" t="n">
        <v>2.8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16740-2026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46112</v>
      </c>
      <c r="E997" s="1" t="n">
        <v>46307</v>
      </c>
      <c r="F997" t="inlineStr">
        <is>
          <t>GÄVLEBORGS LÄN</t>
        </is>
      </c>
      <c r="G997" t="inlineStr">
        <is>
          <t>HUDIKSVALL</t>
        </is>
      </c>
      <c r="I997" t="n">
        <v>8.4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62313-2025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46006</v>
      </c>
      <c r="E998" s="1" t="n">
        <v>46307</v>
      </c>
      <c r="F998" t="inlineStr">
        <is>
          <t>GÄVLEBORGS LÄN</t>
        </is>
      </c>
      <c r="G998" t="inlineStr">
        <is>
          <t>HUDIKSVALL</t>
        </is>
      </c>
      <c r="I998" t="n">
        <v>0.6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24210-2023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45079</v>
      </c>
      <c r="E999" s="1" t="n">
        <v>46307</v>
      </c>
      <c r="F999" t="inlineStr">
        <is>
          <t>GÄVLEBORGS LÄN</t>
        </is>
      </c>
      <c r="G999" t="inlineStr">
        <is>
          <t>HUDIKSVALL</t>
        </is>
      </c>
      <c r="I999" t="n">
        <v>1.2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15097-2022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44658</v>
      </c>
      <c r="E1000" s="1" t="n">
        <v>46307</v>
      </c>
      <c r="F1000" t="inlineStr">
        <is>
          <t>GÄVLEBORGS LÄN</t>
        </is>
      </c>
      <c r="G1000" t="inlineStr">
        <is>
          <t>HUDIKSVALL</t>
        </is>
      </c>
      <c r="I1000" t="n">
        <v>4.5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19790-2026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46135</v>
      </c>
      <c r="E1001" s="1" t="n">
        <v>46307</v>
      </c>
      <c r="F1001" t="inlineStr">
        <is>
          <t>GÄVLEBORGS LÄN</t>
        </is>
      </c>
      <c r="G1001" t="inlineStr">
        <is>
          <t>HUDIKSVALL</t>
        </is>
      </c>
      <c r="H1001" t="inlineStr">
        <is>
          <t>Holmen skog AB</t>
        </is>
      </c>
      <c r="I1001" t="n">
        <v>4.1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19946-2026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46136</v>
      </c>
      <c r="E1002" s="1" t="n">
        <v>46307</v>
      </c>
      <c r="F1002" t="inlineStr">
        <is>
          <t>GÄVLEBORGS LÄN</t>
        </is>
      </c>
      <c r="G1002" t="inlineStr">
        <is>
          <t>HUDIKSVALL</t>
        </is>
      </c>
      <c r="I1002" t="n">
        <v>0.9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19947-2026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46136</v>
      </c>
      <c r="E1003" s="1" t="n">
        <v>46307</v>
      </c>
      <c r="F1003" t="inlineStr">
        <is>
          <t>GÄVLEBORGS LÄN</t>
        </is>
      </c>
      <c r="G1003" t="inlineStr">
        <is>
          <t>HUDIKSVALL</t>
        </is>
      </c>
      <c r="I1003" t="n">
        <v>1.1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20200-2023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45055</v>
      </c>
      <c r="E1004" s="1" t="n">
        <v>46307</v>
      </c>
      <c r="F1004" t="inlineStr">
        <is>
          <t>GÄVLEBORGS LÄN</t>
        </is>
      </c>
      <c r="G1004" t="inlineStr">
        <is>
          <t>HUDIKSVALL</t>
        </is>
      </c>
      <c r="I1004" t="n">
        <v>0.9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45700-2024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45579</v>
      </c>
      <c r="E1005" s="1" t="n">
        <v>46307</v>
      </c>
      <c r="F1005" t="inlineStr">
        <is>
          <t>GÄVLEBORGS LÄN</t>
        </is>
      </c>
      <c r="G1005" t="inlineStr">
        <is>
          <t>HUDIKSVALL</t>
        </is>
      </c>
      <c r="H1005" t="inlineStr">
        <is>
          <t>Holmen skog AB</t>
        </is>
      </c>
      <c r="I1005" t="n">
        <v>4.1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1774-2026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46034</v>
      </c>
      <c r="E1006" s="1" t="n">
        <v>46307</v>
      </c>
      <c r="F1006" t="inlineStr">
        <is>
          <t>GÄVLEBORGS LÄN</t>
        </is>
      </c>
      <c r="G1006" t="inlineStr">
        <is>
          <t>HUDIKSVALL</t>
        </is>
      </c>
      <c r="I1006" t="n">
        <v>1.4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59118-2022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44904</v>
      </c>
      <c r="E1007" s="1" t="n">
        <v>46307</v>
      </c>
      <c r="F1007" t="inlineStr">
        <is>
          <t>GÄVLEBORGS LÄN</t>
        </is>
      </c>
      <c r="G1007" t="inlineStr">
        <is>
          <t>HUDIKSVALL</t>
        </is>
      </c>
      <c r="I1007" t="n">
        <v>1.9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60931-2023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45261</v>
      </c>
      <c r="E1008" s="1" t="n">
        <v>46307</v>
      </c>
      <c r="F1008" t="inlineStr">
        <is>
          <t>GÄVLEBORGS LÄN</t>
        </is>
      </c>
      <c r="G1008" t="inlineStr">
        <is>
          <t>HUDIKSVALL</t>
        </is>
      </c>
      <c r="H1008" t="inlineStr">
        <is>
          <t>Holmen skog AB</t>
        </is>
      </c>
      <c r="I1008" t="n">
        <v>2.5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62665-2025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46008</v>
      </c>
      <c r="E1009" s="1" t="n">
        <v>46307</v>
      </c>
      <c r="F1009" t="inlineStr">
        <is>
          <t>GÄVLEBORGS LÄN</t>
        </is>
      </c>
      <c r="G1009" t="inlineStr">
        <is>
          <t>HUDIKSVALL</t>
        </is>
      </c>
      <c r="I1009" t="n">
        <v>3.1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20016-2026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46136</v>
      </c>
      <c r="E1010" s="1" t="n">
        <v>46307</v>
      </c>
      <c r="F1010" t="inlineStr">
        <is>
          <t>GÄVLEBORGS LÄN</t>
        </is>
      </c>
      <c r="G1010" t="inlineStr">
        <is>
          <t>HUDIKSVALL</t>
        </is>
      </c>
      <c r="H1010" t="inlineStr">
        <is>
          <t>Holmen skog AB</t>
        </is>
      </c>
      <c r="I1010" t="n">
        <v>25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40364-2024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45555</v>
      </c>
      <c r="E1011" s="1" t="n">
        <v>46307</v>
      </c>
      <c r="F1011" t="inlineStr">
        <is>
          <t>GÄVLEBORGS LÄN</t>
        </is>
      </c>
      <c r="G1011" t="inlineStr">
        <is>
          <t>HUDIKSVALL</t>
        </is>
      </c>
      <c r="I1011" t="n">
        <v>1.2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33157-2025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45840</v>
      </c>
      <c r="E1012" s="1" t="n">
        <v>46307</v>
      </c>
      <c r="F1012" t="inlineStr">
        <is>
          <t>GÄVLEBORGS LÄN</t>
        </is>
      </c>
      <c r="G1012" t="inlineStr">
        <is>
          <t>HUDIKSVALL</t>
        </is>
      </c>
      <c r="H1012" t="inlineStr">
        <is>
          <t>Holmen skog AB</t>
        </is>
      </c>
      <c r="I1012" t="n">
        <v>5.8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15859-2023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45022</v>
      </c>
      <c r="E1013" s="1" t="n">
        <v>46307</v>
      </c>
      <c r="F1013" t="inlineStr">
        <is>
          <t>GÄVLEBORGS LÄN</t>
        </is>
      </c>
      <c r="G1013" t="inlineStr">
        <is>
          <t>HUDIKSVALL</t>
        </is>
      </c>
      <c r="I1013" t="n">
        <v>1.1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10375-2023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44987</v>
      </c>
      <c r="E1014" s="1" t="n">
        <v>46307</v>
      </c>
      <c r="F1014" t="inlineStr">
        <is>
          <t>GÄVLEBORGS LÄN</t>
        </is>
      </c>
      <c r="G1014" t="inlineStr">
        <is>
          <t>HUDIKSVALL</t>
        </is>
      </c>
      <c r="I1014" t="n">
        <v>6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62378-2025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46007</v>
      </c>
      <c r="E1015" s="1" t="n">
        <v>46307</v>
      </c>
      <c r="F1015" t="inlineStr">
        <is>
          <t>GÄVLEBORGS LÄN</t>
        </is>
      </c>
      <c r="G1015" t="inlineStr">
        <is>
          <t>HUDIKSVALL</t>
        </is>
      </c>
      <c r="I1015" t="n">
        <v>2.3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19781-2026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46135</v>
      </c>
      <c r="E1016" s="1" t="n">
        <v>46307</v>
      </c>
      <c r="F1016" t="inlineStr">
        <is>
          <t>GÄVLEBORGS LÄN</t>
        </is>
      </c>
      <c r="G1016" t="inlineStr">
        <is>
          <t>HUDIKSVALL</t>
        </is>
      </c>
      <c r="H1016" t="inlineStr">
        <is>
          <t>Holmen skog AB</t>
        </is>
      </c>
      <c r="I1016" t="n">
        <v>2.5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32685-2025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45838</v>
      </c>
      <c r="E1017" s="1" t="n">
        <v>46307</v>
      </c>
      <c r="F1017" t="inlineStr">
        <is>
          <t>GÄVLEBORGS LÄN</t>
        </is>
      </c>
      <c r="G1017" t="inlineStr">
        <is>
          <t>HUDIKSVALL</t>
        </is>
      </c>
      <c r="H1017" t="inlineStr">
        <is>
          <t>Holmen skog AB</t>
        </is>
      </c>
      <c r="I1017" t="n">
        <v>3.7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58059-2025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45982</v>
      </c>
      <c r="E1018" s="1" t="n">
        <v>46307</v>
      </c>
      <c r="F1018" t="inlineStr">
        <is>
          <t>GÄVLEBORGS LÄN</t>
        </is>
      </c>
      <c r="G1018" t="inlineStr">
        <is>
          <t>HUDIKSVALL</t>
        </is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16995-2024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45412</v>
      </c>
      <c r="E1019" s="1" t="n">
        <v>46307</v>
      </c>
      <c r="F1019" t="inlineStr">
        <is>
          <t>GÄVLEBORGS LÄN</t>
        </is>
      </c>
      <c r="G1019" t="inlineStr">
        <is>
          <t>HUDIKSVALL</t>
        </is>
      </c>
      <c r="H1019" t="inlineStr">
        <is>
          <t>Holmen skog AB</t>
        </is>
      </c>
      <c r="I1019" t="n">
        <v>28.6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19848-2026</t>
        </is>
      </c>
      <c r="B1020" t="inlineStr">
        <is>
          <t>avverkningsanmälan</t>
        </is>
      </c>
      <c r="C1020" t="inlineStr">
        <is>
          <t>Föryngringsavverkning</t>
        </is>
      </c>
      <c r="D1020" s="1" t="n">
        <v>46135</v>
      </c>
      <c r="E1020" s="1" t="n">
        <v>46307</v>
      </c>
      <c r="F1020" t="inlineStr">
        <is>
          <t>GÄVLEBORGS LÄN</t>
        </is>
      </c>
      <c r="G1020" t="inlineStr">
        <is>
          <t>HUDIKSVALL</t>
        </is>
      </c>
      <c r="I1020" t="n">
        <v>1.3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50637-2025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45945</v>
      </c>
      <c r="E1021" s="1" t="n">
        <v>46307</v>
      </c>
      <c r="F1021" t="inlineStr">
        <is>
          <t>GÄVLEBORGS LÄN</t>
        </is>
      </c>
      <c r="G1021" t="inlineStr">
        <is>
          <t>HUDIKSVALL</t>
        </is>
      </c>
      <c r="H1021" t="inlineStr">
        <is>
          <t>Holmen skog AB</t>
        </is>
      </c>
      <c r="I1021" t="n">
        <v>2.2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63067-2025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46009</v>
      </c>
      <c r="E1022" s="1" t="n">
        <v>46307</v>
      </c>
      <c r="F1022" t="inlineStr">
        <is>
          <t>GÄVLEBORGS LÄN</t>
        </is>
      </c>
      <c r="G1022" t="inlineStr">
        <is>
          <t>HUDIKSVALL</t>
        </is>
      </c>
      <c r="I1022" t="n">
        <v>0.8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14653-2026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46101</v>
      </c>
      <c r="E1023" s="1" t="n">
        <v>46307</v>
      </c>
      <c r="F1023" t="inlineStr">
        <is>
          <t>GÄVLEBORGS LÄN</t>
        </is>
      </c>
      <c r="G1023" t="inlineStr">
        <is>
          <t>HUDIKSVALL</t>
        </is>
      </c>
      <c r="I1023" t="n">
        <v>1.1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24092-2023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45079</v>
      </c>
      <c r="E1024" s="1" t="n">
        <v>46307</v>
      </c>
      <c r="F1024" t="inlineStr">
        <is>
          <t>GÄVLEBORGS LÄN</t>
        </is>
      </c>
      <c r="G1024" t="inlineStr">
        <is>
          <t>HUDIKSVALL</t>
        </is>
      </c>
      <c r="H1024" t="inlineStr">
        <is>
          <t>Holmen skog AB</t>
        </is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17164-2023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45034</v>
      </c>
      <c r="E1025" s="1" t="n">
        <v>46307</v>
      </c>
      <c r="F1025" t="inlineStr">
        <is>
          <t>GÄVLEBORGS LÄN</t>
        </is>
      </c>
      <c r="G1025" t="inlineStr">
        <is>
          <t>HUDIKSVALL</t>
        </is>
      </c>
      <c r="I1025" t="n">
        <v>2.8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19864-2026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46135</v>
      </c>
      <c r="E1026" s="1" t="n">
        <v>46307</v>
      </c>
      <c r="F1026" t="inlineStr">
        <is>
          <t>GÄVLEBORGS LÄN</t>
        </is>
      </c>
      <c r="G1026" t="inlineStr">
        <is>
          <t>HUDIKSVALL</t>
        </is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63072-2025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46009</v>
      </c>
      <c r="E1027" s="1" t="n">
        <v>46307</v>
      </c>
      <c r="F1027" t="inlineStr">
        <is>
          <t>GÄVLEBORGS LÄN</t>
        </is>
      </c>
      <c r="G1027" t="inlineStr">
        <is>
          <t>HUDIKSVALL</t>
        </is>
      </c>
      <c r="I1027" t="n">
        <v>1.5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63557-2025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46013</v>
      </c>
      <c r="E1028" s="1" t="n">
        <v>46307</v>
      </c>
      <c r="F1028" t="inlineStr">
        <is>
          <t>GÄVLEBORGS LÄN</t>
        </is>
      </c>
      <c r="G1028" t="inlineStr">
        <is>
          <t>HUDIKSVALL</t>
        </is>
      </c>
      <c r="I1028" t="n">
        <v>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1255-2026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46031</v>
      </c>
      <c r="E1029" s="1" t="n">
        <v>46307</v>
      </c>
      <c r="F1029" t="inlineStr">
        <is>
          <t>GÄVLEBORGS LÄN</t>
        </is>
      </c>
      <c r="G1029" t="inlineStr">
        <is>
          <t>HUDIKSVALL</t>
        </is>
      </c>
      <c r="I1029" t="n">
        <v>1.8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6732-2026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46056</v>
      </c>
      <c r="E1030" s="1" t="n">
        <v>46307</v>
      </c>
      <c r="F1030" t="inlineStr">
        <is>
          <t>GÄVLEBORGS LÄN</t>
        </is>
      </c>
      <c r="G1030" t="inlineStr">
        <is>
          <t>HUDIKSVALL</t>
        </is>
      </c>
      <c r="I1030" t="n">
        <v>3.7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9586-2026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46071</v>
      </c>
      <c r="E1031" s="1" t="n">
        <v>46307</v>
      </c>
      <c r="F1031" t="inlineStr">
        <is>
          <t>GÄVLEBORGS LÄN</t>
        </is>
      </c>
      <c r="G1031" t="inlineStr">
        <is>
          <t>HUDIKSVALL</t>
        </is>
      </c>
      <c r="I1031" t="n">
        <v>3.9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63541-2025</t>
        </is>
      </c>
      <c r="B1032" t="inlineStr">
        <is>
          <t>avverkningsanmälan</t>
        </is>
      </c>
      <c r="C1032" t="inlineStr">
        <is>
          <t>Avverkning för annat ändamål</t>
        </is>
      </c>
      <c r="D1032" s="1" t="n">
        <v>46013</v>
      </c>
      <c r="E1032" s="1" t="n">
        <v>46307</v>
      </c>
      <c r="F1032" t="inlineStr">
        <is>
          <t>GÄVLEBORGS LÄN</t>
        </is>
      </c>
      <c r="G1032" t="inlineStr">
        <is>
          <t>HUDIKSVALL</t>
        </is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63819-2025</t>
        </is>
      </c>
      <c r="B1033" t="inlineStr">
        <is>
          <t>avverkningsanmälan</t>
        </is>
      </c>
      <c r="C1033" t="inlineStr">
        <is>
          <t>Föryngringsavverkning</t>
        </is>
      </c>
      <c r="D1033" s="1" t="n">
        <v>46020</v>
      </c>
      <c r="E1033" s="1" t="n">
        <v>46307</v>
      </c>
      <c r="F1033" t="inlineStr">
        <is>
          <t>GÄVLEBORGS LÄN</t>
        </is>
      </c>
      <c r="G1033" t="inlineStr">
        <is>
          <t>HUDIKSVALL</t>
        </is>
      </c>
      <c r="I1033" t="n">
        <v>3.9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63798-2025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46019</v>
      </c>
      <c r="E1034" s="1" t="n">
        <v>46307</v>
      </c>
      <c r="F1034" t="inlineStr">
        <is>
          <t>GÄVLEBORGS LÄN</t>
        </is>
      </c>
      <c r="G1034" t="inlineStr">
        <is>
          <t>HUDIKSVALL</t>
        </is>
      </c>
      <c r="I1034" t="n">
        <v>6.8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63925-2025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46020</v>
      </c>
      <c r="E1035" s="1" t="n">
        <v>46307</v>
      </c>
      <c r="F1035" t="inlineStr">
        <is>
          <t>GÄVLEBORGS LÄN</t>
        </is>
      </c>
      <c r="G1035" t="inlineStr">
        <is>
          <t>HUDIKSVALL</t>
        </is>
      </c>
      <c r="I1035" t="n">
        <v>2.6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63911-2025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46020</v>
      </c>
      <c r="E1036" s="1" t="n">
        <v>46307</v>
      </c>
      <c r="F1036" t="inlineStr">
        <is>
          <t>GÄVLEBORGS LÄN</t>
        </is>
      </c>
      <c r="G1036" t="inlineStr">
        <is>
          <t>HUDIKSVALL</t>
        </is>
      </c>
      <c r="I1036" t="n">
        <v>1.7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  <c r="Z1036">
        <f>HYPERLINK("https://klasma.github.io/Logging_2184/knärot/A 63911-2025 karta knärot.png", "A 63911-2025")</f>
        <v/>
      </c>
      <c r="AA1036">
        <f>HYPERLINK("https://klasma.github.io/Logging_2184/klagomål/A 63911-2025 FSC-klagomål.docx", "A 63911-2025")</f>
        <v/>
      </c>
      <c r="AB1036">
        <f>HYPERLINK("https://klasma.github.io/Logging_2184/klagomålsmail/A 63911-2025 FSC-klagomål mail.docx", "A 63911-2025")</f>
        <v/>
      </c>
      <c r="AC1036">
        <f>HYPERLINK("https://klasma.github.io/Logging_2184/tillsyn/A 63911-2025 tillsynsbegäran.docx", "A 63911-2025")</f>
        <v/>
      </c>
      <c r="AD1036">
        <f>HYPERLINK("https://klasma.github.io/Logging_2184/tillsynsmail/A 63911-2025 tillsynsbegäran mail.docx", "A 63911-2025")</f>
        <v/>
      </c>
    </row>
    <row r="1037" ht="15" customHeight="1">
      <c r="A1037" t="inlineStr">
        <is>
          <t>A 12511-2026</t>
        </is>
      </c>
      <c r="B1037" t="inlineStr">
        <is>
          <t>avverkningsanmälan</t>
        </is>
      </c>
      <c r="C1037" t="inlineStr">
        <is>
          <t>Föryngringsavverkning</t>
        </is>
      </c>
      <c r="D1037" s="1" t="n">
        <v>46090</v>
      </c>
      <c r="E1037" s="1" t="n">
        <v>46307</v>
      </c>
      <c r="F1037" t="inlineStr">
        <is>
          <t>GÄVLEBORGS LÄN</t>
        </is>
      </c>
      <c r="G1037" t="inlineStr">
        <is>
          <t>HUDIKSVALL</t>
        </is>
      </c>
      <c r="I1037" t="n">
        <v>5.2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12580-2026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46090</v>
      </c>
      <c r="E1038" s="1" t="n">
        <v>46307</v>
      </c>
      <c r="F1038" t="inlineStr">
        <is>
          <t>GÄVLEBORGS LÄN</t>
        </is>
      </c>
      <c r="G1038" t="inlineStr">
        <is>
          <t>HUDIKSVALL</t>
        </is>
      </c>
      <c r="H1038" t="inlineStr">
        <is>
          <t>Holmen skog AB</t>
        </is>
      </c>
      <c r="I1038" t="n">
        <v>0.8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63963-2025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46020</v>
      </c>
      <c r="E1039" s="1" t="n">
        <v>46307</v>
      </c>
      <c r="F1039" t="inlineStr">
        <is>
          <t>GÄVLEBORGS LÄN</t>
        </is>
      </c>
      <c r="G1039" t="inlineStr">
        <is>
          <t>HUDIKSVALL</t>
        </is>
      </c>
      <c r="I1039" t="n">
        <v>1.9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64082-2025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46021</v>
      </c>
      <c r="E1040" s="1" t="n">
        <v>46307</v>
      </c>
      <c r="F1040" t="inlineStr">
        <is>
          <t>GÄVLEBORGS LÄN</t>
        </is>
      </c>
      <c r="G1040" t="inlineStr">
        <is>
          <t>HUDIKSVALL</t>
        </is>
      </c>
      <c r="I1040" t="n">
        <v>4.4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11735-2026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46084</v>
      </c>
      <c r="E1041" s="1" t="n">
        <v>46307</v>
      </c>
      <c r="F1041" t="inlineStr">
        <is>
          <t>GÄVLEBORGS LÄN</t>
        </is>
      </c>
      <c r="G1041" t="inlineStr">
        <is>
          <t>HUDIKSVALL</t>
        </is>
      </c>
      <c r="I1041" t="n">
        <v>1.7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11132-2026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46079</v>
      </c>
      <c r="E1042" s="1" t="n">
        <v>46307</v>
      </c>
      <c r="F1042" t="inlineStr">
        <is>
          <t>GÄVLEBORGS LÄN</t>
        </is>
      </c>
      <c r="G1042" t="inlineStr">
        <is>
          <t>HUDIKSVALL</t>
        </is>
      </c>
      <c r="I1042" t="n">
        <v>3.6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64086-2025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46021</v>
      </c>
      <c r="E1043" s="1" t="n">
        <v>46307</v>
      </c>
      <c r="F1043" t="inlineStr">
        <is>
          <t>GÄVLEBORGS LÄN</t>
        </is>
      </c>
      <c r="G1043" t="inlineStr">
        <is>
          <t>HUDIKSVALL</t>
        </is>
      </c>
      <c r="I1043" t="n">
        <v>1.8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64091-2025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46021</v>
      </c>
      <c r="E1044" s="1" t="n">
        <v>46307</v>
      </c>
      <c r="F1044" t="inlineStr">
        <is>
          <t>GÄVLEBORGS LÄN</t>
        </is>
      </c>
      <c r="G1044" t="inlineStr">
        <is>
          <t>HUDIKSVALL</t>
        </is>
      </c>
      <c r="I1044" t="n">
        <v>3.6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36342-2025</t>
        </is>
      </c>
      <c r="B1045" t="inlineStr">
        <is>
          <t>avverkningsanmälan</t>
        </is>
      </c>
      <c r="C1045" t="inlineStr">
        <is>
          <t>Föryngringsavverkning</t>
        </is>
      </c>
      <c r="D1045" s="1" t="n">
        <v>45868</v>
      </c>
      <c r="E1045" s="1" t="n">
        <v>46307</v>
      </c>
      <c r="F1045" t="inlineStr">
        <is>
          <t>GÄVLEBORGS LÄN</t>
        </is>
      </c>
      <c r="G1045" t="inlineStr">
        <is>
          <t>HUDIKSVALL</t>
        </is>
      </c>
      <c r="I1045" t="n">
        <v>4.2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57199-2022</t>
        </is>
      </c>
      <c r="B1046" t="inlineStr">
        <is>
          <t>avverkningsanmälan</t>
        </is>
      </c>
      <c r="C1046" t="inlineStr">
        <is>
          <t>Avverkning för annat ändamål</t>
        </is>
      </c>
      <c r="D1046" s="1" t="n">
        <v>44895</v>
      </c>
      <c r="E1046" s="1" t="n">
        <v>46307</v>
      </c>
      <c r="F1046" t="inlineStr">
        <is>
          <t>GÄVLEBORGS LÄN</t>
        </is>
      </c>
      <c r="G1046" t="inlineStr">
        <is>
          <t>HUDIKSVALL</t>
        </is>
      </c>
      <c r="I1046" t="n">
        <v>7.2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61-2026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46024</v>
      </c>
      <c r="E1047" s="1" t="n">
        <v>46307</v>
      </c>
      <c r="F1047" t="inlineStr">
        <is>
          <t>GÄVLEBORGS LÄN</t>
        </is>
      </c>
      <c r="G1047" t="inlineStr">
        <is>
          <t>HUDIKSVALL</t>
        </is>
      </c>
      <c r="I1047" t="n">
        <v>3.5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10373-2026</t>
        </is>
      </c>
      <c r="B1048" t="inlineStr">
        <is>
          <t>avverkningsanmälan</t>
        </is>
      </c>
      <c r="C1048" t="inlineStr">
        <is>
          <t>Föryngringsavverkning</t>
        </is>
      </c>
      <c r="D1048" s="1" t="n">
        <v>46076</v>
      </c>
      <c r="E1048" s="1" t="n">
        <v>46307</v>
      </c>
      <c r="F1048" t="inlineStr">
        <is>
          <t>GÄVLEBORGS LÄN</t>
        </is>
      </c>
      <c r="G1048" t="inlineStr">
        <is>
          <t>HUDIKSVALL</t>
        </is>
      </c>
      <c r="H1048" t="inlineStr">
        <is>
          <t>Holmen skog AB</t>
        </is>
      </c>
      <c r="I1048" t="n">
        <v>1.6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109-2026</t>
        </is>
      </c>
      <c r="B1049" t="inlineStr">
        <is>
          <t>avverkningsanmälan</t>
        </is>
      </c>
      <c r="C1049" t="inlineStr">
        <is>
          <t>Föryngringsavverkning</t>
        </is>
      </c>
      <c r="D1049" s="1" t="n">
        <v>46024</v>
      </c>
      <c r="E1049" s="1" t="n">
        <v>46307</v>
      </c>
      <c r="F1049" t="inlineStr">
        <is>
          <t>GÄVLEBORGS LÄN</t>
        </is>
      </c>
      <c r="G1049" t="inlineStr">
        <is>
          <t>HUDIKSVALL</t>
        </is>
      </c>
      <c r="I1049" t="n">
        <v>2.3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8264-2026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46064</v>
      </c>
      <c r="E1050" s="1" t="n">
        <v>46307</v>
      </c>
      <c r="F1050" t="inlineStr">
        <is>
          <t>GÄVLEBORGS LÄN</t>
        </is>
      </c>
      <c r="G1050" t="inlineStr">
        <is>
          <t>HUDIKSVALL</t>
        </is>
      </c>
      <c r="I1050" t="n">
        <v>1.6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5191-2025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45691</v>
      </c>
      <c r="E1051" s="1" t="n">
        <v>46307</v>
      </c>
      <c r="F1051" t="inlineStr">
        <is>
          <t>GÄVLEBORGS LÄN</t>
        </is>
      </c>
      <c r="G1051" t="inlineStr">
        <is>
          <t>HUDIKSVALL</t>
        </is>
      </c>
      <c r="I1051" t="n">
        <v>2.3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16070-2025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45749</v>
      </c>
      <c r="E1052" s="1" t="n">
        <v>46307</v>
      </c>
      <c r="F1052" t="inlineStr">
        <is>
          <t>GÄVLEBORGS LÄN</t>
        </is>
      </c>
      <c r="G1052" t="inlineStr">
        <is>
          <t>HUDIKSVALL</t>
        </is>
      </c>
      <c r="I1052" t="n">
        <v>2.2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314-2026</t>
        </is>
      </c>
      <c r="B1053" t="inlineStr">
        <is>
          <t>avverkningsanmälan</t>
        </is>
      </c>
      <c r="C1053" t="inlineStr">
        <is>
          <t>Föryngringsavverkning</t>
        </is>
      </c>
      <c r="D1053" s="1" t="n">
        <v>46027</v>
      </c>
      <c r="E1053" s="1" t="n">
        <v>46307</v>
      </c>
      <c r="F1053" t="inlineStr">
        <is>
          <t>GÄVLEBORGS LÄN</t>
        </is>
      </c>
      <c r="G1053" t="inlineStr">
        <is>
          <t>HUDIKSVALL</t>
        </is>
      </c>
      <c r="I1053" t="n">
        <v>2.2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11759-2022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44634</v>
      </c>
      <c r="E1054" s="1" t="n">
        <v>46307</v>
      </c>
      <c r="F1054" t="inlineStr">
        <is>
          <t>GÄVLEBORGS LÄN</t>
        </is>
      </c>
      <c r="G1054" t="inlineStr">
        <is>
          <t>HUDIKSVALL</t>
        </is>
      </c>
      <c r="I1054" t="n">
        <v>1.5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10130-2025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45719</v>
      </c>
      <c r="E1055" s="1" t="n">
        <v>46307</v>
      </c>
      <c r="F1055" t="inlineStr">
        <is>
          <t>GÄVLEBORGS LÄN</t>
        </is>
      </c>
      <c r="G1055" t="inlineStr">
        <is>
          <t>HUDIKSVALL</t>
        </is>
      </c>
      <c r="I1055" t="n">
        <v>1.3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62469-2025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46007</v>
      </c>
      <c r="E1056" s="1" t="n">
        <v>46307</v>
      </c>
      <c r="F1056" t="inlineStr">
        <is>
          <t>GÄVLEBORGS LÄN</t>
        </is>
      </c>
      <c r="G1056" t="inlineStr">
        <is>
          <t>HUDIKSVALL</t>
        </is>
      </c>
      <c r="I1056" t="n">
        <v>1.2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7496-2025</t>
        </is>
      </c>
      <c r="B1057" t="inlineStr">
        <is>
          <t>avverkningsanmälan</t>
        </is>
      </c>
      <c r="C1057" t="inlineStr">
        <is>
          <t>Föryngringsavverkning</t>
        </is>
      </c>
      <c r="D1057" s="1" t="n">
        <v>45702</v>
      </c>
      <c r="E1057" s="1" t="n">
        <v>46307</v>
      </c>
      <c r="F1057" t="inlineStr">
        <is>
          <t>GÄVLEBORGS LÄN</t>
        </is>
      </c>
      <c r="G1057" t="inlineStr">
        <is>
          <t>HUDIKSVALL</t>
        </is>
      </c>
      <c r="I1057" t="n">
        <v>0.8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210-2026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46026</v>
      </c>
      <c r="E1058" s="1" t="n">
        <v>46307</v>
      </c>
      <c r="F1058" t="inlineStr">
        <is>
          <t>GÄVLEBORGS LÄN</t>
        </is>
      </c>
      <c r="G1058" t="inlineStr">
        <is>
          <t>HUDIKSVALL</t>
        </is>
      </c>
      <c r="I1058" t="n">
        <v>3.7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9563-2025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45715</v>
      </c>
      <c r="E1059" s="1" t="n">
        <v>46307</v>
      </c>
      <c r="F1059" t="inlineStr">
        <is>
          <t>GÄVLEBORGS LÄN</t>
        </is>
      </c>
      <c r="G1059" t="inlineStr">
        <is>
          <t>HUDIKSVALL</t>
        </is>
      </c>
      <c r="I1059" t="n">
        <v>2.2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36388-2025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45868</v>
      </c>
      <c r="E1060" s="1" t="n">
        <v>46307</v>
      </c>
      <c r="F1060" t="inlineStr">
        <is>
          <t>GÄVLEBORGS LÄN</t>
        </is>
      </c>
      <c r="G1060" t="inlineStr">
        <is>
          <t>HUDIKSVALL</t>
        </is>
      </c>
      <c r="I1060" t="n">
        <v>2.3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36394-2025</t>
        </is>
      </c>
      <c r="B1061" t="inlineStr">
        <is>
          <t>avverkningsanmälan</t>
        </is>
      </c>
      <c r="C1061" t="inlineStr">
        <is>
          <t>Föryngringsavverkning</t>
        </is>
      </c>
      <c r="D1061" s="1" t="n">
        <v>45868</v>
      </c>
      <c r="E1061" s="1" t="n">
        <v>46307</v>
      </c>
      <c r="F1061" t="inlineStr">
        <is>
          <t>GÄVLEBORGS LÄN</t>
        </is>
      </c>
      <c r="G1061" t="inlineStr">
        <is>
          <t>HUDIKSVALL</t>
        </is>
      </c>
      <c r="I1061" t="n">
        <v>1.9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48448-2025</t>
        </is>
      </c>
      <c r="B1062" t="inlineStr">
        <is>
          <t>avverkningsanmälan</t>
        </is>
      </c>
      <c r="C1062" t="inlineStr">
        <is>
          <t>Föryngringsavverkning</t>
        </is>
      </c>
      <c r="D1062" s="1" t="n">
        <v>45935</v>
      </c>
      <c r="E1062" s="1" t="n">
        <v>46307</v>
      </c>
      <c r="F1062" t="inlineStr">
        <is>
          <t>GÄVLEBORGS LÄN</t>
        </is>
      </c>
      <c r="G1062" t="inlineStr">
        <is>
          <t>HUDIKSVALL</t>
        </is>
      </c>
      <c r="I1062" t="n">
        <v>2.3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39335-2025</t>
        </is>
      </c>
      <c r="B1063" t="inlineStr">
        <is>
          <t>avverkningsanmälan</t>
        </is>
      </c>
      <c r="C1063" t="inlineStr">
        <is>
          <t>Föryngringsavverkning</t>
        </is>
      </c>
      <c r="D1063" s="1" t="n">
        <v>45889</v>
      </c>
      <c r="E1063" s="1" t="n">
        <v>46307</v>
      </c>
      <c r="F1063" t="inlineStr">
        <is>
          <t>GÄVLEBORGS LÄN</t>
        </is>
      </c>
      <c r="G1063" t="inlineStr">
        <is>
          <t>HUDIKSVALL</t>
        </is>
      </c>
      <c r="I1063" t="n">
        <v>3.4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212-2026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46026</v>
      </c>
      <c r="E1064" s="1" t="n">
        <v>46307</v>
      </c>
      <c r="F1064" t="inlineStr">
        <is>
          <t>GÄVLEBORGS LÄN</t>
        </is>
      </c>
      <c r="G1064" t="inlineStr">
        <is>
          <t>HUDIKSVALL</t>
        </is>
      </c>
      <c r="I1064" t="n">
        <v>4.2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218-2026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46026</v>
      </c>
      <c r="E1065" s="1" t="n">
        <v>46307</v>
      </c>
      <c r="F1065" t="inlineStr">
        <is>
          <t>GÄVLEBORGS LÄN</t>
        </is>
      </c>
      <c r="G1065" t="inlineStr">
        <is>
          <t>HUDIKSVALL</t>
        </is>
      </c>
      <c r="I1065" t="n">
        <v>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213-2026</t>
        </is>
      </c>
      <c r="B1066" t="inlineStr">
        <is>
          <t>avverkningsanmälan</t>
        </is>
      </c>
      <c r="C1066" t="inlineStr">
        <is>
          <t>Föryngringsavverkning</t>
        </is>
      </c>
      <c r="D1066" s="1" t="n">
        <v>46026</v>
      </c>
      <c r="E1066" s="1" t="n">
        <v>46307</v>
      </c>
      <c r="F1066" t="inlineStr">
        <is>
          <t>GÄVLEBORGS LÄN</t>
        </is>
      </c>
      <c r="G1066" t="inlineStr">
        <is>
          <t>HUDIKSVALL</t>
        </is>
      </c>
      <c r="I1066" t="n">
        <v>3.6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A 215-2026</t>
        </is>
      </c>
      <c r="B1067" t="inlineStr">
        <is>
          <t>avverkningsanmälan</t>
        </is>
      </c>
      <c r="C1067" t="inlineStr">
        <is>
          <t>Föryngringsavverkning</t>
        </is>
      </c>
      <c r="D1067" s="1" t="n">
        <v>46026</v>
      </c>
      <c r="E1067" s="1" t="n">
        <v>46307</v>
      </c>
      <c r="F1067" t="inlineStr">
        <is>
          <t>GÄVLEBORGS LÄN</t>
        </is>
      </c>
      <c r="G1067" t="inlineStr">
        <is>
          <t>HUDIKSVALL</t>
        </is>
      </c>
      <c r="I1067" t="n">
        <v>15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A 20639-2025</t>
        </is>
      </c>
      <c r="B1068" t="inlineStr">
        <is>
          <t>avverkningsanmälan</t>
        </is>
      </c>
      <c r="C1068" t="inlineStr">
        <is>
          <t>Föryngringsavverkning</t>
        </is>
      </c>
      <c r="D1068" s="1" t="n">
        <v>45776</v>
      </c>
      <c r="E1068" s="1" t="n">
        <v>46307</v>
      </c>
      <c r="F1068" t="inlineStr">
        <is>
          <t>GÄVLEBORGS LÄN</t>
        </is>
      </c>
      <c r="G1068" t="inlineStr">
        <is>
          <t>HUDIKSVALL</t>
        </is>
      </c>
      <c r="I1068" t="n">
        <v>1.5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A 13603-2025</t>
        </is>
      </c>
      <c r="B1069" t="inlineStr">
        <is>
          <t>avverkningsanmälan</t>
        </is>
      </c>
      <c r="C1069" t="inlineStr">
        <is>
          <t>Avverkning för annat ändamål</t>
        </is>
      </c>
      <c r="D1069" s="1" t="n">
        <v>45736</v>
      </c>
      <c r="E1069" s="1" t="n">
        <v>46307</v>
      </c>
      <c r="F1069" t="inlineStr">
        <is>
          <t>GÄVLEBORGS LÄN</t>
        </is>
      </c>
      <c r="G1069" t="inlineStr">
        <is>
          <t>HUDIKSVALL</t>
        </is>
      </c>
      <c r="I1069" t="n">
        <v>3.1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A 36503-2025</t>
        </is>
      </c>
      <c r="B1070" t="inlineStr">
        <is>
          <t>avverkningsanmälan</t>
        </is>
      </c>
      <c r="C1070" t="inlineStr">
        <is>
          <t>Föryngringsavverkning</t>
        </is>
      </c>
      <c r="D1070" s="1" t="n">
        <v>45869</v>
      </c>
      <c r="E1070" s="1" t="n">
        <v>46307</v>
      </c>
      <c r="F1070" t="inlineStr">
        <is>
          <t>GÄVLEBORGS LÄN</t>
        </is>
      </c>
      <c r="G1070" t="inlineStr">
        <is>
          <t>HUDIKSVALL</t>
        </is>
      </c>
      <c r="I1070" t="n">
        <v>0.9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A 9309-2022</t>
        </is>
      </c>
      <c r="B1071" t="inlineStr">
        <is>
          <t>avverkningsanmälan</t>
        </is>
      </c>
      <c r="C1071" t="inlineStr">
        <is>
          <t>Föryngringsavverkning</t>
        </is>
      </c>
      <c r="D1071" s="1" t="n">
        <v>44616</v>
      </c>
      <c r="E1071" s="1" t="n">
        <v>46307</v>
      </c>
      <c r="F1071" t="inlineStr">
        <is>
          <t>GÄVLEBORGS LÄN</t>
        </is>
      </c>
      <c r="G1071" t="inlineStr">
        <is>
          <t>HUDIKSVALL</t>
        </is>
      </c>
      <c r="I1071" t="n">
        <v>1.7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A 54676-2024</t>
        </is>
      </c>
      <c r="B1072" t="inlineStr">
        <is>
          <t>avverkningsanmälan</t>
        </is>
      </c>
      <c r="C1072" t="inlineStr">
        <is>
          <t>Föryngringsavverkning</t>
        </is>
      </c>
      <c r="D1072" s="1" t="n">
        <v>45618</v>
      </c>
      <c r="E1072" s="1" t="n">
        <v>46307</v>
      </c>
      <c r="F1072" t="inlineStr">
        <is>
          <t>GÄVLEBORGS LÄN</t>
        </is>
      </c>
      <c r="G1072" t="inlineStr">
        <is>
          <t>HUDIKSVALL</t>
        </is>
      </c>
      <c r="H1072" t="inlineStr">
        <is>
          <t>Holmen skog AB</t>
        </is>
      </c>
      <c r="I1072" t="n">
        <v>1.3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A 9989-2025</t>
        </is>
      </c>
      <c r="B1073" t="inlineStr">
        <is>
          <t>avverkningsanmälan</t>
        </is>
      </c>
      <c r="C1073" t="inlineStr">
        <is>
          <t>Föryngringsavverkning</t>
        </is>
      </c>
      <c r="D1073" s="1" t="n">
        <v>45719</v>
      </c>
      <c r="E1073" s="1" t="n">
        <v>46307</v>
      </c>
      <c r="F1073" t="inlineStr">
        <is>
          <t>GÄVLEBORGS LÄN</t>
        </is>
      </c>
      <c r="G1073" t="inlineStr">
        <is>
          <t>HUDIKSVALL</t>
        </is>
      </c>
      <c r="I1073" t="n">
        <v>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A 10890-2025</t>
        </is>
      </c>
      <c r="B1074" t="inlineStr">
        <is>
          <t>avverkningsanmälan</t>
        </is>
      </c>
      <c r="C1074" t="inlineStr">
        <is>
          <t>Föryngringsavverkning</t>
        </is>
      </c>
      <c r="D1074" s="1" t="n">
        <v>45722</v>
      </c>
      <c r="E1074" s="1" t="n">
        <v>46307</v>
      </c>
      <c r="F1074" t="inlineStr">
        <is>
          <t>GÄVLEBORGS LÄN</t>
        </is>
      </c>
      <c r="G1074" t="inlineStr">
        <is>
          <t>HUDIKSVALL</t>
        </is>
      </c>
      <c r="I1074" t="n">
        <v>1.9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A 39232-2025</t>
        </is>
      </c>
      <c r="B1075" t="inlineStr">
        <is>
          <t>avverkningsanmälan</t>
        </is>
      </c>
      <c r="C1075" t="inlineStr">
        <is>
          <t>Föryngringsavverkning</t>
        </is>
      </c>
      <c r="D1075" s="1" t="n">
        <v>45889</v>
      </c>
      <c r="E1075" s="1" t="n">
        <v>46307</v>
      </c>
      <c r="F1075" t="inlineStr">
        <is>
          <t>GÄVLEBORGS LÄN</t>
        </is>
      </c>
      <c r="G1075" t="inlineStr">
        <is>
          <t>HUDIKSVALL</t>
        </is>
      </c>
      <c r="I1075" t="n">
        <v>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A 34363-2022</t>
        </is>
      </c>
      <c r="B1076" t="inlineStr">
        <is>
          <t>avverkningsanmälan</t>
        </is>
      </c>
      <c r="C1076" t="inlineStr">
        <is>
          <t>Föryngringsavverkning</t>
        </is>
      </c>
      <c r="D1076" s="1" t="n">
        <v>44792</v>
      </c>
      <c r="E1076" s="1" t="n">
        <v>46307</v>
      </c>
      <c r="F1076" t="inlineStr">
        <is>
          <t>GÄVLEBORGS LÄN</t>
        </is>
      </c>
      <c r="G1076" t="inlineStr">
        <is>
          <t>HUDIKSVALL</t>
        </is>
      </c>
      <c r="H1076" t="inlineStr">
        <is>
          <t>Holmen skog AB</t>
        </is>
      </c>
      <c r="I1076" t="n">
        <v>1.6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A 54171-2023</t>
        </is>
      </c>
      <c r="B1077" t="inlineStr">
        <is>
          <t>avverkningsanmälan</t>
        </is>
      </c>
      <c r="C1077" t="inlineStr">
        <is>
          <t>Föryngringsavverkning</t>
        </is>
      </c>
      <c r="D1077" s="1" t="n">
        <v>45232</v>
      </c>
      <c r="E1077" s="1" t="n">
        <v>46307</v>
      </c>
      <c r="F1077" t="inlineStr">
        <is>
          <t>GÄVLEBORGS LÄN</t>
        </is>
      </c>
      <c r="G1077" t="inlineStr">
        <is>
          <t>HUDIKSVALL</t>
        </is>
      </c>
      <c r="I1077" t="n">
        <v>4.6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A 460-2026</t>
        </is>
      </c>
      <c r="B1078" t="inlineStr">
        <is>
          <t>avverkningsanmälan</t>
        </is>
      </c>
      <c r="C1078" t="inlineStr">
        <is>
          <t>Föryngringsavverkning</t>
        </is>
      </c>
      <c r="D1078" s="1" t="n">
        <v>46029</v>
      </c>
      <c r="E1078" s="1" t="n">
        <v>46307</v>
      </c>
      <c r="F1078" t="inlineStr">
        <is>
          <t>GÄVLEBORGS LÄN</t>
        </is>
      </c>
      <c r="G1078" t="inlineStr">
        <is>
          <t>HUDIKSVALL</t>
        </is>
      </c>
      <c r="I1078" t="n">
        <v>2.5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A 428-2026</t>
        </is>
      </c>
      <c r="B1079" t="inlineStr">
        <is>
          <t>avverkningsanmälan</t>
        </is>
      </c>
      <c r="C1079" t="inlineStr">
        <is>
          <t>Föryngringsavverkning</t>
        </is>
      </c>
      <c r="D1079" s="1" t="n">
        <v>46029</v>
      </c>
      <c r="E1079" s="1" t="n">
        <v>46307</v>
      </c>
      <c r="F1079" t="inlineStr">
        <is>
          <t>GÄVLEBORGS LÄN</t>
        </is>
      </c>
      <c r="G1079" t="inlineStr">
        <is>
          <t>HUDIKSVALL</t>
        </is>
      </c>
      <c r="I1079" t="n">
        <v>4.2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A 28367-2024</t>
        </is>
      </c>
      <c r="B1080" t="inlineStr">
        <is>
          <t>avverkningsanmälan</t>
        </is>
      </c>
      <c r="C1080" t="inlineStr">
        <is>
          <t>Föryngringsavverkning</t>
        </is>
      </c>
      <c r="D1080" s="1" t="n">
        <v>45477</v>
      </c>
      <c r="E1080" s="1" t="n">
        <v>46307</v>
      </c>
      <c r="F1080" t="inlineStr">
        <is>
          <t>GÄVLEBORGS LÄN</t>
        </is>
      </c>
      <c r="G1080" t="inlineStr">
        <is>
          <t>HUDIKSVALL</t>
        </is>
      </c>
      <c r="H1080" t="inlineStr">
        <is>
          <t>Holmen skog AB</t>
        </is>
      </c>
      <c r="I1080" t="n">
        <v>2.6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A 8754-2023</t>
        </is>
      </c>
      <c r="B1081" t="inlineStr">
        <is>
          <t>avverkningsanmälan</t>
        </is>
      </c>
      <c r="C1081" t="inlineStr">
        <is>
          <t>Föryngringsavverkning</t>
        </is>
      </c>
      <c r="D1081" s="1" t="n">
        <v>44978</v>
      </c>
      <c r="E1081" s="1" t="n">
        <v>46307</v>
      </c>
      <c r="F1081" t="inlineStr">
        <is>
          <t>GÄVLEBORGS LÄN</t>
        </is>
      </c>
      <c r="G1081" t="inlineStr">
        <is>
          <t>HUDIKSVALL</t>
        </is>
      </c>
      <c r="I1081" t="n">
        <v>0.6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A 1024-2026</t>
        </is>
      </c>
      <c r="B1082" t="inlineStr">
        <is>
          <t>avverkningsanmälan</t>
        </is>
      </c>
      <c r="C1082" t="inlineStr">
        <is>
          <t>Föryngringsavverkning</t>
        </is>
      </c>
      <c r="D1082" s="1" t="n">
        <v>46030</v>
      </c>
      <c r="E1082" s="1" t="n">
        <v>46307</v>
      </c>
      <c r="F1082" t="inlineStr">
        <is>
          <t>GÄVLEBORGS LÄN</t>
        </is>
      </c>
      <c r="G1082" t="inlineStr">
        <is>
          <t>HUDIKSVALL</t>
        </is>
      </c>
      <c r="I1082" t="n">
        <v>3.7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A 1006-2026</t>
        </is>
      </c>
      <c r="B1083" t="inlineStr">
        <is>
          <t>avverkningsanmälan</t>
        </is>
      </c>
      <c r="C1083" t="inlineStr">
        <is>
          <t>Föryngringsavverkning</t>
        </is>
      </c>
      <c r="D1083" s="1" t="n">
        <v>46030</v>
      </c>
      <c r="E1083" s="1" t="n">
        <v>46307</v>
      </c>
      <c r="F1083" t="inlineStr">
        <is>
          <t>GÄVLEBORGS LÄN</t>
        </is>
      </c>
      <c r="G1083" t="inlineStr">
        <is>
          <t>HUDIKSVALL</t>
        </is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A 1017-2026</t>
        </is>
      </c>
      <c r="B1084" t="inlineStr">
        <is>
          <t>avverkningsanmälan</t>
        </is>
      </c>
      <c r="C1084" t="inlineStr">
        <is>
          <t>Avverkning för annat ändamål</t>
        </is>
      </c>
      <c r="D1084" s="1" t="n">
        <v>46030</v>
      </c>
      <c r="E1084" s="1" t="n">
        <v>46307</v>
      </c>
      <c r="F1084" t="inlineStr">
        <is>
          <t>GÄVLEBORGS LÄN</t>
        </is>
      </c>
      <c r="G1084" t="inlineStr">
        <is>
          <t>HUDIKSVALL</t>
        </is>
      </c>
      <c r="I1084" t="n">
        <v>0.6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A 1132-2026</t>
        </is>
      </c>
      <c r="B1085" t="inlineStr">
        <is>
          <t>avverkningsanmälan</t>
        </is>
      </c>
      <c r="C1085" t="inlineStr">
        <is>
          <t>Föryngringsavverkning</t>
        </is>
      </c>
      <c r="D1085" s="1" t="n">
        <v>46030</v>
      </c>
      <c r="E1085" s="1" t="n">
        <v>46307</v>
      </c>
      <c r="F1085" t="inlineStr">
        <is>
          <t>GÄVLEBORGS LÄN</t>
        </is>
      </c>
      <c r="G1085" t="inlineStr">
        <is>
          <t>HUDIKSVALL</t>
        </is>
      </c>
      <c r="I1085" t="n">
        <v>12.5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A 4405-2026</t>
        </is>
      </c>
      <c r="B1086" t="inlineStr">
        <is>
          <t>avverkningsanmälan</t>
        </is>
      </c>
      <c r="C1086" t="inlineStr">
        <is>
          <t>Föryngringsavverkning</t>
        </is>
      </c>
      <c r="D1086" s="1" t="n">
        <v>46045</v>
      </c>
      <c r="E1086" s="1" t="n">
        <v>46307</v>
      </c>
      <c r="F1086" t="inlineStr">
        <is>
          <t>GÄVLEBORGS LÄN</t>
        </is>
      </c>
      <c r="G1086" t="inlineStr">
        <is>
          <t>HUDIKSVALL</t>
        </is>
      </c>
      <c r="I1086" t="n">
        <v>3.4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A 9321-2026</t>
        </is>
      </c>
      <c r="B1087" t="inlineStr">
        <is>
          <t>avverkningsanmälan</t>
        </is>
      </c>
      <c r="C1087" t="inlineStr">
        <is>
          <t>Föryngringsavverkning</t>
        </is>
      </c>
      <c r="D1087" s="1" t="n">
        <v>46070</v>
      </c>
      <c r="E1087" s="1" t="n">
        <v>46307</v>
      </c>
      <c r="F1087" t="inlineStr">
        <is>
          <t>GÄVLEBORGS LÄN</t>
        </is>
      </c>
      <c r="G1087" t="inlineStr">
        <is>
          <t>HUDIKSVALL</t>
        </is>
      </c>
      <c r="I1087" t="n">
        <v>1.1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A 27475-2023</t>
        </is>
      </c>
      <c r="B1088" t="inlineStr">
        <is>
          <t>avverkningsanmälan</t>
        </is>
      </c>
      <c r="C1088" t="inlineStr">
        <is>
          <t>Föryngringsavverkning</t>
        </is>
      </c>
      <c r="D1088" s="1" t="n">
        <v>45097</v>
      </c>
      <c r="E1088" s="1" t="n">
        <v>46307</v>
      </c>
      <c r="F1088" t="inlineStr">
        <is>
          <t>GÄVLEBORGS LÄN</t>
        </is>
      </c>
      <c r="G1088" t="inlineStr">
        <is>
          <t>HUDIKSVALL</t>
        </is>
      </c>
      <c r="H1088" t="inlineStr">
        <is>
          <t>Holmen skog AB</t>
        </is>
      </c>
      <c r="I1088" t="n">
        <v>14.6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A 958-2026</t>
        </is>
      </c>
      <c r="B1089" t="inlineStr">
        <is>
          <t>avverkningsanmälan</t>
        </is>
      </c>
      <c r="C1089" t="inlineStr">
        <is>
          <t>Föryngringsavverkning</t>
        </is>
      </c>
      <c r="D1089" s="1" t="n">
        <v>46030</v>
      </c>
      <c r="E1089" s="1" t="n">
        <v>46307</v>
      </c>
      <c r="F1089" t="inlineStr">
        <is>
          <t>GÄVLEBORGS LÄN</t>
        </is>
      </c>
      <c r="G1089" t="inlineStr">
        <is>
          <t>HUDIKSVALL</t>
        </is>
      </c>
      <c r="H1089" t="inlineStr">
        <is>
          <t>Holmen skog AB</t>
        </is>
      </c>
      <c r="I1089" t="n">
        <v>9.1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A 1077-2026</t>
        </is>
      </c>
      <c r="B1090" t="inlineStr">
        <is>
          <t>avverkningsanmälan</t>
        </is>
      </c>
      <c r="C1090" t="inlineStr">
        <is>
          <t>Föryngringsavverkning</t>
        </is>
      </c>
      <c r="D1090" s="1" t="n">
        <v>46030</v>
      </c>
      <c r="E1090" s="1" t="n">
        <v>46307</v>
      </c>
      <c r="F1090" t="inlineStr">
        <is>
          <t>GÄVLEBORGS LÄN</t>
        </is>
      </c>
      <c r="G1090" t="inlineStr">
        <is>
          <t>HUDIKSVALL</t>
        </is>
      </c>
      <c r="I1090" t="n">
        <v>3.8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A 473-2024</t>
        </is>
      </c>
      <c r="B1091" t="inlineStr">
        <is>
          <t>avverkningsanmälan</t>
        </is>
      </c>
      <c r="C1091" t="inlineStr">
        <is>
          <t>Föryngringsavverkning</t>
        </is>
      </c>
      <c r="D1091" s="1" t="n">
        <v>45297</v>
      </c>
      <c r="E1091" s="1" t="n">
        <v>46307</v>
      </c>
      <c r="F1091" t="inlineStr">
        <is>
          <t>GÄVLEBORGS LÄN</t>
        </is>
      </c>
      <c r="G1091" t="inlineStr">
        <is>
          <t>HUDIKSVALL</t>
        </is>
      </c>
      <c r="H1091" t="inlineStr">
        <is>
          <t>Holmen skog AB</t>
        </is>
      </c>
      <c r="I1091" t="n">
        <v>1.6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A 778-2026</t>
        </is>
      </c>
      <c r="B1092" t="inlineStr">
        <is>
          <t>avverkningsanmälan</t>
        </is>
      </c>
      <c r="C1092" t="inlineStr">
        <is>
          <t>Föryngringsavverkning</t>
        </is>
      </c>
      <c r="D1092" s="1" t="n">
        <v>46029</v>
      </c>
      <c r="E1092" s="1" t="n">
        <v>46307</v>
      </c>
      <c r="F1092" t="inlineStr">
        <is>
          <t>GÄVLEBORGS LÄN</t>
        </is>
      </c>
      <c r="G1092" t="inlineStr">
        <is>
          <t>HUDIKSVALL</t>
        </is>
      </c>
      <c r="I1092" t="n">
        <v>1.3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A 43476-2025</t>
        </is>
      </c>
      <c r="B1093" t="inlineStr">
        <is>
          <t>avverkningsanmälan</t>
        </is>
      </c>
      <c r="C1093" t="inlineStr">
        <is>
          <t>Föryngringsavverkning</t>
        </is>
      </c>
      <c r="D1093" s="1" t="n">
        <v>45911</v>
      </c>
      <c r="E1093" s="1" t="n">
        <v>46307</v>
      </c>
      <c r="F1093" t="inlineStr">
        <is>
          <t>GÄVLEBORGS LÄN</t>
        </is>
      </c>
      <c r="G1093" t="inlineStr">
        <is>
          <t>HUDIKSVALL</t>
        </is>
      </c>
      <c r="I1093" t="n">
        <v>5.4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A 9138-2026</t>
        </is>
      </c>
      <c r="B1094" t="inlineStr">
        <is>
          <t>avverkningsanmälan</t>
        </is>
      </c>
      <c r="C1094" t="inlineStr">
        <is>
          <t>Föryngringsavverkning</t>
        </is>
      </c>
      <c r="D1094" s="1" t="n">
        <v>46069</v>
      </c>
      <c r="E1094" s="1" t="n">
        <v>46307</v>
      </c>
      <c r="F1094" t="inlineStr">
        <is>
          <t>GÄVLEBORGS LÄN</t>
        </is>
      </c>
      <c r="G1094" t="inlineStr">
        <is>
          <t>HUDIKSVALL</t>
        </is>
      </c>
      <c r="I1094" t="n">
        <v>1.1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A 30591-2022</t>
        </is>
      </c>
      <c r="B1095" t="inlineStr">
        <is>
          <t>avverkningsanmälan</t>
        </is>
      </c>
      <c r="C1095" t="inlineStr">
        <is>
          <t>Föryngringsavverkning</t>
        </is>
      </c>
      <c r="D1095" s="1" t="n">
        <v>44762</v>
      </c>
      <c r="E1095" s="1" t="n">
        <v>46307</v>
      </c>
      <c r="F1095" t="inlineStr">
        <is>
          <t>GÄVLEBORGS LÄN</t>
        </is>
      </c>
      <c r="G1095" t="inlineStr">
        <is>
          <t>HUDIKSVALL</t>
        </is>
      </c>
      <c r="H1095" t="inlineStr">
        <is>
          <t>Sveaskog</t>
        </is>
      </c>
      <c r="I1095" t="n">
        <v>2.7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A 1655-2026</t>
        </is>
      </c>
      <c r="B1096" t="inlineStr">
        <is>
          <t>avverkningsanmälan</t>
        </is>
      </c>
      <c r="C1096" t="inlineStr">
        <is>
          <t>Föryngringsavverkning</t>
        </is>
      </c>
      <c r="D1096" s="1" t="n">
        <v>46034</v>
      </c>
      <c r="E1096" s="1" t="n">
        <v>46307</v>
      </c>
      <c r="F1096" t="inlineStr">
        <is>
          <t>GÄVLEBORGS LÄN</t>
        </is>
      </c>
      <c r="G1096" t="inlineStr">
        <is>
          <t>HUDIKSVALL</t>
        </is>
      </c>
      <c r="I1096" t="n">
        <v>4.6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A 50325-2025</t>
        </is>
      </c>
      <c r="B1097" t="inlineStr">
        <is>
          <t>avverkningsanmälan</t>
        </is>
      </c>
      <c r="C1097" t="inlineStr">
        <is>
          <t>Föryngringsavverkning</t>
        </is>
      </c>
      <c r="D1097" s="1" t="n">
        <v>45944</v>
      </c>
      <c r="E1097" s="1" t="n">
        <v>46307</v>
      </c>
      <c r="F1097" t="inlineStr">
        <is>
          <t>GÄVLEBORGS LÄN</t>
        </is>
      </c>
      <c r="G1097" t="inlineStr">
        <is>
          <t>HUDIKSVALL</t>
        </is>
      </c>
      <c r="I1097" t="n">
        <v>2.8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A 1777-2026</t>
        </is>
      </c>
      <c r="B1098" t="inlineStr">
        <is>
          <t>avverkningsanmälan</t>
        </is>
      </c>
      <c r="C1098" t="inlineStr">
        <is>
          <t>Föryngringsavverkning</t>
        </is>
      </c>
      <c r="D1098" s="1" t="n">
        <v>46034</v>
      </c>
      <c r="E1098" s="1" t="n">
        <v>46307</v>
      </c>
      <c r="F1098" t="inlineStr">
        <is>
          <t>GÄVLEBORGS LÄN</t>
        </is>
      </c>
      <c r="G1098" t="inlineStr">
        <is>
          <t>HUDIKSVALL</t>
        </is>
      </c>
      <c r="I1098" t="n">
        <v>3.8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A 1514-2026</t>
        </is>
      </c>
      <c r="B1099" t="inlineStr">
        <is>
          <t>avverkningsanmälan</t>
        </is>
      </c>
      <c r="C1099" t="inlineStr">
        <is>
          <t>Föryngringsavverkning</t>
        </is>
      </c>
      <c r="D1099" s="1" t="n">
        <v>46034</v>
      </c>
      <c r="E1099" s="1" t="n">
        <v>46307</v>
      </c>
      <c r="F1099" t="inlineStr">
        <is>
          <t>GÄVLEBORGS LÄN</t>
        </is>
      </c>
      <c r="G1099" t="inlineStr">
        <is>
          <t>HUDIKSVALL</t>
        </is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A 20411-2026</t>
        </is>
      </c>
      <c r="B1100" t="inlineStr">
        <is>
          <t>avverkningsanmälan</t>
        </is>
      </c>
      <c r="C1100" t="inlineStr">
        <is>
          <t>Föryngringsavverkning</t>
        </is>
      </c>
      <c r="D1100" s="1" t="n">
        <v>46140</v>
      </c>
      <c r="E1100" s="1" t="n">
        <v>46307</v>
      </c>
      <c r="F1100" t="inlineStr">
        <is>
          <t>GÄVLEBORGS LÄN</t>
        </is>
      </c>
      <c r="G1100" t="inlineStr">
        <is>
          <t>HUDIKSVALL</t>
        </is>
      </c>
      <c r="I1100" t="n">
        <v>2.6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A 48645-2024</t>
        </is>
      </c>
      <c r="B1101" t="inlineStr">
        <is>
          <t>avverkningsanmälan</t>
        </is>
      </c>
      <c r="C1101" t="inlineStr">
        <is>
          <t>Föryngringsavverkning</t>
        </is>
      </c>
      <c r="D1101" s="1" t="n">
        <v>45593</v>
      </c>
      <c r="E1101" s="1" t="n">
        <v>46307</v>
      </c>
      <c r="F1101" t="inlineStr">
        <is>
          <t>GÄVLEBORGS LÄN</t>
        </is>
      </c>
      <c r="G1101" t="inlineStr">
        <is>
          <t>HUDIKSVALL</t>
        </is>
      </c>
      <c r="I1101" t="n">
        <v>5.9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 ht="15" customHeight="1">
      <c r="A1102" t="inlineStr">
        <is>
          <t>A 1692-2026</t>
        </is>
      </c>
      <c r="B1102" t="inlineStr">
        <is>
          <t>avverkningsanmälan</t>
        </is>
      </c>
      <c r="C1102" t="inlineStr">
        <is>
          <t>Föryngringsavverkning</t>
        </is>
      </c>
      <c r="D1102" s="1" t="n">
        <v>46034</v>
      </c>
      <c r="E1102" s="1" t="n">
        <v>46307</v>
      </c>
      <c r="F1102" t="inlineStr">
        <is>
          <t>GÄVLEBORGS LÄN</t>
        </is>
      </c>
      <c r="G1102" t="inlineStr">
        <is>
          <t>HUDIKSVALL</t>
        </is>
      </c>
      <c r="I1102" t="n">
        <v>1.2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  <row r="1103" ht="15" customHeight="1">
      <c r="A1103" t="inlineStr">
        <is>
          <t>A 2115-2026</t>
        </is>
      </c>
      <c r="B1103" t="inlineStr">
        <is>
          <t>avverkningsanmälan</t>
        </is>
      </c>
      <c r="C1103" t="inlineStr">
        <is>
          <t>Föryngringsavverkning</t>
        </is>
      </c>
      <c r="D1103" s="1" t="n">
        <v>46036</v>
      </c>
      <c r="E1103" s="1" t="n">
        <v>46307</v>
      </c>
      <c r="F1103" t="inlineStr">
        <is>
          <t>GÄVLEBORGS LÄN</t>
        </is>
      </c>
      <c r="G1103" t="inlineStr">
        <is>
          <t>HUDIKSVALL</t>
        </is>
      </c>
      <c r="H1103" t="inlineStr">
        <is>
          <t>Holmen skog AB</t>
        </is>
      </c>
      <c r="I1103" t="n">
        <v>5.6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inlineStr"/>
    </row>
    <row r="1104" ht="15" customHeight="1">
      <c r="A1104" t="inlineStr">
        <is>
          <t>A 8041-2026</t>
        </is>
      </c>
      <c r="B1104" t="inlineStr">
        <is>
          <t>avverkningsanmälan</t>
        </is>
      </c>
      <c r="C1104" t="inlineStr">
        <is>
          <t>Föryngringsavverkning</t>
        </is>
      </c>
      <c r="D1104" s="1" t="n">
        <v>46063</v>
      </c>
      <c r="E1104" s="1" t="n">
        <v>46307</v>
      </c>
      <c r="F1104" t="inlineStr">
        <is>
          <t>GÄVLEBORGS LÄN</t>
        </is>
      </c>
      <c r="G1104" t="inlineStr">
        <is>
          <t>HUDIKSVALL</t>
        </is>
      </c>
      <c r="I1104" t="n">
        <v>5.2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inlineStr"/>
    </row>
    <row r="1105" ht="15" customHeight="1">
      <c r="A1105" t="inlineStr">
        <is>
          <t>A 1556-2026</t>
        </is>
      </c>
      <c r="B1105" t="inlineStr">
        <is>
          <t>avverkningsanmälan</t>
        </is>
      </c>
      <c r="C1105" t="inlineStr">
        <is>
          <t>Föryngringsavverkning</t>
        </is>
      </c>
      <c r="D1105" s="1" t="n">
        <v>46034</v>
      </c>
      <c r="E1105" s="1" t="n">
        <v>46307</v>
      </c>
      <c r="F1105" t="inlineStr">
        <is>
          <t>GÄVLEBORGS LÄN</t>
        </is>
      </c>
      <c r="G1105" t="inlineStr">
        <is>
          <t>HUDIKSVALL</t>
        </is>
      </c>
      <c r="I1105" t="n">
        <v>1.4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inlineStr"/>
    </row>
    <row r="1106" ht="15" customHeight="1">
      <c r="A1106" t="inlineStr">
        <is>
          <t>A 20458-2026</t>
        </is>
      </c>
      <c r="B1106" t="inlineStr">
        <is>
          <t>avverkningsanmälan</t>
        </is>
      </c>
      <c r="C1106" t="inlineStr">
        <is>
          <t>Föryngringsavverkning</t>
        </is>
      </c>
      <c r="D1106" s="1" t="n">
        <v>46140</v>
      </c>
      <c r="E1106" s="1" t="n">
        <v>46307</v>
      </c>
      <c r="F1106" t="inlineStr">
        <is>
          <t>GÄVLEBORGS LÄN</t>
        </is>
      </c>
      <c r="G1106" t="inlineStr">
        <is>
          <t>HUDIKSVALL</t>
        </is>
      </c>
      <c r="I1106" t="n">
        <v>0.5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inlineStr"/>
    </row>
    <row r="1107" ht="15" customHeight="1">
      <c r="A1107" t="inlineStr">
        <is>
          <t>A 13853-2025</t>
        </is>
      </c>
      <c r="B1107" t="inlineStr">
        <is>
          <t>avverkningsanmälan</t>
        </is>
      </c>
      <c r="C1107" t="inlineStr">
        <is>
          <t>Föryngringsavverkning</t>
        </is>
      </c>
      <c r="D1107" s="1" t="n">
        <v>45737</v>
      </c>
      <c r="E1107" s="1" t="n">
        <v>46307</v>
      </c>
      <c r="F1107" t="inlineStr">
        <is>
          <t>GÄVLEBORGS LÄN</t>
        </is>
      </c>
      <c r="G1107" t="inlineStr">
        <is>
          <t>HUDIKSVALL</t>
        </is>
      </c>
      <c r="I1107" t="n">
        <v>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inlineStr"/>
    </row>
    <row r="1108" ht="15" customHeight="1">
      <c r="A1108" t="inlineStr">
        <is>
          <t>A 7295-2026</t>
        </is>
      </c>
      <c r="B1108" t="inlineStr">
        <is>
          <t>avverkningsanmälan</t>
        </is>
      </c>
      <c r="C1108" t="inlineStr">
        <is>
          <t>Föryngringsavverkning</t>
        </is>
      </c>
      <c r="D1108" s="1" t="n">
        <v>46058</v>
      </c>
      <c r="E1108" s="1" t="n">
        <v>46307</v>
      </c>
      <c r="F1108" t="inlineStr">
        <is>
          <t>GÄVLEBORGS LÄN</t>
        </is>
      </c>
      <c r="G1108" t="inlineStr">
        <is>
          <t>HUDIKSVALL</t>
        </is>
      </c>
      <c r="I1108" t="n">
        <v>1.1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inlineStr"/>
    </row>
    <row r="1109" ht="15" customHeight="1">
      <c r="A1109" t="inlineStr">
        <is>
          <t>A 1935-2026</t>
        </is>
      </c>
      <c r="B1109" t="inlineStr">
        <is>
          <t>avverkningsanmälan</t>
        </is>
      </c>
      <c r="C1109" t="inlineStr">
        <is>
          <t>Föryngringsavverkning</t>
        </is>
      </c>
      <c r="D1109" s="1" t="n">
        <v>46035</v>
      </c>
      <c r="E1109" s="1" t="n">
        <v>46307</v>
      </c>
      <c r="F1109" t="inlineStr">
        <is>
          <t>GÄVLEBORGS LÄN</t>
        </is>
      </c>
      <c r="G1109" t="inlineStr">
        <is>
          <t>HUDIKSVALL</t>
        </is>
      </c>
      <c r="I1109" t="n">
        <v>2.9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inlineStr"/>
    </row>
    <row r="1110" ht="15" customHeight="1">
      <c r="A1110" t="inlineStr">
        <is>
          <t>A 2688-2025</t>
        </is>
      </c>
      <c r="B1110" t="inlineStr">
        <is>
          <t>avverkningsanmälan</t>
        </is>
      </c>
      <c r="C1110" t="inlineStr">
        <is>
          <t>Föryngringsavverkning</t>
        </is>
      </c>
      <c r="D1110" s="1" t="n">
        <v>45677</v>
      </c>
      <c r="E1110" s="1" t="n">
        <v>46307</v>
      </c>
      <c r="F1110" t="inlineStr">
        <is>
          <t>GÄVLEBORGS LÄN</t>
        </is>
      </c>
      <c r="G1110" t="inlineStr">
        <is>
          <t>HUDIKSVALL</t>
        </is>
      </c>
      <c r="H1110" t="inlineStr">
        <is>
          <t>Holmen skog AB</t>
        </is>
      </c>
      <c r="I1110" t="n">
        <v>7.4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inlineStr"/>
    </row>
    <row r="1111" ht="15" customHeight="1">
      <c r="A1111" t="inlineStr">
        <is>
          <t>A 1759-2026</t>
        </is>
      </c>
      <c r="B1111" t="inlineStr">
        <is>
          <t>avverkningsanmälan</t>
        </is>
      </c>
      <c r="C1111" t="inlineStr">
        <is>
          <t>Föryngringsavverkning</t>
        </is>
      </c>
      <c r="D1111" s="1" t="n">
        <v>46034</v>
      </c>
      <c r="E1111" s="1" t="n">
        <v>46307</v>
      </c>
      <c r="F1111" t="inlineStr">
        <is>
          <t>GÄVLEBORGS LÄN</t>
        </is>
      </c>
      <c r="G1111" t="inlineStr">
        <is>
          <t>HUDIKSVALL</t>
        </is>
      </c>
      <c r="I1111" t="n">
        <v>38.9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inlineStr"/>
    </row>
    <row r="1112" ht="15" customHeight="1">
      <c r="A1112" t="inlineStr">
        <is>
          <t>A 10379-2026</t>
        </is>
      </c>
      <c r="B1112" t="inlineStr">
        <is>
          <t>avverkningsanmälan</t>
        </is>
      </c>
      <c r="C1112" t="inlineStr">
        <is>
          <t>Föryngringsavverkning</t>
        </is>
      </c>
      <c r="D1112" s="1" t="n">
        <v>46076</v>
      </c>
      <c r="E1112" s="1" t="n">
        <v>46307</v>
      </c>
      <c r="F1112" t="inlineStr">
        <is>
          <t>GÄVLEBORGS LÄN</t>
        </is>
      </c>
      <c r="G1112" t="inlineStr">
        <is>
          <t>HUDIKSVALL</t>
        </is>
      </c>
      <c r="I1112" t="n">
        <v>3.3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inlineStr"/>
    </row>
    <row r="1113" ht="15" customHeight="1">
      <c r="A1113" t="inlineStr">
        <is>
          <t>A 1855-2026</t>
        </is>
      </c>
      <c r="B1113" t="inlineStr">
        <is>
          <t>avverkningsanmälan</t>
        </is>
      </c>
      <c r="C1113" t="inlineStr">
        <is>
          <t>Föryngringsavverkning</t>
        </is>
      </c>
      <c r="D1113" s="1" t="n">
        <v>46035</v>
      </c>
      <c r="E1113" s="1" t="n">
        <v>46307</v>
      </c>
      <c r="F1113" t="inlineStr">
        <is>
          <t>GÄVLEBORGS LÄN</t>
        </is>
      </c>
      <c r="G1113" t="inlineStr">
        <is>
          <t>HUDIKSVALL</t>
        </is>
      </c>
      <c r="I1113" t="n">
        <v>15.9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inlineStr"/>
    </row>
    <row r="1114" ht="15" customHeight="1">
      <c r="A1114" t="inlineStr">
        <is>
          <t>A 5195-2025</t>
        </is>
      </c>
      <c r="B1114" t="inlineStr">
        <is>
          <t>avverkningsanmälan</t>
        </is>
      </c>
      <c r="C1114" t="inlineStr">
        <is>
          <t>Föryngringsavverkning</t>
        </is>
      </c>
      <c r="D1114" s="1" t="n">
        <v>45691</v>
      </c>
      <c r="E1114" s="1" t="n">
        <v>46307</v>
      </c>
      <c r="F1114" t="inlineStr">
        <is>
          <t>GÄVLEBORGS LÄN</t>
        </is>
      </c>
      <c r="G1114" t="inlineStr">
        <is>
          <t>HUDIKSVALL</t>
        </is>
      </c>
      <c r="I1114" t="n">
        <v>1.3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inlineStr"/>
    </row>
    <row r="1115" ht="15" customHeight="1">
      <c r="A1115" t="inlineStr">
        <is>
          <t>A 55741-2023</t>
        </is>
      </c>
      <c r="B1115" t="inlineStr">
        <is>
          <t>avverkningsanmälan</t>
        </is>
      </c>
      <c r="C1115" t="inlineStr">
        <is>
          <t>Föryngringsavverkning</t>
        </is>
      </c>
      <c r="D1115" s="1" t="n">
        <v>45239</v>
      </c>
      <c r="E1115" s="1" t="n">
        <v>46307</v>
      </c>
      <c r="F1115" t="inlineStr">
        <is>
          <t>GÄVLEBORGS LÄN</t>
        </is>
      </c>
      <c r="G1115" t="inlineStr">
        <is>
          <t>HUDIKSVALL</t>
        </is>
      </c>
      <c r="H1115" t="inlineStr">
        <is>
          <t>Holmen skog AB</t>
        </is>
      </c>
      <c r="I1115" t="n">
        <v>7.1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inlineStr"/>
    </row>
    <row r="1116" ht="15" customHeight="1">
      <c r="A1116" t="inlineStr">
        <is>
          <t>A 2383-2026</t>
        </is>
      </c>
      <c r="B1116" t="inlineStr">
        <is>
          <t>avverkningsanmälan</t>
        </is>
      </c>
      <c r="C1116" t="inlineStr">
        <is>
          <t>Föryngringsavverkning</t>
        </is>
      </c>
      <c r="D1116" s="1" t="n">
        <v>46036</v>
      </c>
      <c r="E1116" s="1" t="n">
        <v>46307</v>
      </c>
      <c r="F1116" t="inlineStr">
        <is>
          <t>GÄVLEBORGS LÄN</t>
        </is>
      </c>
      <c r="G1116" t="inlineStr">
        <is>
          <t>HUDIKSVALL</t>
        </is>
      </c>
      <c r="I1116" t="n">
        <v>7.6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inlineStr"/>
    </row>
    <row r="1117" ht="15" customHeight="1">
      <c r="A1117" t="inlineStr">
        <is>
          <t>A 7662-2023</t>
        </is>
      </c>
      <c r="B1117" t="inlineStr">
        <is>
          <t>avverkningsanmälan</t>
        </is>
      </c>
      <c r="C1117" t="inlineStr">
        <is>
          <t>Föryngringsavverkning</t>
        </is>
      </c>
      <c r="D1117" s="1" t="n">
        <v>44972</v>
      </c>
      <c r="E1117" s="1" t="n">
        <v>46307</v>
      </c>
      <c r="F1117" t="inlineStr">
        <is>
          <t>GÄVLEBORGS LÄN</t>
        </is>
      </c>
      <c r="G1117" t="inlineStr">
        <is>
          <t>HUDIKSVALL</t>
        </is>
      </c>
      <c r="I1117" t="n">
        <v>1.9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inlineStr"/>
    </row>
    <row r="1118" ht="15" customHeight="1">
      <c r="A1118" t="inlineStr">
        <is>
          <t>A 19641-2023</t>
        </is>
      </c>
      <c r="B1118" t="inlineStr">
        <is>
          <t>avverkningsanmälan</t>
        </is>
      </c>
      <c r="C1118" t="inlineStr">
        <is>
          <t>Föryngringsavverkning</t>
        </is>
      </c>
      <c r="D1118" s="1" t="n">
        <v>45051</v>
      </c>
      <c r="E1118" s="1" t="n">
        <v>46307</v>
      </c>
      <c r="F1118" t="inlineStr">
        <is>
          <t>GÄVLEBORGS LÄN</t>
        </is>
      </c>
      <c r="G1118" t="inlineStr">
        <is>
          <t>HUDIKSVALL</t>
        </is>
      </c>
      <c r="H1118" t="inlineStr">
        <is>
          <t>Holmen skog AB</t>
        </is>
      </c>
      <c r="I1118" t="n">
        <v>6.2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inlineStr"/>
    </row>
    <row r="1119" ht="15" customHeight="1">
      <c r="A1119" t="inlineStr">
        <is>
          <t>A 14383-2026</t>
        </is>
      </c>
      <c r="B1119" t="inlineStr">
        <is>
          <t>avverkningsanmälan</t>
        </is>
      </c>
      <c r="C1119" t="inlineStr">
        <is>
          <t>Föryngringsavverkning</t>
        </is>
      </c>
      <c r="D1119" s="1" t="n">
        <v>46100</v>
      </c>
      <c r="E1119" s="1" t="n">
        <v>46307</v>
      </c>
      <c r="F1119" t="inlineStr">
        <is>
          <t>GÄVLEBORGS LÄN</t>
        </is>
      </c>
      <c r="G1119" t="inlineStr">
        <is>
          <t>HUDIKSVALL</t>
        </is>
      </c>
      <c r="I1119" t="n">
        <v>1.3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inlineStr"/>
    </row>
    <row r="1120" ht="15" customHeight="1">
      <c r="A1120" t="inlineStr">
        <is>
          <t>A 2498-2026</t>
        </is>
      </c>
      <c r="B1120" t="inlineStr">
        <is>
          <t>avverkningsanmälan</t>
        </is>
      </c>
      <c r="C1120" t="inlineStr">
        <is>
          <t>Föryngringsavverkning</t>
        </is>
      </c>
      <c r="D1120" s="1" t="n">
        <v>46037</v>
      </c>
      <c r="E1120" s="1" t="n">
        <v>46307</v>
      </c>
      <c r="F1120" t="inlineStr">
        <is>
          <t>GÄVLEBORGS LÄN</t>
        </is>
      </c>
      <c r="G1120" t="inlineStr">
        <is>
          <t>HUDIKSVALL</t>
        </is>
      </c>
      <c r="I1120" t="n">
        <v>1.4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inlineStr"/>
    </row>
    <row r="1121" ht="15" customHeight="1">
      <c r="A1121" t="inlineStr">
        <is>
          <t>A 2793-2026</t>
        </is>
      </c>
      <c r="B1121" t="inlineStr">
        <is>
          <t>avverkningsanmälan</t>
        </is>
      </c>
      <c r="C1121" t="inlineStr">
        <is>
          <t>Föryngringsavverkning</t>
        </is>
      </c>
      <c r="D1121" s="1" t="n">
        <v>46038</v>
      </c>
      <c r="E1121" s="1" t="n">
        <v>46307</v>
      </c>
      <c r="F1121" t="inlineStr">
        <is>
          <t>GÄVLEBORGS LÄN</t>
        </is>
      </c>
      <c r="G1121" t="inlineStr">
        <is>
          <t>HUDIKSVALL</t>
        </is>
      </c>
      <c r="I1121" t="n">
        <v>0.5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inlineStr"/>
    </row>
    <row r="1122" ht="15" customHeight="1">
      <c r="A1122" t="inlineStr">
        <is>
          <t>A 2797-2026</t>
        </is>
      </c>
      <c r="B1122" t="inlineStr">
        <is>
          <t>avverkningsanmälan</t>
        </is>
      </c>
      <c r="C1122" t="inlineStr">
        <is>
          <t>Föryngringsavverkning</t>
        </is>
      </c>
      <c r="D1122" s="1" t="n">
        <v>46038</v>
      </c>
      <c r="E1122" s="1" t="n">
        <v>46307</v>
      </c>
      <c r="F1122" t="inlineStr">
        <is>
          <t>GÄVLEBORGS LÄN</t>
        </is>
      </c>
      <c r="G1122" t="inlineStr">
        <is>
          <t>HUDIKSVALL</t>
        </is>
      </c>
      <c r="I1122" t="n">
        <v>0.9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inlineStr"/>
    </row>
    <row r="1123" ht="15" customHeight="1">
      <c r="A1123" t="inlineStr">
        <is>
          <t>A 2799-2026</t>
        </is>
      </c>
      <c r="B1123" t="inlineStr">
        <is>
          <t>avverkningsanmälan</t>
        </is>
      </c>
      <c r="C1123" t="inlineStr">
        <is>
          <t>Föryngringsavverkning</t>
        </is>
      </c>
      <c r="D1123" s="1" t="n">
        <v>46038</v>
      </c>
      <c r="E1123" s="1" t="n">
        <v>46307</v>
      </c>
      <c r="F1123" t="inlineStr">
        <is>
          <t>GÄVLEBORGS LÄN</t>
        </is>
      </c>
      <c r="G1123" t="inlineStr">
        <is>
          <t>HUDIKSVALL</t>
        </is>
      </c>
      <c r="I1123" t="n">
        <v>0.6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inlineStr"/>
    </row>
    <row r="1124" ht="15" customHeight="1">
      <c r="A1124" t="inlineStr">
        <is>
          <t>A 2801-2026</t>
        </is>
      </c>
      <c r="B1124" t="inlineStr">
        <is>
          <t>avverkningsanmälan</t>
        </is>
      </c>
      <c r="C1124" t="inlineStr">
        <is>
          <t>Föryngringsavverkning</t>
        </is>
      </c>
      <c r="D1124" s="1" t="n">
        <v>46038</v>
      </c>
      <c r="E1124" s="1" t="n">
        <v>46307</v>
      </c>
      <c r="F1124" t="inlineStr">
        <is>
          <t>GÄVLEBORGS LÄN</t>
        </is>
      </c>
      <c r="G1124" t="inlineStr">
        <is>
          <t>HUDIKSVALL</t>
        </is>
      </c>
      <c r="I1124" t="n">
        <v>2.2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inlineStr"/>
    </row>
    <row r="1125" ht="15" customHeight="1">
      <c r="A1125" t="inlineStr">
        <is>
          <t>A 2478-2026</t>
        </is>
      </c>
      <c r="B1125" t="inlineStr">
        <is>
          <t>avverkningsanmälan</t>
        </is>
      </c>
      <c r="C1125" t="inlineStr">
        <is>
          <t>Föryngringsavverkning</t>
        </is>
      </c>
      <c r="D1125" s="1" t="n">
        <v>46037</v>
      </c>
      <c r="E1125" s="1" t="n">
        <v>46307</v>
      </c>
      <c r="F1125" t="inlineStr">
        <is>
          <t>GÄVLEBORGS LÄN</t>
        </is>
      </c>
      <c r="G1125" t="inlineStr">
        <is>
          <t>HUDIKSVALL</t>
        </is>
      </c>
      <c r="I1125" t="n">
        <v>3.2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inlineStr"/>
    </row>
    <row r="1126" ht="15" customHeight="1">
      <c r="A1126" t="inlineStr">
        <is>
          <t>A 2972-2026</t>
        </is>
      </c>
      <c r="B1126" t="inlineStr">
        <is>
          <t>avverkningsanmälan</t>
        </is>
      </c>
      <c r="C1126" t="inlineStr">
        <is>
          <t>Föryngringsavverkning</t>
        </is>
      </c>
      <c r="D1126" s="1" t="n">
        <v>46038</v>
      </c>
      <c r="E1126" s="1" t="n">
        <v>46307</v>
      </c>
      <c r="F1126" t="inlineStr">
        <is>
          <t>GÄVLEBORGS LÄN</t>
        </is>
      </c>
      <c r="G1126" t="inlineStr">
        <is>
          <t>HUDIKSVALL</t>
        </is>
      </c>
      <c r="I1126" t="n">
        <v>7.3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inlineStr"/>
    </row>
    <row r="1127" ht="15" customHeight="1">
      <c r="A1127" t="inlineStr">
        <is>
          <t>A 3605-2026</t>
        </is>
      </c>
      <c r="B1127" t="inlineStr">
        <is>
          <t>avverkningsanmälan</t>
        </is>
      </c>
      <c r="C1127" t="inlineStr">
        <is>
          <t>Föryngringsavverkning</t>
        </is>
      </c>
      <c r="D1127" s="1" t="n">
        <v>46042</v>
      </c>
      <c r="E1127" s="1" t="n">
        <v>46307</v>
      </c>
      <c r="F1127" t="inlineStr">
        <is>
          <t>GÄVLEBORGS LÄN</t>
        </is>
      </c>
      <c r="G1127" t="inlineStr">
        <is>
          <t>HUDIKSVALL</t>
        </is>
      </c>
      <c r="I1127" t="n">
        <v>1.3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inlineStr"/>
    </row>
    <row r="1128" ht="15" customHeight="1">
      <c r="A1128" t="inlineStr">
        <is>
          <t>A 6331-2025</t>
        </is>
      </c>
      <c r="B1128" t="inlineStr">
        <is>
          <t>avverkningsanmälan</t>
        </is>
      </c>
      <c r="C1128" t="inlineStr">
        <is>
          <t>Föryngringsavverkning</t>
        </is>
      </c>
      <c r="D1128" s="1" t="n">
        <v>45698</v>
      </c>
      <c r="E1128" s="1" t="n">
        <v>46307</v>
      </c>
      <c r="F1128" t="inlineStr">
        <is>
          <t>GÄVLEBORGS LÄN</t>
        </is>
      </c>
      <c r="G1128" t="inlineStr">
        <is>
          <t>HUDIKSVALL</t>
        </is>
      </c>
      <c r="H1128" t="inlineStr">
        <is>
          <t>Holmen skog AB</t>
        </is>
      </c>
      <c r="I1128" t="n">
        <v>21.6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inlineStr"/>
    </row>
    <row r="1129" ht="15" customHeight="1">
      <c r="A1129" t="inlineStr">
        <is>
          <t>A 3271-2026</t>
        </is>
      </c>
      <c r="B1129" t="inlineStr">
        <is>
          <t>avverkningsanmälan</t>
        </is>
      </c>
      <c r="C1129" t="inlineStr">
        <is>
          <t>Föryngringsavverkning</t>
        </is>
      </c>
      <c r="D1129" s="1" t="n">
        <v>46041</v>
      </c>
      <c r="E1129" s="1" t="n">
        <v>46307</v>
      </c>
      <c r="F1129" t="inlineStr">
        <is>
          <t>GÄVLEBORGS LÄN</t>
        </is>
      </c>
      <c r="G1129" t="inlineStr">
        <is>
          <t>HUDIKSVALL</t>
        </is>
      </c>
      <c r="I1129" t="n">
        <v>0.7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inlineStr"/>
    </row>
    <row r="1130" ht="15" customHeight="1">
      <c r="A1130" t="inlineStr">
        <is>
          <t>A 7485-2025</t>
        </is>
      </c>
      <c r="B1130" t="inlineStr">
        <is>
          <t>avverkningsanmälan</t>
        </is>
      </c>
      <c r="C1130" t="inlineStr">
        <is>
          <t>Föryngringsavverkning</t>
        </is>
      </c>
      <c r="D1130" s="1" t="n">
        <v>45705</v>
      </c>
      <c r="E1130" s="1" t="n">
        <v>46307</v>
      </c>
      <c r="F1130" t="inlineStr">
        <is>
          <t>GÄVLEBORGS LÄN</t>
        </is>
      </c>
      <c r="G1130" t="inlineStr">
        <is>
          <t>HUDIKSVALL</t>
        </is>
      </c>
      <c r="H1130" t="inlineStr">
        <is>
          <t>Holmen skog AB</t>
        </is>
      </c>
      <c r="I1130" t="n">
        <v>9.199999999999999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inlineStr"/>
    </row>
    <row r="1131" ht="15" customHeight="1">
      <c r="A1131" t="inlineStr">
        <is>
          <t>A 60917-2023</t>
        </is>
      </c>
      <c r="B1131" t="inlineStr">
        <is>
          <t>avverkningsanmälan</t>
        </is>
      </c>
      <c r="C1131" t="inlineStr">
        <is>
          <t>Avverkning för att bevara och utveckla /försöksver</t>
        </is>
      </c>
      <c r="D1131" s="1" t="n">
        <v>45261</v>
      </c>
      <c r="E1131" s="1" t="n">
        <v>46307</v>
      </c>
      <c r="F1131" t="inlineStr">
        <is>
          <t>GÄVLEBORGS LÄN</t>
        </is>
      </c>
      <c r="G1131" t="inlineStr">
        <is>
          <t>HUDIKSVALL</t>
        </is>
      </c>
      <c r="H1131" t="inlineStr">
        <is>
          <t>Holmen skog AB</t>
        </is>
      </c>
      <c r="I1131" t="n">
        <v>3.4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inlineStr"/>
    </row>
    <row r="1132" ht="15" customHeight="1">
      <c r="A1132" t="inlineStr">
        <is>
          <t>A 1073-2026</t>
        </is>
      </c>
      <c r="B1132" t="inlineStr">
        <is>
          <t>avverkningsanmälan</t>
        </is>
      </c>
      <c r="C1132" t="inlineStr">
        <is>
          <t>Föryngringsavverkning</t>
        </is>
      </c>
      <c r="D1132" s="1" t="n">
        <v>46030</v>
      </c>
      <c r="E1132" s="1" t="n">
        <v>46307</v>
      </c>
      <c r="F1132" t="inlineStr">
        <is>
          <t>GÄVLEBORGS LÄN</t>
        </is>
      </c>
      <c r="G1132" t="inlineStr">
        <is>
          <t>HUDIKSVALL</t>
        </is>
      </c>
      <c r="I1132" t="n">
        <v>2.7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inlineStr"/>
    </row>
    <row r="1133" ht="15" customHeight="1">
      <c r="A1133" t="inlineStr">
        <is>
          <t>A 43644-2024</t>
        </is>
      </c>
      <c r="B1133" t="inlineStr">
        <is>
          <t>avverkningsanmälan</t>
        </is>
      </c>
      <c r="C1133" t="inlineStr">
        <is>
          <t>Föryngringsavverkning</t>
        </is>
      </c>
      <c r="D1133" s="1" t="n">
        <v>45569</v>
      </c>
      <c r="E1133" s="1" t="n">
        <v>46307</v>
      </c>
      <c r="F1133" t="inlineStr">
        <is>
          <t>GÄVLEBORGS LÄN</t>
        </is>
      </c>
      <c r="G1133" t="inlineStr">
        <is>
          <t>HUDIKSVALL</t>
        </is>
      </c>
      <c r="I1133" t="n">
        <v>0.7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inlineStr"/>
    </row>
    <row r="1134" ht="15" customHeight="1">
      <c r="A1134" t="inlineStr">
        <is>
          <t>A 68662-2021</t>
        </is>
      </c>
      <c r="B1134" t="inlineStr">
        <is>
          <t>avverkningsanmälan</t>
        </is>
      </c>
      <c r="C1134" t="inlineStr">
        <is>
          <t>Föryngringsavverkning</t>
        </is>
      </c>
      <c r="D1134" s="1" t="n">
        <v>44529</v>
      </c>
      <c r="E1134" s="1" t="n">
        <v>46307</v>
      </c>
      <c r="F1134" t="inlineStr">
        <is>
          <t>GÄVLEBORGS LÄN</t>
        </is>
      </c>
      <c r="G1134" t="inlineStr">
        <is>
          <t>HUDIKSVALL</t>
        </is>
      </c>
      <c r="H1134" t="inlineStr">
        <is>
          <t>Holmen skog AB</t>
        </is>
      </c>
      <c r="I1134" t="n">
        <v>1.2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inlineStr"/>
    </row>
    <row r="1135" ht="15" customHeight="1">
      <c r="A1135" t="inlineStr">
        <is>
          <t>A 781-2026</t>
        </is>
      </c>
      <c r="B1135" t="inlineStr">
        <is>
          <t>avverkningsanmälan</t>
        </is>
      </c>
      <c r="C1135" t="inlineStr">
        <is>
          <t>Föryngringsavverkning</t>
        </is>
      </c>
      <c r="D1135" s="1" t="n">
        <v>46029</v>
      </c>
      <c r="E1135" s="1" t="n">
        <v>46307</v>
      </c>
      <c r="F1135" t="inlineStr">
        <is>
          <t>GÄVLEBORGS LÄN</t>
        </is>
      </c>
      <c r="G1135" t="inlineStr">
        <is>
          <t>HUDIKSVALL</t>
        </is>
      </c>
      <c r="I1135" t="n">
        <v>0.6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inlineStr"/>
    </row>
    <row r="1136" ht="15" customHeight="1">
      <c r="A1136" t="inlineStr">
        <is>
          <t>A 1072-2026</t>
        </is>
      </c>
      <c r="B1136" t="inlineStr">
        <is>
          <t>avverkningsanmälan</t>
        </is>
      </c>
      <c r="C1136" t="inlineStr">
        <is>
          <t>Föryngringsavverkning</t>
        </is>
      </c>
      <c r="D1136" s="1" t="n">
        <v>46030</v>
      </c>
      <c r="E1136" s="1" t="n">
        <v>46307</v>
      </c>
      <c r="F1136" t="inlineStr">
        <is>
          <t>GÄVLEBORGS LÄN</t>
        </is>
      </c>
      <c r="G1136" t="inlineStr">
        <is>
          <t>HUDIKSVALL</t>
        </is>
      </c>
      <c r="I1136" t="n">
        <v>8.6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inlineStr"/>
    </row>
    <row r="1137" ht="15" customHeight="1">
      <c r="A1137" t="inlineStr">
        <is>
          <t>A 3860-2026</t>
        </is>
      </c>
      <c r="B1137" t="inlineStr">
        <is>
          <t>avverkningsanmälan</t>
        </is>
      </c>
      <c r="C1137" t="inlineStr">
        <is>
          <t>Föryngringsavverkning</t>
        </is>
      </c>
      <c r="D1137" s="1" t="n">
        <v>46043</v>
      </c>
      <c r="E1137" s="1" t="n">
        <v>46307</v>
      </c>
      <c r="F1137" t="inlineStr">
        <is>
          <t>GÄVLEBORGS LÄN</t>
        </is>
      </c>
      <c r="G1137" t="inlineStr">
        <is>
          <t>HUDIKSVALL</t>
        </is>
      </c>
      <c r="I1137" t="n">
        <v>3.2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inlineStr"/>
    </row>
    <row r="1138" ht="15" customHeight="1">
      <c r="A1138" t="inlineStr">
        <is>
          <t>A 4006-2026</t>
        </is>
      </c>
      <c r="B1138" t="inlineStr">
        <is>
          <t>avverkningsanmälan</t>
        </is>
      </c>
      <c r="C1138" t="inlineStr">
        <is>
          <t>Föryngringsavverkning</t>
        </is>
      </c>
      <c r="D1138" s="1" t="n">
        <v>46044</v>
      </c>
      <c r="E1138" s="1" t="n">
        <v>46307</v>
      </c>
      <c r="F1138" t="inlineStr">
        <is>
          <t>GÄVLEBORGS LÄN</t>
        </is>
      </c>
      <c r="G1138" t="inlineStr">
        <is>
          <t>HUDIKSVALL</t>
        </is>
      </c>
      <c r="I1138" t="n">
        <v>2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inlineStr"/>
    </row>
    <row r="1139" ht="15" customHeight="1">
      <c r="A1139" t="inlineStr">
        <is>
          <t>A 4220-2026</t>
        </is>
      </c>
      <c r="B1139" t="inlineStr">
        <is>
          <t>avverkningsanmälan</t>
        </is>
      </c>
      <c r="C1139" t="inlineStr">
        <is>
          <t>Föryngringsavverkning</t>
        </is>
      </c>
      <c r="D1139" s="1" t="n">
        <v>46044</v>
      </c>
      <c r="E1139" s="1" t="n">
        <v>46307</v>
      </c>
      <c r="F1139" t="inlineStr">
        <is>
          <t>GÄVLEBORGS LÄN</t>
        </is>
      </c>
      <c r="G1139" t="inlineStr">
        <is>
          <t>HUDIKSVALL</t>
        </is>
      </c>
      <c r="I1139" t="n">
        <v>3.7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inlineStr"/>
    </row>
    <row r="1140" ht="15" customHeight="1">
      <c r="A1140" t="inlineStr">
        <is>
          <t>A 12429-2026</t>
        </is>
      </c>
      <c r="B1140" t="inlineStr">
        <is>
          <t>avverkningsanmälan</t>
        </is>
      </c>
      <c r="C1140" t="inlineStr">
        <is>
          <t>Föryngringsavverkning</t>
        </is>
      </c>
      <c r="D1140" s="1" t="n">
        <v>46090</v>
      </c>
      <c r="E1140" s="1" t="n">
        <v>46307</v>
      </c>
      <c r="F1140" t="inlineStr">
        <is>
          <t>GÄVLEBORGS LÄN</t>
        </is>
      </c>
      <c r="G1140" t="inlineStr">
        <is>
          <t>HUDIKSVALL</t>
        </is>
      </c>
      <c r="H1140" t="inlineStr">
        <is>
          <t>Holmen skog AB</t>
        </is>
      </c>
      <c r="I1140" t="n">
        <v>1.1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inlineStr"/>
    </row>
    <row r="1141" ht="15" customHeight="1">
      <c r="A1141" t="inlineStr">
        <is>
          <t>A 28472-2025</t>
        </is>
      </c>
      <c r="B1141" t="inlineStr">
        <is>
          <t>avverkningsanmälan</t>
        </is>
      </c>
      <c r="C1141" t="inlineStr">
        <is>
          <t>Föryngringsavverkning</t>
        </is>
      </c>
      <c r="D1141" s="1" t="n">
        <v>45819</v>
      </c>
      <c r="E1141" s="1" t="n">
        <v>46307</v>
      </c>
      <c r="F1141" t="inlineStr">
        <is>
          <t>GÄVLEBORGS LÄN</t>
        </is>
      </c>
      <c r="G1141" t="inlineStr">
        <is>
          <t>HUDIKSVALL</t>
        </is>
      </c>
      <c r="I1141" t="n">
        <v>2.2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inlineStr"/>
    </row>
    <row r="1142" ht="15" customHeight="1">
      <c r="A1142" t="inlineStr">
        <is>
          <t>A 3816-2026</t>
        </is>
      </c>
      <c r="B1142" t="inlineStr">
        <is>
          <t>avverkningsanmälan</t>
        </is>
      </c>
      <c r="C1142" t="inlineStr">
        <is>
          <t>Föryngringsavverkning</t>
        </is>
      </c>
      <c r="D1142" s="1" t="n">
        <v>46043</v>
      </c>
      <c r="E1142" s="1" t="n">
        <v>46307</v>
      </c>
      <c r="F1142" t="inlineStr">
        <is>
          <t>GÄVLEBORGS LÄN</t>
        </is>
      </c>
      <c r="G1142" t="inlineStr">
        <is>
          <t>HUDIKSVALL</t>
        </is>
      </c>
      <c r="I1142" t="n">
        <v>6.5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inlineStr"/>
    </row>
    <row r="1143" ht="15" customHeight="1">
      <c r="A1143" t="inlineStr">
        <is>
          <t>A 13806-2024</t>
        </is>
      </c>
      <c r="B1143" t="inlineStr">
        <is>
          <t>avverkningsanmälan</t>
        </is>
      </c>
      <c r="C1143" t="inlineStr">
        <is>
          <t>Föryngringsavverkning</t>
        </is>
      </c>
      <c r="D1143" s="1" t="n">
        <v>45391</v>
      </c>
      <c r="E1143" s="1" t="n">
        <v>46307</v>
      </c>
      <c r="F1143" t="inlineStr">
        <is>
          <t>GÄVLEBORGS LÄN</t>
        </is>
      </c>
      <c r="G1143" t="inlineStr">
        <is>
          <t>HUDIKSVALL</t>
        </is>
      </c>
      <c r="I1143" t="n">
        <v>0.5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inlineStr"/>
    </row>
    <row r="1144" ht="15" customHeight="1">
      <c r="A1144" t="inlineStr">
        <is>
          <t>A 3636-2026</t>
        </is>
      </c>
      <c r="B1144" t="inlineStr">
        <is>
          <t>avverkningsanmälan</t>
        </is>
      </c>
      <c r="C1144" t="inlineStr">
        <is>
          <t>Föryngringsavverkning</t>
        </is>
      </c>
      <c r="D1144" s="1" t="n">
        <v>46043</v>
      </c>
      <c r="E1144" s="1" t="n">
        <v>46307</v>
      </c>
      <c r="F1144" t="inlineStr">
        <is>
          <t>GÄVLEBORGS LÄN</t>
        </is>
      </c>
      <c r="G1144" t="inlineStr">
        <is>
          <t>HUDIKSVALL</t>
        </is>
      </c>
      <c r="I1144" t="n">
        <v>1.4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inlineStr"/>
    </row>
    <row r="1145" ht="15" customHeight="1">
      <c r="A1145" t="inlineStr">
        <is>
          <t>A 3975-2026</t>
        </is>
      </c>
      <c r="B1145" t="inlineStr">
        <is>
          <t>avverkningsanmälan</t>
        </is>
      </c>
      <c r="C1145" t="inlineStr">
        <is>
          <t>Föryngringsavverkning</t>
        </is>
      </c>
      <c r="D1145" s="1" t="n">
        <v>46044</v>
      </c>
      <c r="E1145" s="1" t="n">
        <v>46307</v>
      </c>
      <c r="F1145" t="inlineStr">
        <is>
          <t>GÄVLEBORGS LÄN</t>
        </is>
      </c>
      <c r="G1145" t="inlineStr">
        <is>
          <t>HUDIKSVALL</t>
        </is>
      </c>
      <c r="I1145" t="n">
        <v>1.3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inlineStr"/>
    </row>
    <row r="1146" ht="15" customHeight="1">
      <c r="A1146" t="inlineStr">
        <is>
          <t>A 31876-2023</t>
        </is>
      </c>
      <c r="B1146" t="inlineStr">
        <is>
          <t>avverkningsanmälan</t>
        </is>
      </c>
      <c r="C1146" t="inlineStr">
        <is>
          <t>Föryngringsavverkning</t>
        </is>
      </c>
      <c r="D1146" s="1" t="n">
        <v>45118</v>
      </c>
      <c r="E1146" s="1" t="n">
        <v>46307</v>
      </c>
      <c r="F1146" t="inlineStr">
        <is>
          <t>GÄVLEBORGS LÄN</t>
        </is>
      </c>
      <c r="G1146" t="inlineStr">
        <is>
          <t>HUDIKSVALL</t>
        </is>
      </c>
      <c r="I1146" t="n">
        <v>2.4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inlineStr"/>
    </row>
    <row r="1147" ht="15" customHeight="1">
      <c r="A1147" t="inlineStr">
        <is>
          <t>A 9135-2023</t>
        </is>
      </c>
      <c r="B1147" t="inlineStr">
        <is>
          <t>avverkningsanmälan</t>
        </is>
      </c>
      <c r="C1147" t="inlineStr">
        <is>
          <t>Föryngringsavverkning</t>
        </is>
      </c>
      <c r="D1147" s="1" t="n">
        <v>44980</v>
      </c>
      <c r="E1147" s="1" t="n">
        <v>46307</v>
      </c>
      <c r="F1147" t="inlineStr">
        <is>
          <t>GÄVLEBORGS LÄN</t>
        </is>
      </c>
      <c r="G1147" t="inlineStr">
        <is>
          <t>HUDIKSVALL</t>
        </is>
      </c>
      <c r="H1147" t="inlineStr">
        <is>
          <t>Holmen skog AB</t>
        </is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inlineStr"/>
    </row>
    <row r="1148" ht="15" customHeight="1">
      <c r="A1148" t="inlineStr">
        <is>
          <t>A 9172-2023</t>
        </is>
      </c>
      <c r="B1148" t="inlineStr">
        <is>
          <t>avverkningsanmälan</t>
        </is>
      </c>
      <c r="C1148" t="inlineStr">
        <is>
          <t>Föryngringsavverkning</t>
        </is>
      </c>
      <c r="D1148" s="1" t="n">
        <v>44980</v>
      </c>
      <c r="E1148" s="1" t="n">
        <v>46307</v>
      </c>
      <c r="F1148" t="inlineStr">
        <is>
          <t>GÄVLEBORGS LÄN</t>
        </is>
      </c>
      <c r="G1148" t="inlineStr">
        <is>
          <t>HUDIKSVALL</t>
        </is>
      </c>
      <c r="H1148" t="inlineStr">
        <is>
          <t>Holmen skog AB</t>
        </is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inlineStr"/>
    </row>
    <row r="1149" ht="15" customHeight="1">
      <c r="A1149" t="inlineStr">
        <is>
          <t>A 52-2026</t>
        </is>
      </c>
      <c r="B1149" t="inlineStr">
        <is>
          <t>avverkningsanmälan</t>
        </is>
      </c>
      <c r="C1149" t="inlineStr">
        <is>
          <t>Föryngringsavverkning</t>
        </is>
      </c>
      <c r="D1149" s="1" t="n">
        <v>46024</v>
      </c>
      <c r="E1149" s="1" t="n">
        <v>46307</v>
      </c>
      <c r="F1149" t="inlineStr">
        <is>
          <t>GÄVLEBORGS LÄN</t>
        </is>
      </c>
      <c r="G1149" t="inlineStr">
        <is>
          <t>HUDIKSVALL</t>
        </is>
      </c>
      <c r="I1149" t="n">
        <v>7.3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inlineStr"/>
    </row>
    <row r="1150" ht="15" customHeight="1">
      <c r="A1150" t="inlineStr">
        <is>
          <t>A 63933-2025</t>
        </is>
      </c>
      <c r="B1150" t="inlineStr">
        <is>
          <t>avverkningsanmälan</t>
        </is>
      </c>
      <c r="C1150" t="inlineStr">
        <is>
          <t>Föryngringsavverkning</t>
        </is>
      </c>
      <c r="D1150" s="1" t="n">
        <v>46020</v>
      </c>
      <c r="E1150" s="1" t="n">
        <v>46307</v>
      </c>
      <c r="F1150" t="inlineStr">
        <is>
          <t>GÄVLEBORGS LÄN</t>
        </is>
      </c>
      <c r="G1150" t="inlineStr">
        <is>
          <t>HUDIKSVALL</t>
        </is>
      </c>
      <c r="I1150" t="n">
        <v>3.4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inlineStr"/>
    </row>
    <row r="1151" ht="15" customHeight="1">
      <c r="A1151" t="inlineStr">
        <is>
          <t>A 7973-2026</t>
        </is>
      </c>
      <c r="B1151" t="inlineStr">
        <is>
          <t>avverkningsanmälan</t>
        </is>
      </c>
      <c r="C1151" t="inlineStr">
        <is>
          <t>Föryngringsavverkning</t>
        </is>
      </c>
      <c r="D1151" s="1" t="n">
        <v>46063</v>
      </c>
      <c r="E1151" s="1" t="n">
        <v>46307</v>
      </c>
      <c r="F1151" t="inlineStr">
        <is>
          <t>GÄVLEBORGS LÄN</t>
        </is>
      </c>
      <c r="G1151" t="inlineStr">
        <is>
          <t>HUDIKSVALL</t>
        </is>
      </c>
      <c r="I1151" t="n">
        <v>1.2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inlineStr"/>
    </row>
    <row r="1152" ht="15" customHeight="1">
      <c r="A1152" t="inlineStr">
        <is>
          <t>A 4843-2026</t>
        </is>
      </c>
      <c r="B1152" t="inlineStr">
        <is>
          <t>avverkningsanmälan</t>
        </is>
      </c>
      <c r="C1152" t="inlineStr">
        <is>
          <t>Föryngringsavverkning</t>
        </is>
      </c>
      <c r="D1152" s="1" t="n">
        <v>46048</v>
      </c>
      <c r="E1152" s="1" t="n">
        <v>46307</v>
      </c>
      <c r="F1152" t="inlineStr">
        <is>
          <t>GÄVLEBORGS LÄN</t>
        </is>
      </c>
      <c r="G1152" t="inlineStr">
        <is>
          <t>HUDIKSVALL</t>
        </is>
      </c>
      <c r="I1152" t="n">
        <v>4.2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inlineStr"/>
    </row>
    <row r="1153" ht="15" customHeight="1">
      <c r="A1153" t="inlineStr">
        <is>
          <t>A 4875-2026</t>
        </is>
      </c>
      <c r="B1153" t="inlineStr">
        <is>
          <t>avverkningsanmälan</t>
        </is>
      </c>
      <c r="C1153" t="inlineStr">
        <is>
          <t>Föryngringsavverkning</t>
        </is>
      </c>
      <c r="D1153" s="1" t="n">
        <v>46048</v>
      </c>
      <c r="E1153" s="1" t="n">
        <v>46307</v>
      </c>
      <c r="F1153" t="inlineStr">
        <is>
          <t>GÄVLEBORGS LÄN</t>
        </is>
      </c>
      <c r="G1153" t="inlineStr">
        <is>
          <t>HUDIKSVALL</t>
        </is>
      </c>
      <c r="I1153" t="n">
        <v>1.3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inlineStr"/>
    </row>
    <row r="1154" ht="15" customHeight="1">
      <c r="A1154" t="inlineStr">
        <is>
          <t>A 34664-2022</t>
        </is>
      </c>
      <c r="B1154" t="inlineStr">
        <is>
          <t>avverkningsanmälan</t>
        </is>
      </c>
      <c r="C1154" t="inlineStr">
        <is>
          <t>Föryngringsavverkning</t>
        </is>
      </c>
      <c r="D1154" s="1" t="n">
        <v>44795</v>
      </c>
      <c r="E1154" s="1" t="n">
        <v>46307</v>
      </c>
      <c r="F1154" t="inlineStr">
        <is>
          <t>GÄVLEBORGS LÄN</t>
        </is>
      </c>
      <c r="G1154" t="inlineStr">
        <is>
          <t>HUDIKSVALL</t>
        </is>
      </c>
      <c r="I1154" t="n">
        <v>2.6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inlineStr"/>
    </row>
    <row r="1155" ht="15" customHeight="1">
      <c r="A1155" t="inlineStr">
        <is>
          <t>A 4611-2026</t>
        </is>
      </c>
      <c r="B1155" t="inlineStr">
        <is>
          <t>avverkningsanmälan</t>
        </is>
      </c>
      <c r="C1155" t="inlineStr">
        <is>
          <t>Föryngringsavverkning</t>
        </is>
      </c>
      <c r="D1155" s="1" t="n">
        <v>46048</v>
      </c>
      <c r="E1155" s="1" t="n">
        <v>46307</v>
      </c>
      <c r="F1155" t="inlineStr">
        <is>
          <t>GÄVLEBORGS LÄN</t>
        </is>
      </c>
      <c r="G1155" t="inlineStr">
        <is>
          <t>HUDIKSVALL</t>
        </is>
      </c>
      <c r="I1155" t="n">
        <v>4.6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inlineStr"/>
    </row>
    <row r="1156" ht="15" customHeight="1">
      <c r="A1156" t="inlineStr">
        <is>
          <t>A 33959-2023</t>
        </is>
      </c>
      <c r="B1156" t="inlineStr">
        <is>
          <t>avverkningsanmälan</t>
        </is>
      </c>
      <c r="C1156" t="inlineStr">
        <is>
          <t>Föryngringsavverkning</t>
        </is>
      </c>
      <c r="D1156" s="1" t="n">
        <v>45124</v>
      </c>
      <c r="E1156" s="1" t="n">
        <v>46307</v>
      </c>
      <c r="F1156" t="inlineStr">
        <is>
          <t>GÄVLEBORGS LÄN</t>
        </is>
      </c>
      <c r="G1156" t="inlineStr">
        <is>
          <t>HUDIKSVALL</t>
        </is>
      </c>
      <c r="I1156" t="n">
        <v>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inlineStr"/>
    </row>
    <row r="1157" ht="15" customHeight="1">
      <c r="A1157" t="inlineStr">
        <is>
          <t>A 4783-2026</t>
        </is>
      </c>
      <c r="B1157" t="inlineStr">
        <is>
          <t>avverkningsanmälan</t>
        </is>
      </c>
      <c r="C1157" t="inlineStr">
        <is>
          <t>Avverkning för annat ändamål</t>
        </is>
      </c>
      <c r="D1157" s="1" t="n">
        <v>46048</v>
      </c>
      <c r="E1157" s="1" t="n">
        <v>46307</v>
      </c>
      <c r="F1157" t="inlineStr">
        <is>
          <t>GÄVLEBORGS LÄN</t>
        </is>
      </c>
      <c r="G1157" t="inlineStr">
        <is>
          <t>HUDIKSVALL</t>
        </is>
      </c>
      <c r="I1157" t="n">
        <v>0.3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inlineStr"/>
    </row>
    <row r="1158" ht="15" customHeight="1">
      <c r="A1158" t="inlineStr">
        <is>
          <t>A 58040-2025</t>
        </is>
      </c>
      <c r="B1158" t="inlineStr">
        <is>
          <t>avverkningsanmälan</t>
        </is>
      </c>
      <c r="C1158" t="inlineStr">
        <is>
          <t>Föryngringsavverkning</t>
        </is>
      </c>
      <c r="D1158" s="1" t="n">
        <v>45982</v>
      </c>
      <c r="E1158" s="1" t="n">
        <v>46307</v>
      </c>
      <c r="F1158" t="inlineStr">
        <is>
          <t>GÄVLEBORGS LÄN</t>
        </is>
      </c>
      <c r="G1158" t="inlineStr">
        <is>
          <t>HUDIKSVALL</t>
        </is>
      </c>
      <c r="I1158" t="n">
        <v>2.7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inlineStr"/>
    </row>
    <row r="1159" ht="15" customHeight="1">
      <c r="A1159" t="inlineStr">
        <is>
          <t>A 386-2023</t>
        </is>
      </c>
      <c r="B1159" t="inlineStr">
        <is>
          <t>avverkningsanmälan</t>
        </is>
      </c>
      <c r="C1159" t="inlineStr">
        <is>
          <t>Föryngringsavverkning</t>
        </is>
      </c>
      <c r="D1159" s="1" t="n">
        <v>44929</v>
      </c>
      <c r="E1159" s="1" t="n">
        <v>46307</v>
      </c>
      <c r="F1159" t="inlineStr">
        <is>
          <t>GÄVLEBORGS LÄN</t>
        </is>
      </c>
      <c r="G1159" t="inlineStr">
        <is>
          <t>HUDIKSVALL</t>
        </is>
      </c>
      <c r="H1159" t="inlineStr">
        <is>
          <t>Holmen skog AB</t>
        </is>
      </c>
      <c r="I1159" t="n">
        <v>1.1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inlineStr"/>
    </row>
    <row r="1160" ht="15" customHeight="1">
      <c r="A1160" t="inlineStr">
        <is>
          <t>A 51241-2023</t>
        </is>
      </c>
      <c r="B1160" t="inlineStr">
        <is>
          <t>avverkningsanmälan</t>
        </is>
      </c>
      <c r="C1160" t="inlineStr">
        <is>
          <t>Föryngringsavverkning</t>
        </is>
      </c>
      <c r="D1160" s="1" t="n">
        <v>45219</v>
      </c>
      <c r="E1160" s="1" t="n">
        <v>46307</v>
      </c>
      <c r="F1160" t="inlineStr">
        <is>
          <t>GÄVLEBORGS LÄN</t>
        </is>
      </c>
      <c r="G1160" t="inlineStr">
        <is>
          <t>HUDIKSVALL</t>
        </is>
      </c>
      <c r="I1160" t="n">
        <v>1.6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inlineStr"/>
    </row>
    <row r="1161" ht="15" customHeight="1">
      <c r="A1161" t="inlineStr">
        <is>
          <t>A 420-2026</t>
        </is>
      </c>
      <c r="B1161" t="inlineStr">
        <is>
          <t>avverkningsanmälan</t>
        </is>
      </c>
      <c r="C1161" t="inlineStr">
        <is>
          <t>Föryngringsavverkning</t>
        </is>
      </c>
      <c r="D1161" s="1" t="n">
        <v>46028</v>
      </c>
      <c r="E1161" s="1" t="n">
        <v>46307</v>
      </c>
      <c r="F1161" t="inlineStr">
        <is>
          <t>GÄVLEBORGS LÄN</t>
        </is>
      </c>
      <c r="G1161" t="inlineStr">
        <is>
          <t>HUDIKSVALL</t>
        </is>
      </c>
      <c r="I1161" t="n">
        <v>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inlineStr"/>
    </row>
    <row r="1162" ht="15" customHeight="1">
      <c r="A1162" t="inlineStr">
        <is>
          <t>A 4604-2026</t>
        </is>
      </c>
      <c r="B1162" t="inlineStr">
        <is>
          <t>avverkningsanmälan</t>
        </is>
      </c>
      <c r="C1162" t="inlineStr">
        <is>
          <t>Föryngringsavverkning</t>
        </is>
      </c>
      <c r="D1162" s="1" t="n">
        <v>46048</v>
      </c>
      <c r="E1162" s="1" t="n">
        <v>46307</v>
      </c>
      <c r="F1162" t="inlineStr">
        <is>
          <t>GÄVLEBORGS LÄN</t>
        </is>
      </c>
      <c r="G1162" t="inlineStr">
        <is>
          <t>HUDIKSVALL</t>
        </is>
      </c>
      <c r="I1162" t="n">
        <v>5.1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inlineStr"/>
    </row>
    <row r="1163" ht="15" customHeight="1">
      <c r="A1163" t="inlineStr">
        <is>
          <t>A 4619-2024</t>
        </is>
      </c>
      <c r="B1163" t="inlineStr">
        <is>
          <t>avverkningsanmälan</t>
        </is>
      </c>
      <c r="C1163" t="inlineStr">
        <is>
          <t>Föryngringsavverkning</t>
        </is>
      </c>
      <c r="D1163" s="1" t="n">
        <v>45328</v>
      </c>
      <c r="E1163" s="1" t="n">
        <v>46307</v>
      </c>
      <c r="F1163" t="inlineStr">
        <is>
          <t>GÄVLEBORGS LÄN</t>
        </is>
      </c>
      <c r="G1163" t="inlineStr">
        <is>
          <t>HUDIKSVALL</t>
        </is>
      </c>
      <c r="H1163" t="inlineStr">
        <is>
          <t>Holmen skog AB</t>
        </is>
      </c>
      <c r="I1163" t="n">
        <v>2.2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inlineStr"/>
    </row>
    <row r="1164" ht="15" customHeight="1">
      <c r="A1164" t="inlineStr">
        <is>
          <t>A 4312-2026</t>
        </is>
      </c>
      <c r="B1164" t="inlineStr">
        <is>
          <t>avverkningsanmälan</t>
        </is>
      </c>
      <c r="C1164" t="inlineStr">
        <is>
          <t>Föryngringsavverkning</t>
        </is>
      </c>
      <c r="D1164" s="1" t="n">
        <v>46045</v>
      </c>
      <c r="E1164" s="1" t="n">
        <v>46307</v>
      </c>
      <c r="F1164" t="inlineStr">
        <is>
          <t>GÄVLEBORGS LÄN</t>
        </is>
      </c>
      <c r="G1164" t="inlineStr">
        <is>
          <t>HUDIKSVALL</t>
        </is>
      </c>
      <c r="H1164" t="inlineStr">
        <is>
          <t>Holmen skog AB</t>
        </is>
      </c>
      <c r="I1164" t="n">
        <v>2.5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inlineStr"/>
    </row>
    <row r="1165" ht="15" customHeight="1">
      <c r="A1165" t="inlineStr">
        <is>
          <t>A 4272-2026</t>
        </is>
      </c>
      <c r="B1165" t="inlineStr">
        <is>
          <t>avverkningsanmälan</t>
        </is>
      </c>
      <c r="C1165" t="inlineStr">
        <is>
          <t>Föryngringsavverkning</t>
        </is>
      </c>
      <c r="D1165" s="1" t="n">
        <v>46045</v>
      </c>
      <c r="E1165" s="1" t="n">
        <v>46307</v>
      </c>
      <c r="F1165" t="inlineStr">
        <is>
          <t>GÄVLEBORGS LÄN</t>
        </is>
      </c>
      <c r="G1165" t="inlineStr">
        <is>
          <t>HUDIKSVALL</t>
        </is>
      </c>
      <c r="I1165" t="n">
        <v>9.4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inlineStr"/>
    </row>
    <row r="1166" ht="15" customHeight="1">
      <c r="A1166" t="inlineStr">
        <is>
          <t>A 4075-2025</t>
        </is>
      </c>
      <c r="B1166" t="inlineStr">
        <is>
          <t>avverkningsanmälan</t>
        </is>
      </c>
      <c r="C1166" t="inlineStr">
        <is>
          <t>Föryngringsavverkning</t>
        </is>
      </c>
      <c r="D1166" s="1" t="n">
        <v>45684</v>
      </c>
      <c r="E1166" s="1" t="n">
        <v>46307</v>
      </c>
      <c r="F1166" t="inlineStr">
        <is>
          <t>GÄVLEBORGS LÄN</t>
        </is>
      </c>
      <c r="G1166" t="inlineStr">
        <is>
          <t>HUDIKSVALL</t>
        </is>
      </c>
      <c r="I1166" t="n">
        <v>1.5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inlineStr"/>
    </row>
    <row r="1167" ht="15" customHeight="1">
      <c r="A1167" t="inlineStr">
        <is>
          <t>A 4279-2026</t>
        </is>
      </c>
      <c r="B1167" t="inlineStr">
        <is>
          <t>avverkningsanmälan</t>
        </is>
      </c>
      <c r="C1167" t="inlineStr">
        <is>
          <t>Föryngringsavverkning</t>
        </is>
      </c>
      <c r="D1167" s="1" t="n">
        <v>46045</v>
      </c>
      <c r="E1167" s="1" t="n">
        <v>46307</v>
      </c>
      <c r="F1167" t="inlineStr">
        <is>
          <t>GÄVLEBORGS LÄN</t>
        </is>
      </c>
      <c r="G1167" t="inlineStr">
        <is>
          <t>HUDIKSVALL</t>
        </is>
      </c>
      <c r="I1167" t="n">
        <v>1.6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inlineStr"/>
    </row>
    <row r="1168" ht="15" customHeight="1">
      <c r="A1168" t="inlineStr">
        <is>
          <t>A 4323-2026</t>
        </is>
      </c>
      <c r="B1168" t="inlineStr">
        <is>
          <t>avverkningsanmälan</t>
        </is>
      </c>
      <c r="C1168" t="inlineStr">
        <is>
          <t>Föryngringsavverkning</t>
        </is>
      </c>
      <c r="D1168" s="1" t="n">
        <v>46045</v>
      </c>
      <c r="E1168" s="1" t="n">
        <v>46307</v>
      </c>
      <c r="F1168" t="inlineStr">
        <is>
          <t>GÄVLEBORGS LÄN</t>
        </is>
      </c>
      <c r="G1168" t="inlineStr">
        <is>
          <t>HUDIKSVALL</t>
        </is>
      </c>
      <c r="H1168" t="inlineStr">
        <is>
          <t>Holmen skog AB</t>
        </is>
      </c>
      <c r="I1168" t="n">
        <v>1.8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inlineStr"/>
    </row>
    <row r="1169" ht="15" customHeight="1">
      <c r="A1169" t="inlineStr">
        <is>
          <t>A 29904-2024</t>
        </is>
      </c>
      <c r="B1169" t="inlineStr">
        <is>
          <t>avverkningsanmälan</t>
        </is>
      </c>
      <c r="C1169" t="inlineStr">
        <is>
          <t>Föryngringsavverkning</t>
        </is>
      </c>
      <c r="D1169" s="1" t="n">
        <v>45487</v>
      </c>
      <c r="E1169" s="1" t="n">
        <v>46307</v>
      </c>
      <c r="F1169" t="inlineStr">
        <is>
          <t>GÄVLEBORGS LÄN</t>
        </is>
      </c>
      <c r="G1169" t="inlineStr">
        <is>
          <t>HUDIKSVALL</t>
        </is>
      </c>
      <c r="I1169" t="n">
        <v>0.7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inlineStr"/>
    </row>
    <row r="1170" ht="15" customHeight="1">
      <c r="A1170" t="inlineStr">
        <is>
          <t>A 20204-2026</t>
        </is>
      </c>
      <c r="B1170" t="inlineStr">
        <is>
          <t>avverkningsanmälan</t>
        </is>
      </c>
      <c r="C1170" t="inlineStr">
        <is>
          <t>Föryngringsavverkning</t>
        </is>
      </c>
      <c r="D1170" s="1" t="n">
        <v>46139</v>
      </c>
      <c r="E1170" s="1" t="n">
        <v>46307</v>
      </c>
      <c r="F1170" t="inlineStr">
        <is>
          <t>GÄVLEBORGS LÄN</t>
        </is>
      </c>
      <c r="G1170" t="inlineStr">
        <is>
          <t>HUDIKSVALL</t>
        </is>
      </c>
      <c r="H1170" t="inlineStr">
        <is>
          <t>Holmen skog AB</t>
        </is>
      </c>
      <c r="I1170" t="n">
        <v>3.6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inlineStr"/>
    </row>
    <row r="1171" ht="15" customHeight="1">
      <c r="A1171" t="inlineStr">
        <is>
          <t>A 4387-2026</t>
        </is>
      </c>
      <c r="B1171" t="inlineStr">
        <is>
          <t>avverkningsanmälan</t>
        </is>
      </c>
      <c r="C1171" t="inlineStr">
        <is>
          <t>Föryngringsavverkning</t>
        </is>
      </c>
      <c r="D1171" s="1" t="n">
        <v>46045</v>
      </c>
      <c r="E1171" s="1" t="n">
        <v>46307</v>
      </c>
      <c r="F1171" t="inlineStr">
        <is>
          <t>GÄVLEBORGS LÄN</t>
        </is>
      </c>
      <c r="G1171" t="inlineStr">
        <is>
          <t>HUDIKSVALL</t>
        </is>
      </c>
      <c r="I1171" t="n">
        <v>0.9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inlineStr"/>
    </row>
    <row r="1172" ht="15" customHeight="1">
      <c r="A1172" t="inlineStr">
        <is>
          <t>A 12873-2026</t>
        </is>
      </c>
      <c r="B1172" t="inlineStr">
        <is>
          <t>avverkningsanmälan</t>
        </is>
      </c>
      <c r="C1172" t="inlineStr">
        <is>
          <t>Föryngringsavverkning</t>
        </is>
      </c>
      <c r="D1172" s="1" t="n">
        <v>46092</v>
      </c>
      <c r="E1172" s="1" t="n">
        <v>46307</v>
      </c>
      <c r="F1172" t="inlineStr">
        <is>
          <t>GÄVLEBORGS LÄN</t>
        </is>
      </c>
      <c r="G1172" t="inlineStr">
        <is>
          <t>HUDIKSVALL</t>
        </is>
      </c>
      <c r="I1172" t="n">
        <v>3.4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inlineStr"/>
    </row>
    <row r="1173" ht="15" customHeight="1">
      <c r="A1173" t="inlineStr">
        <is>
          <t>A 8441-2023</t>
        </is>
      </c>
      <c r="B1173" t="inlineStr">
        <is>
          <t>avverkningsanmälan</t>
        </is>
      </c>
      <c r="C1173" t="inlineStr">
        <is>
          <t>Föryngringsavverkning</t>
        </is>
      </c>
      <c r="D1173" s="1" t="n">
        <v>44977</v>
      </c>
      <c r="E1173" s="1" t="n">
        <v>46307</v>
      </c>
      <c r="F1173" t="inlineStr">
        <is>
          <t>GÄVLEBORGS LÄN</t>
        </is>
      </c>
      <c r="G1173" t="inlineStr">
        <is>
          <t>HUDIKSVALL</t>
        </is>
      </c>
      <c r="H1173" t="inlineStr">
        <is>
          <t>Holmen skog AB</t>
        </is>
      </c>
      <c r="I1173" t="n">
        <v>10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inlineStr"/>
    </row>
    <row r="1174" ht="15" customHeight="1">
      <c r="A1174" t="inlineStr">
        <is>
          <t>A 59522-2022</t>
        </is>
      </c>
      <c r="B1174" t="inlineStr">
        <is>
          <t>avverkningsanmälan</t>
        </is>
      </c>
      <c r="C1174" t="inlineStr">
        <is>
          <t>Föryngringsavverkning</t>
        </is>
      </c>
      <c r="D1174" s="1" t="n">
        <v>44907</v>
      </c>
      <c r="E1174" s="1" t="n">
        <v>46307</v>
      </c>
      <c r="F1174" t="inlineStr">
        <is>
          <t>GÄVLEBORGS LÄN</t>
        </is>
      </c>
      <c r="G1174" t="inlineStr">
        <is>
          <t>HUDIKSVALL</t>
        </is>
      </c>
      <c r="I1174" t="n">
        <v>0.7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inlineStr"/>
    </row>
    <row r="1175" ht="15" customHeight="1">
      <c r="A1175" t="inlineStr">
        <is>
          <t>A 8752-2023</t>
        </is>
      </c>
      <c r="B1175" t="inlineStr">
        <is>
          <t>avverkningsanmälan</t>
        </is>
      </c>
      <c r="C1175" t="inlineStr">
        <is>
          <t>Föryngringsavverkning</t>
        </is>
      </c>
      <c r="D1175" s="1" t="n">
        <v>44978</v>
      </c>
      <c r="E1175" s="1" t="n">
        <v>46307</v>
      </c>
      <c r="F1175" t="inlineStr">
        <is>
          <t>GÄVLEBORGS LÄN</t>
        </is>
      </c>
      <c r="G1175" t="inlineStr">
        <is>
          <t>HUDIKSVALL</t>
        </is>
      </c>
      <c r="I1175" t="n">
        <v>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inlineStr"/>
    </row>
    <row r="1176" ht="15" customHeight="1">
      <c r="A1176" t="inlineStr">
        <is>
          <t>A 59822-2024</t>
        </is>
      </c>
      <c r="B1176" t="inlineStr">
        <is>
          <t>avverkningsanmälan</t>
        </is>
      </c>
      <c r="C1176" t="inlineStr">
        <is>
          <t>Föryngringsavverkning</t>
        </is>
      </c>
      <c r="D1176" s="1" t="n">
        <v>45639</v>
      </c>
      <c r="E1176" s="1" t="n">
        <v>46307</v>
      </c>
      <c r="F1176" t="inlineStr">
        <is>
          <t>GÄVLEBORGS LÄN</t>
        </is>
      </c>
      <c r="G1176" t="inlineStr">
        <is>
          <t>HUDIKSVALL</t>
        </is>
      </c>
      <c r="I1176" t="n">
        <v>1.2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inlineStr"/>
    </row>
    <row r="1177" ht="15" customHeight="1">
      <c r="A1177" t="inlineStr">
        <is>
          <t>A 11668-2024</t>
        </is>
      </c>
      <c r="B1177" t="inlineStr">
        <is>
          <t>avverkningsanmälan</t>
        </is>
      </c>
      <c r="C1177" t="inlineStr">
        <is>
          <t>Föryngringsavverkning</t>
        </is>
      </c>
      <c r="D1177" s="1" t="n">
        <v>45373</v>
      </c>
      <c r="E1177" s="1" t="n">
        <v>46307</v>
      </c>
      <c r="F1177" t="inlineStr">
        <is>
          <t>GÄVLEBORGS LÄN</t>
        </is>
      </c>
      <c r="G1177" t="inlineStr">
        <is>
          <t>HUDIKSVALL</t>
        </is>
      </c>
      <c r="I1177" t="n">
        <v>0.7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inlineStr"/>
    </row>
    <row r="1178" ht="15" customHeight="1">
      <c r="A1178" t="inlineStr">
        <is>
          <t>A 4499-2026</t>
        </is>
      </c>
      <c r="B1178" t="inlineStr">
        <is>
          <t>avverkningsanmälan</t>
        </is>
      </c>
      <c r="C1178" t="inlineStr">
        <is>
          <t>Föryngringsavverkning</t>
        </is>
      </c>
      <c r="D1178" s="1" t="n">
        <v>46045</v>
      </c>
      <c r="E1178" s="1" t="n">
        <v>46307</v>
      </c>
      <c r="F1178" t="inlineStr">
        <is>
          <t>GÄVLEBORGS LÄN</t>
        </is>
      </c>
      <c r="G1178" t="inlineStr">
        <is>
          <t>HUDIKSVALL</t>
        </is>
      </c>
      <c r="I1178" t="n">
        <v>0.8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inlineStr"/>
    </row>
    <row r="1179" ht="15" customHeight="1">
      <c r="A1179" t="inlineStr">
        <is>
          <t>A 43665-2024</t>
        </is>
      </c>
      <c r="B1179" t="inlineStr">
        <is>
          <t>avverkningsanmälan</t>
        </is>
      </c>
      <c r="C1179" t="inlineStr">
        <is>
          <t>Föryngringsavverkning</t>
        </is>
      </c>
      <c r="D1179" s="1" t="n">
        <v>45569</v>
      </c>
      <c r="E1179" s="1" t="n">
        <v>46307</v>
      </c>
      <c r="F1179" t="inlineStr">
        <is>
          <t>GÄVLEBORGS LÄN</t>
        </is>
      </c>
      <c r="G1179" t="inlineStr">
        <is>
          <t>HUDIKSVALL</t>
        </is>
      </c>
      <c r="H1179" t="inlineStr">
        <is>
          <t>Kommuner</t>
        </is>
      </c>
      <c r="I1179" t="n">
        <v>0.6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inlineStr"/>
    </row>
    <row r="1180" ht="15" customHeight="1">
      <c r="A1180" t="inlineStr">
        <is>
          <t>A 63045-2023</t>
        </is>
      </c>
      <c r="B1180" t="inlineStr">
        <is>
          <t>avverkningsanmälan</t>
        </is>
      </c>
      <c r="C1180" t="inlineStr">
        <is>
          <t>Föryngringsavverkning</t>
        </is>
      </c>
      <c r="D1180" s="1" t="n">
        <v>45272</v>
      </c>
      <c r="E1180" s="1" t="n">
        <v>46307</v>
      </c>
      <c r="F1180" t="inlineStr">
        <is>
          <t>GÄVLEBORGS LÄN</t>
        </is>
      </c>
      <c r="G1180" t="inlineStr">
        <is>
          <t>HUDIKSVALL</t>
        </is>
      </c>
      <c r="I1180" t="n">
        <v>6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inlineStr"/>
    </row>
    <row r="1181" ht="15" customHeight="1">
      <c r="A1181" t="inlineStr">
        <is>
          <t>A 845-2026</t>
        </is>
      </c>
      <c r="B1181" t="inlineStr">
        <is>
          <t>avverkningsanmälan</t>
        </is>
      </c>
      <c r="C1181" t="inlineStr">
        <is>
          <t>Föryngringsavverkning</t>
        </is>
      </c>
      <c r="D1181" s="1" t="n">
        <v>46030</v>
      </c>
      <c r="E1181" s="1" t="n">
        <v>46307</v>
      </c>
      <c r="F1181" t="inlineStr">
        <is>
          <t>GÄVLEBORGS LÄN</t>
        </is>
      </c>
      <c r="G1181" t="inlineStr">
        <is>
          <t>HUDIKSVALL</t>
        </is>
      </c>
      <c r="I1181" t="n">
        <v>7.3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inlineStr"/>
    </row>
    <row r="1182" ht="15" customHeight="1">
      <c r="A1182" t="inlineStr">
        <is>
          <t>A 12551-2026</t>
        </is>
      </c>
      <c r="B1182" t="inlineStr">
        <is>
          <t>avverkningsanmälan</t>
        </is>
      </c>
      <c r="C1182" t="inlineStr">
        <is>
          <t>Föryngringsavverkning</t>
        </is>
      </c>
      <c r="D1182" s="1" t="n">
        <v>46090</v>
      </c>
      <c r="E1182" s="1" t="n">
        <v>46307</v>
      </c>
      <c r="F1182" t="inlineStr">
        <is>
          <t>GÄVLEBORGS LÄN</t>
        </is>
      </c>
      <c r="G1182" t="inlineStr">
        <is>
          <t>HUDIKSVALL</t>
        </is>
      </c>
      <c r="H1182" t="inlineStr">
        <is>
          <t>Holmen skog AB</t>
        </is>
      </c>
      <c r="I1182" t="n">
        <v>2.9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inlineStr"/>
    </row>
    <row r="1183" ht="15" customHeight="1">
      <c r="A1183" t="inlineStr">
        <is>
          <t>A 19484-2023</t>
        </is>
      </c>
      <c r="B1183" t="inlineStr">
        <is>
          <t>avverkningsanmälan</t>
        </is>
      </c>
      <c r="C1183" t="inlineStr">
        <is>
          <t>Föryngringsavverkning</t>
        </is>
      </c>
      <c r="D1183" s="1" t="n">
        <v>45050</v>
      </c>
      <c r="E1183" s="1" t="n">
        <v>46307</v>
      </c>
      <c r="F1183" t="inlineStr">
        <is>
          <t>GÄVLEBORGS LÄN</t>
        </is>
      </c>
      <c r="G1183" t="inlineStr">
        <is>
          <t>HUDIKSVALL</t>
        </is>
      </c>
      <c r="H1183" t="inlineStr">
        <is>
          <t>Holmen skog AB</t>
        </is>
      </c>
      <c r="I1183" t="n">
        <v>3.9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inlineStr"/>
    </row>
    <row r="1184" ht="15" customHeight="1">
      <c r="A1184" t="inlineStr">
        <is>
          <t>A 43070-2024</t>
        </is>
      </c>
      <c r="B1184" t="inlineStr">
        <is>
          <t>avverkningsanmälan</t>
        </is>
      </c>
      <c r="C1184" t="inlineStr">
        <is>
          <t>Föryngringsavverkning</t>
        </is>
      </c>
      <c r="D1184" s="1" t="n">
        <v>45567</v>
      </c>
      <c r="E1184" s="1" t="n">
        <v>46307</v>
      </c>
      <c r="F1184" t="inlineStr">
        <is>
          <t>GÄVLEBORGS LÄN</t>
        </is>
      </c>
      <c r="G1184" t="inlineStr">
        <is>
          <t>HUDIKSVALL</t>
        </is>
      </c>
      <c r="I1184" t="n">
        <v>3.7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inlineStr"/>
    </row>
    <row r="1185" ht="15" customHeight="1">
      <c r="A1185" t="inlineStr">
        <is>
          <t>A 32632-2024</t>
        </is>
      </c>
      <c r="B1185" t="inlineStr">
        <is>
          <t>avverkningsanmälan</t>
        </is>
      </c>
      <c r="C1185" t="inlineStr">
        <is>
          <t>Föryngringsavverkning</t>
        </is>
      </c>
      <c r="D1185" s="1" t="n">
        <v>45513</v>
      </c>
      <c r="E1185" s="1" t="n">
        <v>46307</v>
      </c>
      <c r="F1185" t="inlineStr">
        <is>
          <t>GÄVLEBORGS LÄN</t>
        </is>
      </c>
      <c r="G1185" t="inlineStr">
        <is>
          <t>HUDIKSVALL</t>
        </is>
      </c>
      <c r="H1185" t="inlineStr">
        <is>
          <t>Holmen skog AB</t>
        </is>
      </c>
      <c r="I1185" t="n">
        <v>6.6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inlineStr"/>
    </row>
    <row r="1186" ht="15" customHeight="1">
      <c r="A1186" t="inlineStr">
        <is>
          <t>A 7593-2023</t>
        </is>
      </c>
      <c r="B1186" t="inlineStr">
        <is>
          <t>avverkningsanmälan</t>
        </is>
      </c>
      <c r="C1186" t="inlineStr">
        <is>
          <t>Föryngringsavverkning</t>
        </is>
      </c>
      <c r="D1186" s="1" t="n">
        <v>44972</v>
      </c>
      <c r="E1186" s="1" t="n">
        <v>46307</v>
      </c>
      <c r="F1186" t="inlineStr">
        <is>
          <t>GÄVLEBORGS LÄN</t>
        </is>
      </c>
      <c r="G1186" t="inlineStr">
        <is>
          <t>HUDIKSVALL</t>
        </is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inlineStr"/>
    </row>
    <row r="1187" ht="15" customHeight="1">
      <c r="A1187" t="inlineStr">
        <is>
          <t>A 20920-2026</t>
        </is>
      </c>
      <c r="B1187" t="inlineStr">
        <is>
          <t>avverkningsanmälan</t>
        </is>
      </c>
      <c r="C1187" t="inlineStr">
        <is>
          <t>Föryngringsavverkning</t>
        </is>
      </c>
      <c r="D1187" s="1" t="n">
        <v>46142</v>
      </c>
      <c r="E1187" s="1" t="n">
        <v>46307</v>
      </c>
      <c r="F1187" t="inlineStr">
        <is>
          <t>GÄVLEBORGS LÄN</t>
        </is>
      </c>
      <c r="G1187" t="inlineStr">
        <is>
          <t>HUDIKSVALL</t>
        </is>
      </c>
      <c r="H1187" t="inlineStr">
        <is>
          <t>Holmen skog AB</t>
        </is>
      </c>
      <c r="I1187" t="n">
        <v>1.3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inlineStr"/>
    </row>
    <row r="1188" ht="15" customHeight="1">
      <c r="A1188" t="inlineStr">
        <is>
          <t>A 20743-2026</t>
        </is>
      </c>
      <c r="B1188" t="inlineStr">
        <is>
          <t>avverkningsanmälan</t>
        </is>
      </c>
      <c r="C1188" t="inlineStr">
        <is>
          <t>Föryngringsavverkning</t>
        </is>
      </c>
      <c r="D1188" s="1" t="n">
        <v>46141</v>
      </c>
      <c r="E1188" s="1" t="n">
        <v>46307</v>
      </c>
      <c r="F1188" t="inlineStr">
        <is>
          <t>GÄVLEBORGS LÄN</t>
        </is>
      </c>
      <c r="G1188" t="inlineStr">
        <is>
          <t>HUDIKSVALL</t>
        </is>
      </c>
      <c r="H1188" t="inlineStr">
        <is>
          <t>Holmen skog AB</t>
        </is>
      </c>
      <c r="I1188" t="n">
        <v>0.9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inlineStr"/>
    </row>
    <row r="1189" ht="15" customHeight="1">
      <c r="A1189" t="inlineStr">
        <is>
          <t>A 67088-2021</t>
        </is>
      </c>
      <c r="B1189" t="inlineStr">
        <is>
          <t>avverkningsanmälan</t>
        </is>
      </c>
      <c r="C1189" t="inlineStr">
        <is>
          <t>Föryngringsavverkning</t>
        </is>
      </c>
      <c r="D1189" s="1" t="n">
        <v>44522</v>
      </c>
      <c r="E1189" s="1" t="n">
        <v>46307</v>
      </c>
      <c r="F1189" t="inlineStr">
        <is>
          <t>GÄVLEBORGS LÄN</t>
        </is>
      </c>
      <c r="G1189" t="inlineStr">
        <is>
          <t>HUDIKSVALL</t>
        </is>
      </c>
      <c r="I1189" t="n">
        <v>2.3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inlineStr"/>
    </row>
    <row r="1190" ht="15" customHeight="1">
      <c r="A1190" t="inlineStr">
        <is>
          <t>A 7749-2026</t>
        </is>
      </c>
      <c r="B1190" t="inlineStr">
        <is>
          <t>avverkningsanmälan</t>
        </is>
      </c>
      <c r="C1190" t="inlineStr">
        <is>
          <t>Föryngringsavverkning</t>
        </is>
      </c>
      <c r="D1190" s="1" t="n">
        <v>46062</v>
      </c>
      <c r="E1190" s="1" t="n">
        <v>46307</v>
      </c>
      <c r="F1190" t="inlineStr">
        <is>
          <t>GÄVLEBORGS LÄN</t>
        </is>
      </c>
      <c r="G1190" t="inlineStr">
        <is>
          <t>HUDIKSVALL</t>
        </is>
      </c>
      <c r="I1190" t="n">
        <v>1.5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inlineStr"/>
    </row>
    <row r="1191" ht="15" customHeight="1">
      <c r="A1191" t="inlineStr">
        <is>
          <t>A 59759-2022</t>
        </is>
      </c>
      <c r="B1191" t="inlineStr">
        <is>
          <t>avverkningsanmälan</t>
        </is>
      </c>
      <c r="C1191" t="inlineStr">
        <is>
          <t>Föryngringsavverkning</t>
        </is>
      </c>
      <c r="D1191" s="1" t="n">
        <v>44908</v>
      </c>
      <c r="E1191" s="1" t="n">
        <v>46307</v>
      </c>
      <c r="F1191" t="inlineStr">
        <is>
          <t>GÄVLEBORGS LÄN</t>
        </is>
      </c>
      <c r="G1191" t="inlineStr">
        <is>
          <t>HUDIKSVALL</t>
        </is>
      </c>
      <c r="I1191" t="n">
        <v>1.4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inlineStr"/>
    </row>
    <row r="1192" ht="15" customHeight="1">
      <c r="A1192" t="inlineStr">
        <is>
          <t>A 20791-2026</t>
        </is>
      </c>
      <c r="B1192" t="inlineStr">
        <is>
          <t>avverkningsanmälan</t>
        </is>
      </c>
      <c r="C1192" t="inlineStr">
        <is>
          <t>Föryngringsavverkning</t>
        </is>
      </c>
      <c r="D1192" s="1" t="n">
        <v>46141</v>
      </c>
      <c r="E1192" s="1" t="n">
        <v>46307</v>
      </c>
      <c r="F1192" t="inlineStr">
        <is>
          <t>GÄVLEBORGS LÄN</t>
        </is>
      </c>
      <c r="G1192" t="inlineStr">
        <is>
          <t>HUDIKSVALL</t>
        </is>
      </c>
      <c r="I1192" t="n">
        <v>2.5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inlineStr"/>
    </row>
    <row r="1193" ht="15" customHeight="1">
      <c r="A1193" t="inlineStr">
        <is>
          <t>A 59875-2023</t>
        </is>
      </c>
      <c r="B1193" t="inlineStr">
        <is>
          <t>avverkningsanmälan</t>
        </is>
      </c>
      <c r="C1193" t="inlineStr">
        <is>
          <t>Föryngringsavverkning</t>
        </is>
      </c>
      <c r="D1193" s="1" t="n">
        <v>45257</v>
      </c>
      <c r="E1193" s="1" t="n">
        <v>46307</v>
      </c>
      <c r="F1193" t="inlineStr">
        <is>
          <t>GÄVLEBORGS LÄN</t>
        </is>
      </c>
      <c r="G1193" t="inlineStr">
        <is>
          <t>HUDIKSVALL</t>
        </is>
      </c>
      <c r="I1193" t="n">
        <v>3.9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inlineStr"/>
    </row>
    <row r="1194" ht="15" customHeight="1">
      <c r="A1194" t="inlineStr">
        <is>
          <t>A 461-2024</t>
        </is>
      </c>
      <c r="B1194" t="inlineStr">
        <is>
          <t>avverkningsanmälan</t>
        </is>
      </c>
      <c r="C1194" t="inlineStr">
        <is>
          <t>Föryngringsavverkning</t>
        </is>
      </c>
      <c r="D1194" s="1" t="n">
        <v>45297</v>
      </c>
      <c r="E1194" s="1" t="n">
        <v>46307</v>
      </c>
      <c r="F1194" t="inlineStr">
        <is>
          <t>GÄVLEBORGS LÄN</t>
        </is>
      </c>
      <c r="G1194" t="inlineStr">
        <is>
          <t>HUDIKSVALL</t>
        </is>
      </c>
      <c r="I1194" t="n">
        <v>43.2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inlineStr"/>
    </row>
    <row r="1195" ht="15" customHeight="1">
      <c r="A1195" t="inlineStr">
        <is>
          <t>A 41747-2023</t>
        </is>
      </c>
      <c r="B1195" t="inlineStr">
        <is>
          <t>avverkningsanmälan</t>
        </is>
      </c>
      <c r="C1195" t="inlineStr">
        <is>
          <t>Föryngringsavverkning</t>
        </is>
      </c>
      <c r="D1195" s="1" t="n">
        <v>45176</v>
      </c>
      <c r="E1195" s="1" t="n">
        <v>46307</v>
      </c>
      <c r="F1195" t="inlineStr">
        <is>
          <t>GÄVLEBORGS LÄN</t>
        </is>
      </c>
      <c r="G1195" t="inlineStr">
        <is>
          <t>HUDIKSVALL</t>
        </is>
      </c>
      <c r="H1195" t="inlineStr">
        <is>
          <t>Holmen skog AB</t>
        </is>
      </c>
      <c r="I1195" t="n">
        <v>0.5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inlineStr"/>
    </row>
    <row r="1196" ht="15" customHeight="1">
      <c r="A1196" t="inlineStr">
        <is>
          <t>A 11478-2026</t>
        </is>
      </c>
      <c r="B1196" t="inlineStr">
        <is>
          <t>avverkningsanmälan</t>
        </is>
      </c>
      <c r="C1196" t="inlineStr">
        <is>
          <t>Föryngringsavverkning</t>
        </is>
      </c>
      <c r="D1196" s="1" t="n">
        <v>46083</v>
      </c>
      <c r="E1196" s="1" t="n">
        <v>46307</v>
      </c>
      <c r="F1196" t="inlineStr">
        <is>
          <t>GÄVLEBORGS LÄN</t>
        </is>
      </c>
      <c r="G1196" t="inlineStr">
        <is>
          <t>HUDIKSVALL</t>
        </is>
      </c>
      <c r="H1196" t="inlineStr">
        <is>
          <t>Holmen skog AB</t>
        </is>
      </c>
      <c r="I1196" t="n">
        <v>3.7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inlineStr"/>
    </row>
    <row r="1197" ht="15" customHeight="1">
      <c r="A1197" t="inlineStr">
        <is>
          <t>A 5420-2026</t>
        </is>
      </c>
      <c r="B1197" t="inlineStr">
        <is>
          <t>avverkningsanmälan</t>
        </is>
      </c>
      <c r="C1197" t="inlineStr">
        <is>
          <t>Föryngringsavverkning</t>
        </is>
      </c>
      <c r="D1197" s="1" t="n">
        <v>46050</v>
      </c>
      <c r="E1197" s="1" t="n">
        <v>46307</v>
      </c>
      <c r="F1197" t="inlineStr">
        <is>
          <t>GÄVLEBORGS LÄN</t>
        </is>
      </c>
      <c r="G1197" t="inlineStr">
        <is>
          <t>HUDIKSVALL</t>
        </is>
      </c>
      <c r="I1197" t="n">
        <v>3.2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inlineStr"/>
    </row>
    <row r="1198" ht="15" customHeight="1">
      <c r="A1198" t="inlineStr">
        <is>
          <t>A 12392-2026</t>
        </is>
      </c>
      <c r="B1198" t="inlineStr">
        <is>
          <t>avverkningsanmälan</t>
        </is>
      </c>
      <c r="C1198" t="inlineStr">
        <is>
          <t>Föryngringsavverkning</t>
        </is>
      </c>
      <c r="D1198" s="1" t="n">
        <v>46090</v>
      </c>
      <c r="E1198" s="1" t="n">
        <v>46307</v>
      </c>
      <c r="F1198" t="inlineStr">
        <is>
          <t>GÄVLEBORGS LÄN</t>
        </is>
      </c>
      <c r="G1198" t="inlineStr">
        <is>
          <t>HUDIKSVALL</t>
        </is>
      </c>
      <c r="I1198" t="n">
        <v>7.1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inlineStr"/>
    </row>
    <row r="1199" ht="15" customHeight="1">
      <c r="A1199" t="inlineStr">
        <is>
          <t>A 20728-2026</t>
        </is>
      </c>
      <c r="B1199" t="inlineStr">
        <is>
          <t>avverkningsanmälan</t>
        </is>
      </c>
      <c r="C1199" t="inlineStr">
        <is>
          <t>Föryngringsavverkning</t>
        </is>
      </c>
      <c r="D1199" s="1" t="n">
        <v>46141</v>
      </c>
      <c r="E1199" s="1" t="n">
        <v>46307</v>
      </c>
      <c r="F1199" t="inlineStr">
        <is>
          <t>GÄVLEBORGS LÄN</t>
        </is>
      </c>
      <c r="G1199" t="inlineStr">
        <is>
          <t>HUDIKSVALL</t>
        </is>
      </c>
      <c r="I1199" t="n">
        <v>6.1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inlineStr"/>
    </row>
    <row r="1200" ht="15" customHeight="1">
      <c r="A1200" t="inlineStr">
        <is>
          <t>A 20711-2023</t>
        </is>
      </c>
      <c r="B1200" t="inlineStr">
        <is>
          <t>avverkningsanmälan</t>
        </is>
      </c>
      <c r="C1200" t="inlineStr">
        <is>
          <t>Föryngringsavverkning</t>
        </is>
      </c>
      <c r="D1200" s="1" t="n">
        <v>45058</v>
      </c>
      <c r="E1200" s="1" t="n">
        <v>46307</v>
      </c>
      <c r="F1200" t="inlineStr">
        <is>
          <t>GÄVLEBORGS LÄN</t>
        </is>
      </c>
      <c r="G1200" t="inlineStr">
        <is>
          <t>HUDIKSVALL</t>
        </is>
      </c>
      <c r="I1200" t="n">
        <v>1.9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inlineStr"/>
    </row>
    <row r="1201" ht="15" customHeight="1">
      <c r="A1201" t="inlineStr">
        <is>
          <t>A 5049-2026</t>
        </is>
      </c>
      <c r="B1201" t="inlineStr">
        <is>
          <t>avverkningsanmälan</t>
        </is>
      </c>
      <c r="C1201" t="inlineStr">
        <is>
          <t>Föryngringsavverkning</t>
        </is>
      </c>
      <c r="D1201" s="1" t="n">
        <v>46049</v>
      </c>
      <c r="E1201" s="1" t="n">
        <v>46307</v>
      </c>
      <c r="F1201" t="inlineStr">
        <is>
          <t>GÄVLEBORGS LÄN</t>
        </is>
      </c>
      <c r="G1201" t="inlineStr">
        <is>
          <t>HUDIKSVALL</t>
        </is>
      </c>
      <c r="I1201" t="n">
        <v>0.8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inlineStr"/>
    </row>
    <row r="1202" ht="15" customHeight="1">
      <c r="A1202" t="inlineStr">
        <is>
          <t>A 19724-2024</t>
        </is>
      </c>
      <c r="B1202" t="inlineStr">
        <is>
          <t>avverkningsanmälan</t>
        </is>
      </c>
      <c r="C1202" t="inlineStr">
        <is>
          <t>Föryngringsavverkning</t>
        </is>
      </c>
      <c r="D1202" s="1" t="n">
        <v>45432</v>
      </c>
      <c r="E1202" s="1" t="n">
        <v>46307</v>
      </c>
      <c r="F1202" t="inlineStr">
        <is>
          <t>GÄVLEBORGS LÄN</t>
        </is>
      </c>
      <c r="G1202" t="inlineStr">
        <is>
          <t>HUDIKSVALL</t>
        </is>
      </c>
      <c r="I1202" t="n">
        <v>0.6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inlineStr"/>
    </row>
    <row r="1203" ht="15" customHeight="1">
      <c r="A1203" t="inlineStr">
        <is>
          <t>A 16736-2025</t>
        </is>
      </c>
      <c r="B1203" t="inlineStr">
        <is>
          <t>avverkningsanmälan</t>
        </is>
      </c>
      <c r="C1203" t="inlineStr">
        <is>
          <t>Föryngringsavverkning</t>
        </is>
      </c>
      <c r="D1203" s="1" t="n">
        <v>45754</v>
      </c>
      <c r="E1203" s="1" t="n">
        <v>46307</v>
      </c>
      <c r="F1203" t="inlineStr">
        <is>
          <t>GÄVLEBORGS LÄN</t>
        </is>
      </c>
      <c r="G1203" t="inlineStr">
        <is>
          <t>HUDIKSVALL</t>
        </is>
      </c>
      <c r="I1203" t="n">
        <v>3.4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inlineStr"/>
    </row>
    <row r="1204" ht="15" customHeight="1">
      <c r="A1204" t="inlineStr">
        <is>
          <t>A 43496-2025</t>
        </is>
      </c>
      <c r="B1204" t="inlineStr">
        <is>
          <t>avverkningsanmälan</t>
        </is>
      </c>
      <c r="C1204" t="inlineStr">
        <is>
          <t>Föryngringsavverkning</t>
        </is>
      </c>
      <c r="D1204" s="1" t="n">
        <v>45911</v>
      </c>
      <c r="E1204" s="1" t="n">
        <v>46307</v>
      </c>
      <c r="F1204" t="inlineStr">
        <is>
          <t>GÄVLEBORGS LÄN</t>
        </is>
      </c>
      <c r="G1204" t="inlineStr">
        <is>
          <t>HUDIKSVALL</t>
        </is>
      </c>
      <c r="H1204" t="inlineStr">
        <is>
          <t>Naturvårdsverket</t>
        </is>
      </c>
      <c r="I1204" t="n">
        <v>2.4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inlineStr"/>
    </row>
    <row r="1205" ht="15" customHeight="1">
      <c r="A1205" t="inlineStr">
        <is>
          <t>A 5451-2026</t>
        </is>
      </c>
      <c r="B1205" t="inlineStr">
        <is>
          <t>avverkningsanmälan</t>
        </is>
      </c>
      <c r="C1205" t="inlineStr">
        <is>
          <t>Föryngringsavverkning</t>
        </is>
      </c>
      <c r="D1205" s="1" t="n">
        <v>46050</v>
      </c>
      <c r="E1205" s="1" t="n">
        <v>46307</v>
      </c>
      <c r="F1205" t="inlineStr">
        <is>
          <t>GÄVLEBORGS LÄN</t>
        </is>
      </c>
      <c r="G1205" t="inlineStr">
        <is>
          <t>HUDIKSVALL</t>
        </is>
      </c>
      <c r="I1205" t="n">
        <v>3.4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inlineStr"/>
    </row>
    <row r="1206" ht="15" customHeight="1">
      <c r="A1206" t="inlineStr">
        <is>
          <t>A 8778-2026</t>
        </is>
      </c>
      <c r="B1206" t="inlineStr">
        <is>
          <t>avverkningsanmälan</t>
        </is>
      </c>
      <c r="C1206" t="inlineStr">
        <is>
          <t>Föryngringsavverkning</t>
        </is>
      </c>
      <c r="D1206" s="1" t="n">
        <v>46066</v>
      </c>
      <c r="E1206" s="1" t="n">
        <v>46307</v>
      </c>
      <c r="F1206" t="inlineStr">
        <is>
          <t>GÄVLEBORGS LÄN</t>
        </is>
      </c>
      <c r="G1206" t="inlineStr">
        <is>
          <t>HUDIKSVALL</t>
        </is>
      </c>
      <c r="I1206" t="n">
        <v>2.3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inlineStr"/>
    </row>
    <row r="1207" ht="15" customHeight="1">
      <c r="A1207" t="inlineStr">
        <is>
          <t>A 5447-2026</t>
        </is>
      </c>
      <c r="B1207" t="inlineStr">
        <is>
          <t>avverkningsanmälan</t>
        </is>
      </c>
      <c r="C1207" t="inlineStr">
        <is>
          <t>Föryngringsavverkning</t>
        </is>
      </c>
      <c r="D1207" s="1" t="n">
        <v>46050</v>
      </c>
      <c r="E1207" s="1" t="n">
        <v>46307</v>
      </c>
      <c r="F1207" t="inlineStr">
        <is>
          <t>GÄVLEBORGS LÄN</t>
        </is>
      </c>
      <c r="G1207" t="inlineStr">
        <is>
          <t>HUDIKSVALL</t>
        </is>
      </c>
      <c r="I1207" t="n">
        <v>2.2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s="2" t="inlineStr"/>
    </row>
    <row r="1208" ht="15" customHeight="1">
      <c r="A1208" t="inlineStr">
        <is>
          <t>A 12312-2026</t>
        </is>
      </c>
      <c r="B1208" t="inlineStr">
        <is>
          <t>avverkningsanmälan</t>
        </is>
      </c>
      <c r="C1208" t="inlineStr">
        <is>
          <t>Föryngringsavverkning</t>
        </is>
      </c>
      <c r="D1208" s="1" t="n">
        <v>46087</v>
      </c>
      <c r="E1208" s="1" t="n">
        <v>46307</v>
      </c>
      <c r="F1208" t="inlineStr">
        <is>
          <t>GÄVLEBORGS LÄN</t>
        </is>
      </c>
      <c r="G1208" t="inlineStr">
        <is>
          <t>HUDIKSVALL</t>
        </is>
      </c>
      <c r="H1208" t="inlineStr">
        <is>
          <t>Kyrkan</t>
        </is>
      </c>
      <c r="I1208" t="n">
        <v>4.6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s="2" t="inlineStr"/>
    </row>
    <row r="1209" ht="15" customHeight="1">
      <c r="A1209" t="inlineStr">
        <is>
          <t>A 5560-2026</t>
        </is>
      </c>
      <c r="B1209" t="inlineStr">
        <is>
          <t>avverkningsanmälan</t>
        </is>
      </c>
      <c r="C1209" t="inlineStr">
        <is>
          <t>Föryngringsavverkning</t>
        </is>
      </c>
      <c r="D1209" s="1" t="n">
        <v>46050</v>
      </c>
      <c r="E1209" s="1" t="n">
        <v>46307</v>
      </c>
      <c r="F1209" t="inlineStr">
        <is>
          <t>GÄVLEBORGS LÄN</t>
        </is>
      </c>
      <c r="G1209" t="inlineStr">
        <is>
          <t>HUDIKSVALL</t>
        </is>
      </c>
      <c r="I1209" t="n">
        <v>1.4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s="2" t="inlineStr"/>
    </row>
    <row r="1210" ht="15" customHeight="1">
      <c r="A1210" t="inlineStr">
        <is>
          <t>A 9894-2026</t>
        </is>
      </c>
      <c r="B1210" t="inlineStr">
        <is>
          <t>avverkningsanmälan</t>
        </is>
      </c>
      <c r="C1210" t="inlineStr">
        <is>
          <t>Föryngringsavverkning</t>
        </is>
      </c>
      <c r="D1210" s="1" t="n">
        <v>46073</v>
      </c>
      <c r="E1210" s="1" t="n">
        <v>46307</v>
      </c>
      <c r="F1210" t="inlineStr">
        <is>
          <t>GÄVLEBORGS LÄN</t>
        </is>
      </c>
      <c r="G1210" t="inlineStr">
        <is>
          <t>HUDIKSVALL</t>
        </is>
      </c>
      <c r="I1210" t="n">
        <v>2.3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s="2" t="inlineStr"/>
    </row>
    <row r="1211" ht="15" customHeight="1">
      <c r="A1211" t="inlineStr">
        <is>
          <t>A 5634-2026</t>
        </is>
      </c>
      <c r="B1211" t="inlineStr">
        <is>
          <t>avverkningsanmälan</t>
        </is>
      </c>
      <c r="C1211" t="inlineStr">
        <is>
          <t>Föryngringsavverkning</t>
        </is>
      </c>
      <c r="D1211" s="1" t="n">
        <v>46051</v>
      </c>
      <c r="E1211" s="1" t="n">
        <v>46307</v>
      </c>
      <c r="F1211" t="inlineStr">
        <is>
          <t>GÄVLEBORGS LÄN</t>
        </is>
      </c>
      <c r="G1211" t="inlineStr">
        <is>
          <t>HUDIKSVALL</t>
        </is>
      </c>
      <c r="I1211" t="n">
        <v>2.4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s="2" t="inlineStr"/>
    </row>
    <row r="1212" ht="15" customHeight="1">
      <c r="A1212" t="inlineStr">
        <is>
          <t>A 6054-2026</t>
        </is>
      </c>
      <c r="B1212" t="inlineStr">
        <is>
          <t>avverkningsanmälan</t>
        </is>
      </c>
      <c r="C1212" t="inlineStr">
        <is>
          <t>Föryngringsavverkning</t>
        </is>
      </c>
      <c r="D1212" s="1" t="n">
        <v>46052</v>
      </c>
      <c r="E1212" s="1" t="n">
        <v>46307</v>
      </c>
      <c r="F1212" t="inlineStr">
        <is>
          <t>GÄVLEBORGS LÄN</t>
        </is>
      </c>
      <c r="G1212" t="inlineStr">
        <is>
          <t>HUDIKSVALL</t>
        </is>
      </c>
      <c r="I1212" t="n">
        <v>1.4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s="2" t="inlineStr"/>
    </row>
    <row r="1213" ht="15" customHeight="1">
      <c r="A1213" t="inlineStr">
        <is>
          <t>A 20921-2026</t>
        </is>
      </c>
      <c r="B1213" t="inlineStr">
        <is>
          <t>avverkningsanmälan</t>
        </is>
      </c>
      <c r="C1213" t="inlineStr">
        <is>
          <t>Föryngringsavverkning</t>
        </is>
      </c>
      <c r="D1213" s="1" t="n">
        <v>46142</v>
      </c>
      <c r="E1213" s="1" t="n">
        <v>46307</v>
      </c>
      <c r="F1213" t="inlineStr">
        <is>
          <t>GÄVLEBORGS LÄN</t>
        </is>
      </c>
      <c r="G1213" t="inlineStr">
        <is>
          <t>HUDIKSVALL</t>
        </is>
      </c>
      <c r="I1213" t="n">
        <v>1.4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s="2" t="inlineStr"/>
    </row>
    <row r="1214" ht="15" customHeight="1">
      <c r="A1214" t="inlineStr">
        <is>
          <t>A 5610-2026</t>
        </is>
      </c>
      <c r="B1214" t="inlineStr">
        <is>
          <t>avverkningsanmälan</t>
        </is>
      </c>
      <c r="C1214" t="inlineStr">
        <is>
          <t>Föryngringsavverkning</t>
        </is>
      </c>
      <c r="D1214" s="1" t="n">
        <v>46051</v>
      </c>
      <c r="E1214" s="1" t="n">
        <v>46307</v>
      </c>
      <c r="F1214" t="inlineStr">
        <is>
          <t>GÄVLEBORGS LÄN</t>
        </is>
      </c>
      <c r="G1214" t="inlineStr">
        <is>
          <t>HUDIKSVALL</t>
        </is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s="2" t="inlineStr"/>
    </row>
    <row r="1215" ht="15" customHeight="1">
      <c r="A1215" t="inlineStr">
        <is>
          <t>A 4217-2026</t>
        </is>
      </c>
      <c r="B1215" t="inlineStr">
        <is>
          <t>avverkningsanmälan</t>
        </is>
      </c>
      <c r="C1215" t="inlineStr">
        <is>
          <t>Föryngringsavverkning</t>
        </is>
      </c>
      <c r="D1215" s="1" t="n">
        <v>46044</v>
      </c>
      <c r="E1215" s="1" t="n">
        <v>46307</v>
      </c>
      <c r="F1215" t="inlineStr">
        <is>
          <t>GÄVLEBORGS LÄN</t>
        </is>
      </c>
      <c r="G1215" t="inlineStr">
        <is>
          <t>HUDIKSVALL</t>
        </is>
      </c>
      <c r="I1215" t="n">
        <v>4.6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s="2" t="inlineStr"/>
    </row>
    <row r="1216" ht="15" customHeight="1">
      <c r="A1216" t="inlineStr">
        <is>
          <t>A 6066-2026</t>
        </is>
      </c>
      <c r="B1216" t="inlineStr">
        <is>
          <t>avverkningsanmälan</t>
        </is>
      </c>
      <c r="C1216" t="inlineStr">
        <is>
          <t>Föryngringsavverkning</t>
        </is>
      </c>
      <c r="D1216" s="1" t="n">
        <v>46052</v>
      </c>
      <c r="E1216" s="1" t="n">
        <v>46307</v>
      </c>
      <c r="F1216" t="inlineStr">
        <is>
          <t>GÄVLEBORGS LÄN</t>
        </is>
      </c>
      <c r="G1216" t="inlineStr">
        <is>
          <t>HUDIKSVALL</t>
        </is>
      </c>
      <c r="I1216" t="n">
        <v>2.5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s="2" t="inlineStr"/>
    </row>
    <row r="1217" ht="15" customHeight="1">
      <c r="A1217" t="inlineStr">
        <is>
          <t>A 6061-2026</t>
        </is>
      </c>
      <c r="B1217" t="inlineStr">
        <is>
          <t>avverkningsanmälan</t>
        </is>
      </c>
      <c r="C1217" t="inlineStr">
        <is>
          <t>Föryngringsavverkning</t>
        </is>
      </c>
      <c r="D1217" s="1" t="n">
        <v>46052</v>
      </c>
      <c r="E1217" s="1" t="n">
        <v>46307</v>
      </c>
      <c r="F1217" t="inlineStr">
        <is>
          <t>GÄVLEBORGS LÄN</t>
        </is>
      </c>
      <c r="G1217" t="inlineStr">
        <is>
          <t>HUDIKSVALL</t>
        </is>
      </c>
      <c r="I1217" t="n">
        <v>2.9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s="2" t="inlineStr"/>
    </row>
    <row r="1218" ht="15" customHeight="1">
      <c r="A1218" t="inlineStr">
        <is>
          <t>A 10157-2026</t>
        </is>
      </c>
      <c r="B1218" t="inlineStr">
        <is>
          <t>avverkningsanmälan</t>
        </is>
      </c>
      <c r="C1218" t="inlineStr">
        <is>
          <t>Föryngringsavverkning</t>
        </is>
      </c>
      <c r="D1218" s="1" t="n">
        <v>46076</v>
      </c>
      <c r="E1218" s="1" t="n">
        <v>46307</v>
      </c>
      <c r="F1218" t="inlineStr">
        <is>
          <t>GÄVLEBORGS LÄN</t>
        </is>
      </c>
      <c r="G1218" t="inlineStr">
        <is>
          <t>HUDIKSVALL</t>
        </is>
      </c>
      <c r="H1218" t="inlineStr">
        <is>
          <t>Holmen skog AB</t>
        </is>
      </c>
      <c r="I1218" t="n">
        <v>2.4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s="2" t="inlineStr"/>
    </row>
    <row r="1219" ht="15" customHeight="1">
      <c r="A1219" t="inlineStr">
        <is>
          <t>A 5635-2026</t>
        </is>
      </c>
      <c r="B1219" t="inlineStr">
        <is>
          <t>avverkningsanmälan</t>
        </is>
      </c>
      <c r="C1219" t="inlineStr">
        <is>
          <t>Föryngringsavverkning</t>
        </is>
      </c>
      <c r="D1219" s="1" t="n">
        <v>46051</v>
      </c>
      <c r="E1219" s="1" t="n">
        <v>46307</v>
      </c>
      <c r="F1219" t="inlineStr">
        <is>
          <t>GÄVLEBORGS LÄN</t>
        </is>
      </c>
      <c r="G1219" t="inlineStr">
        <is>
          <t>HUDIKSVALL</t>
        </is>
      </c>
      <c r="I1219" t="n">
        <v>5.6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s="2" t="inlineStr"/>
    </row>
    <row r="1220" ht="15" customHeight="1">
      <c r="A1220" t="inlineStr">
        <is>
          <t>A 5844-2026</t>
        </is>
      </c>
      <c r="B1220" t="inlineStr">
        <is>
          <t>avverkningsanmälan</t>
        </is>
      </c>
      <c r="C1220" t="inlineStr">
        <is>
          <t>Föryngringsavverkning</t>
        </is>
      </c>
      <c r="D1220" s="1" t="n">
        <v>46052</v>
      </c>
      <c r="E1220" s="1" t="n">
        <v>46307</v>
      </c>
      <c r="F1220" t="inlineStr">
        <is>
          <t>GÄVLEBORGS LÄN</t>
        </is>
      </c>
      <c r="G1220" t="inlineStr">
        <is>
          <t>HUDIKSVALL</t>
        </is>
      </c>
      <c r="I1220" t="n">
        <v>2.1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s="2" t="inlineStr"/>
    </row>
    <row r="1221" ht="15" customHeight="1">
      <c r="A1221" t="inlineStr">
        <is>
          <t>A 6369-2026</t>
        </is>
      </c>
      <c r="B1221" t="inlineStr">
        <is>
          <t>avverkningsanmälan</t>
        </is>
      </c>
      <c r="C1221" t="inlineStr">
        <is>
          <t>Föryngringsavverkning</t>
        </is>
      </c>
      <c r="D1221" s="1" t="n">
        <v>46055</v>
      </c>
      <c r="E1221" s="1" t="n">
        <v>46307</v>
      </c>
      <c r="F1221" t="inlineStr">
        <is>
          <t>GÄVLEBORGS LÄN</t>
        </is>
      </c>
      <c r="G1221" t="inlineStr">
        <is>
          <t>HUDIKSVALL</t>
        </is>
      </c>
      <c r="I1221" t="n">
        <v>4.5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s="2" t="inlineStr"/>
    </row>
    <row r="1222" ht="15" customHeight="1">
      <c r="A1222" t="inlineStr">
        <is>
          <t>A 6198-2026</t>
        </is>
      </c>
      <c r="B1222" t="inlineStr">
        <is>
          <t>avverkningsanmälan</t>
        </is>
      </c>
      <c r="C1222" t="inlineStr">
        <is>
          <t>Föryngringsavverkning</t>
        </is>
      </c>
      <c r="D1222" s="1" t="n">
        <v>46055</v>
      </c>
      <c r="E1222" s="1" t="n">
        <v>46307</v>
      </c>
      <c r="F1222" t="inlineStr">
        <is>
          <t>GÄVLEBORGS LÄN</t>
        </is>
      </c>
      <c r="G1222" t="inlineStr">
        <is>
          <t>HUDIKSVALL</t>
        </is>
      </c>
      <c r="I1222" t="n">
        <v>1.3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s="2" t="inlineStr"/>
    </row>
    <row r="1223" ht="15" customHeight="1">
      <c r="A1223" t="inlineStr">
        <is>
          <t>A 6487-2026</t>
        </is>
      </c>
      <c r="B1223" t="inlineStr">
        <is>
          <t>avverkningsanmälan</t>
        </is>
      </c>
      <c r="C1223" t="inlineStr">
        <is>
          <t>Föryngringsavverkning</t>
        </is>
      </c>
      <c r="D1223" s="1" t="n">
        <v>46056</v>
      </c>
      <c r="E1223" s="1" t="n">
        <v>46307</v>
      </c>
      <c r="F1223" t="inlineStr">
        <is>
          <t>GÄVLEBORGS LÄN</t>
        </is>
      </c>
      <c r="G1223" t="inlineStr">
        <is>
          <t>HUDIKSVALL</t>
        </is>
      </c>
      <c r="I1223" t="n">
        <v>0.6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s="2" t="inlineStr"/>
    </row>
    <row r="1224" ht="15" customHeight="1">
      <c r="A1224" t="inlineStr">
        <is>
          <t>A 6591-2026</t>
        </is>
      </c>
      <c r="B1224" t="inlineStr">
        <is>
          <t>avverkningsanmälan</t>
        </is>
      </c>
      <c r="C1224" t="inlineStr">
        <is>
          <t>Föryngringsavverkning</t>
        </is>
      </c>
      <c r="D1224" s="1" t="n">
        <v>46056</v>
      </c>
      <c r="E1224" s="1" t="n">
        <v>46307</v>
      </c>
      <c r="F1224" t="inlineStr">
        <is>
          <t>GÄVLEBORGS LÄN</t>
        </is>
      </c>
      <c r="G1224" t="inlineStr">
        <is>
          <t>HUDIKSVALL</t>
        </is>
      </c>
      <c r="H1224" t="inlineStr">
        <is>
          <t>Holmen skog AB</t>
        </is>
      </c>
      <c r="I1224" t="n">
        <v>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s="2" t="inlineStr"/>
    </row>
    <row r="1225" ht="15" customHeight="1">
      <c r="A1225" t="inlineStr">
        <is>
          <t>A 6721-2026</t>
        </is>
      </c>
      <c r="B1225" t="inlineStr">
        <is>
          <t>avverkningsanmälan</t>
        </is>
      </c>
      <c r="C1225" t="inlineStr">
        <is>
          <t>Föryngringsavverkning</t>
        </is>
      </c>
      <c r="D1225" s="1" t="n">
        <v>46056</v>
      </c>
      <c r="E1225" s="1" t="n">
        <v>46307</v>
      </c>
      <c r="F1225" t="inlineStr">
        <is>
          <t>GÄVLEBORGS LÄN</t>
        </is>
      </c>
      <c r="G1225" t="inlineStr">
        <is>
          <t>HUDIKSVALL</t>
        </is>
      </c>
      <c r="I1225" t="n">
        <v>0.3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s="2" t="inlineStr"/>
    </row>
    <row r="1226" ht="15" customHeight="1">
      <c r="A1226" t="inlineStr">
        <is>
          <t>A 6488-2026</t>
        </is>
      </c>
      <c r="B1226" t="inlineStr">
        <is>
          <t>avverkningsanmälan</t>
        </is>
      </c>
      <c r="C1226" t="inlineStr">
        <is>
          <t>Föryngringsavverkning</t>
        </is>
      </c>
      <c r="D1226" s="1" t="n">
        <v>46056</v>
      </c>
      <c r="E1226" s="1" t="n">
        <v>46307</v>
      </c>
      <c r="F1226" t="inlineStr">
        <is>
          <t>GÄVLEBORGS LÄN</t>
        </is>
      </c>
      <c r="G1226" t="inlineStr">
        <is>
          <t>HUDIKSVALL</t>
        </is>
      </c>
      <c r="I1226" t="n">
        <v>0.3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s="2" t="inlineStr"/>
    </row>
    <row r="1227" ht="15" customHeight="1">
      <c r="A1227" t="inlineStr">
        <is>
          <t>A 6755-2026</t>
        </is>
      </c>
      <c r="B1227" t="inlineStr">
        <is>
          <t>avverkningsanmälan</t>
        </is>
      </c>
      <c r="C1227" t="inlineStr">
        <is>
          <t>Föryngringsavverkning</t>
        </is>
      </c>
      <c r="D1227" s="1" t="n">
        <v>46056</v>
      </c>
      <c r="E1227" s="1" t="n">
        <v>46307</v>
      </c>
      <c r="F1227" t="inlineStr">
        <is>
          <t>GÄVLEBORGS LÄN</t>
        </is>
      </c>
      <c r="G1227" t="inlineStr">
        <is>
          <t>HUDIKSVALL</t>
        </is>
      </c>
      <c r="H1227" t="inlineStr">
        <is>
          <t>Holmen skog AB</t>
        </is>
      </c>
      <c r="I1227" t="n">
        <v>1.9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s="2" t="inlineStr"/>
    </row>
    <row r="1228" ht="15" customHeight="1">
      <c r="A1228" t="inlineStr">
        <is>
          <t>A 6294-2026</t>
        </is>
      </c>
      <c r="B1228" t="inlineStr">
        <is>
          <t>avverkningsanmälan</t>
        </is>
      </c>
      <c r="C1228" t="inlineStr">
        <is>
          <t>Föryngringsavverkning</t>
        </is>
      </c>
      <c r="D1228" s="1" t="n">
        <v>46055</v>
      </c>
      <c r="E1228" s="1" t="n">
        <v>46307</v>
      </c>
      <c r="F1228" t="inlineStr">
        <is>
          <t>GÄVLEBORGS LÄN</t>
        </is>
      </c>
      <c r="G1228" t="inlineStr">
        <is>
          <t>HUDIKSVALL</t>
        </is>
      </c>
      <c r="I1228" t="n">
        <v>14.2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s="2" t="inlineStr"/>
    </row>
    <row r="1229" ht="15" customHeight="1">
      <c r="A1229" t="inlineStr">
        <is>
          <t>A 7301-2026</t>
        </is>
      </c>
      <c r="B1229" t="inlineStr">
        <is>
          <t>avverkningsanmälan</t>
        </is>
      </c>
      <c r="C1229" t="inlineStr">
        <is>
          <t>Föryngringsavverkning</t>
        </is>
      </c>
      <c r="D1229" s="1" t="n">
        <v>46058</v>
      </c>
      <c r="E1229" s="1" t="n">
        <v>46307</v>
      </c>
      <c r="F1229" t="inlineStr">
        <is>
          <t>GÄVLEBORGS LÄN</t>
        </is>
      </c>
      <c r="G1229" t="inlineStr">
        <is>
          <t>HUDIKSVALL</t>
        </is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s="2" t="inlineStr"/>
    </row>
    <row r="1230" ht="15" customHeight="1">
      <c r="A1230" t="inlineStr">
        <is>
          <t>A 6849-2026</t>
        </is>
      </c>
      <c r="B1230" t="inlineStr">
        <is>
          <t>avverkningsanmälan</t>
        </is>
      </c>
      <c r="C1230" t="inlineStr">
        <is>
          <t>Föryngringsavverkning</t>
        </is>
      </c>
      <c r="D1230" s="1" t="n">
        <v>46057</v>
      </c>
      <c r="E1230" s="1" t="n">
        <v>46307</v>
      </c>
      <c r="F1230" t="inlineStr">
        <is>
          <t>GÄVLEBORGS LÄN</t>
        </is>
      </c>
      <c r="G1230" t="inlineStr">
        <is>
          <t>HUDIKSVALL</t>
        </is>
      </c>
      <c r="H1230" t="inlineStr">
        <is>
          <t>Naturvårdsverket</t>
        </is>
      </c>
      <c r="I1230" t="n">
        <v>1.8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s="2" t="inlineStr"/>
    </row>
    <row r="1231" ht="15" customHeight="1">
      <c r="A1231" t="inlineStr">
        <is>
          <t>A 6826-2026</t>
        </is>
      </c>
      <c r="B1231" t="inlineStr">
        <is>
          <t>avverkningsanmälan</t>
        </is>
      </c>
      <c r="C1231" t="inlineStr">
        <is>
          <t>Föryngringsavverkning</t>
        </is>
      </c>
      <c r="D1231" s="1" t="n">
        <v>46057</v>
      </c>
      <c r="E1231" s="1" t="n">
        <v>46307</v>
      </c>
      <c r="F1231" t="inlineStr">
        <is>
          <t>GÄVLEBORGS LÄN</t>
        </is>
      </c>
      <c r="G1231" t="inlineStr">
        <is>
          <t>HUDIKSVALL</t>
        </is>
      </c>
      <c r="I1231" t="n">
        <v>1.1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s="2" t="inlineStr"/>
    </row>
    <row r="1232" ht="15" customHeight="1">
      <c r="A1232" t="inlineStr">
        <is>
          <t>A 7092-2026</t>
        </is>
      </c>
      <c r="B1232" t="inlineStr">
        <is>
          <t>avverkningsanmälan</t>
        </is>
      </c>
      <c r="C1232" t="inlineStr">
        <is>
          <t>Föryngringsavverkning</t>
        </is>
      </c>
      <c r="D1232" s="1" t="n">
        <v>46058</v>
      </c>
      <c r="E1232" s="1" t="n">
        <v>46307</v>
      </c>
      <c r="F1232" t="inlineStr">
        <is>
          <t>GÄVLEBORGS LÄN</t>
        </is>
      </c>
      <c r="G1232" t="inlineStr">
        <is>
          <t>HUDIKSVALL</t>
        </is>
      </c>
      <c r="I1232" t="n">
        <v>1.9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s="2" t="inlineStr"/>
    </row>
    <row r="1233" ht="15" customHeight="1">
      <c r="A1233" t="inlineStr">
        <is>
          <t>A 7058-2026</t>
        </is>
      </c>
      <c r="B1233" t="inlineStr">
        <is>
          <t>avverkningsanmälan</t>
        </is>
      </c>
      <c r="C1233" t="inlineStr">
        <is>
          <t>Föryngringsavverkning</t>
        </is>
      </c>
      <c r="D1233" s="1" t="n">
        <v>46057</v>
      </c>
      <c r="E1233" s="1" t="n">
        <v>46307</v>
      </c>
      <c r="F1233" t="inlineStr">
        <is>
          <t>GÄVLEBORGS LÄN</t>
        </is>
      </c>
      <c r="G1233" t="inlineStr">
        <is>
          <t>HUDIKSVALL</t>
        </is>
      </c>
      <c r="I1233" t="n">
        <v>0.5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s="2" t="inlineStr"/>
    </row>
    <row r="1234" ht="15" customHeight="1">
      <c r="A1234" t="inlineStr">
        <is>
          <t>A 7033-2026</t>
        </is>
      </c>
      <c r="B1234" t="inlineStr">
        <is>
          <t>avverkningsanmälan</t>
        </is>
      </c>
      <c r="C1234" t="inlineStr">
        <is>
          <t>Föryngringsavverkning</t>
        </is>
      </c>
      <c r="D1234" s="1" t="n">
        <v>46057</v>
      </c>
      <c r="E1234" s="1" t="n">
        <v>46307</v>
      </c>
      <c r="F1234" t="inlineStr">
        <is>
          <t>GÄVLEBORGS LÄN</t>
        </is>
      </c>
      <c r="G1234" t="inlineStr">
        <is>
          <t>HUDIKSVALL</t>
        </is>
      </c>
      <c r="I1234" t="n">
        <v>4.2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s="2" t="inlineStr"/>
    </row>
    <row r="1235" ht="15" customHeight="1">
      <c r="A1235" t="inlineStr">
        <is>
          <t>A 7137-2026</t>
        </is>
      </c>
      <c r="B1235" t="inlineStr">
        <is>
          <t>avverkningsanmälan</t>
        </is>
      </c>
      <c r="C1235" t="inlineStr">
        <is>
          <t>Föryngringsavverkning</t>
        </is>
      </c>
      <c r="D1235" s="1" t="n">
        <v>46058</v>
      </c>
      <c r="E1235" s="1" t="n">
        <v>46307</v>
      </c>
      <c r="F1235" t="inlineStr">
        <is>
          <t>GÄVLEBORGS LÄN</t>
        </is>
      </c>
      <c r="G1235" t="inlineStr">
        <is>
          <t>HUDIKSVALL</t>
        </is>
      </c>
      <c r="I1235" t="n">
        <v>2.3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s="2" t="inlineStr"/>
    </row>
    <row r="1236" ht="15" customHeight="1">
      <c r="A1236" t="inlineStr">
        <is>
          <t>A 7141-2026</t>
        </is>
      </c>
      <c r="B1236" t="inlineStr">
        <is>
          <t>avverkningsanmälan</t>
        </is>
      </c>
      <c r="C1236" t="inlineStr">
        <is>
          <t>Föryngringsavverkning</t>
        </is>
      </c>
      <c r="D1236" s="1" t="n">
        <v>46058</v>
      </c>
      <c r="E1236" s="1" t="n">
        <v>46307</v>
      </c>
      <c r="F1236" t="inlineStr">
        <is>
          <t>GÄVLEBORGS LÄN</t>
        </is>
      </c>
      <c r="G1236" t="inlineStr">
        <is>
          <t>HUDIKSVALL</t>
        </is>
      </c>
      <c r="I1236" t="n">
        <v>1.3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s="2" t="inlineStr"/>
    </row>
    <row r="1237" ht="15" customHeight="1">
      <c r="A1237" t="inlineStr">
        <is>
          <t>A 6832-2026</t>
        </is>
      </c>
      <c r="B1237" t="inlineStr">
        <is>
          <t>avverkningsanmälan</t>
        </is>
      </c>
      <c r="C1237" t="inlineStr">
        <is>
          <t>Föryngringsavverkning</t>
        </is>
      </c>
      <c r="D1237" s="1" t="n">
        <v>46057</v>
      </c>
      <c r="E1237" s="1" t="n">
        <v>46307</v>
      </c>
      <c r="F1237" t="inlineStr">
        <is>
          <t>GÄVLEBORGS LÄN</t>
        </is>
      </c>
      <c r="G1237" t="inlineStr">
        <is>
          <t>HUDIKSVALL</t>
        </is>
      </c>
      <c r="I1237" t="n">
        <v>1.4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s="2" t="inlineStr"/>
    </row>
    <row r="1238" ht="15" customHeight="1">
      <c r="A1238" t="inlineStr">
        <is>
          <t>A 7085-2026</t>
        </is>
      </c>
      <c r="B1238" t="inlineStr">
        <is>
          <t>avverkningsanmälan</t>
        </is>
      </c>
      <c r="C1238" t="inlineStr">
        <is>
          <t>Föryngringsavverkning</t>
        </is>
      </c>
      <c r="D1238" s="1" t="n">
        <v>46058</v>
      </c>
      <c r="E1238" s="1" t="n">
        <v>46307</v>
      </c>
      <c r="F1238" t="inlineStr">
        <is>
          <t>GÄVLEBORGS LÄN</t>
        </is>
      </c>
      <c r="G1238" t="inlineStr">
        <is>
          <t>HUDIKSVALL</t>
        </is>
      </c>
      <c r="I1238" t="n">
        <v>41.1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s="2" t="inlineStr"/>
    </row>
    <row r="1239" ht="15" customHeight="1">
      <c r="A1239" t="inlineStr">
        <is>
          <t>A 20638-2026</t>
        </is>
      </c>
      <c r="B1239" t="inlineStr">
        <is>
          <t>avverkningsanmälan</t>
        </is>
      </c>
      <c r="C1239" t="inlineStr">
        <is>
          <t>Föryngringsavverkning</t>
        </is>
      </c>
      <c r="D1239" s="1" t="n">
        <v>46141</v>
      </c>
      <c r="E1239" s="1" t="n">
        <v>46307</v>
      </c>
      <c r="F1239" t="inlineStr">
        <is>
          <t>GÄVLEBORGS LÄN</t>
        </is>
      </c>
      <c r="G1239" t="inlineStr">
        <is>
          <t>HUDIKSVALL</t>
        </is>
      </c>
      <c r="H1239" t="inlineStr">
        <is>
          <t>Holmen skog AB</t>
        </is>
      </c>
      <c r="I1239" t="n">
        <v>2.1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s="2" t="inlineStr"/>
    </row>
    <row r="1240" ht="15" customHeight="1">
      <c r="A1240" t="inlineStr">
        <is>
          <t>A 9582-2026</t>
        </is>
      </c>
      <c r="B1240" t="inlineStr">
        <is>
          <t>avverkningsanmälan</t>
        </is>
      </c>
      <c r="C1240" t="inlineStr">
        <is>
          <t>Föryngringsavverkning</t>
        </is>
      </c>
      <c r="D1240" s="1" t="n">
        <v>46071</v>
      </c>
      <c r="E1240" s="1" t="n">
        <v>46307</v>
      </c>
      <c r="F1240" t="inlineStr">
        <is>
          <t>GÄVLEBORGS LÄN</t>
        </is>
      </c>
      <c r="G1240" t="inlineStr">
        <is>
          <t>HUDIKSVALL</t>
        </is>
      </c>
      <c r="I1240" t="n">
        <v>6.2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s="2" t="inlineStr"/>
    </row>
    <row r="1241" ht="15" customHeight="1">
      <c r="A1241" t="inlineStr">
        <is>
          <t>A 7484-2026</t>
        </is>
      </c>
      <c r="B1241" t="inlineStr">
        <is>
          <t>avverkningsanmälan</t>
        </is>
      </c>
      <c r="C1241" t="inlineStr">
        <is>
          <t>Föryngringsavverkning</t>
        </is>
      </c>
      <c r="D1241" s="1" t="n">
        <v>46059</v>
      </c>
      <c r="E1241" s="1" t="n">
        <v>46307</v>
      </c>
      <c r="F1241" t="inlineStr">
        <is>
          <t>GÄVLEBORGS LÄN</t>
        </is>
      </c>
      <c r="G1241" t="inlineStr">
        <is>
          <t>HUDIKSVALL</t>
        </is>
      </c>
      <c r="I1241" t="n">
        <v>2.8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s="2" t="inlineStr"/>
    </row>
    <row r="1242" ht="15" customHeight="1">
      <c r="A1242" t="inlineStr">
        <is>
          <t>A 7379-2026</t>
        </is>
      </c>
      <c r="B1242" t="inlineStr">
        <is>
          <t>avverkningsanmälan</t>
        </is>
      </c>
      <c r="C1242" t="inlineStr">
        <is>
          <t>Föryngringsavverkning</t>
        </is>
      </c>
      <c r="D1242" s="1" t="n">
        <v>46059</v>
      </c>
      <c r="E1242" s="1" t="n">
        <v>46307</v>
      </c>
      <c r="F1242" t="inlineStr">
        <is>
          <t>GÄVLEBORGS LÄN</t>
        </is>
      </c>
      <c r="G1242" t="inlineStr">
        <is>
          <t>HUDIKSVALL</t>
        </is>
      </c>
      <c r="I1242" t="n">
        <v>1.6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s="2" t="inlineStr"/>
    </row>
    <row r="1243" ht="15" customHeight="1">
      <c r="A1243" t="inlineStr">
        <is>
          <t>A 7702-2026</t>
        </is>
      </c>
      <c r="B1243" t="inlineStr">
        <is>
          <t>avverkningsanmälan</t>
        </is>
      </c>
      <c r="C1243" t="inlineStr">
        <is>
          <t>Föryngringsavverkning</t>
        </is>
      </c>
      <c r="D1243" s="1" t="n">
        <v>46062</v>
      </c>
      <c r="E1243" s="1" t="n">
        <v>46307</v>
      </c>
      <c r="F1243" t="inlineStr">
        <is>
          <t>GÄVLEBORGS LÄN</t>
        </is>
      </c>
      <c r="G1243" t="inlineStr">
        <is>
          <t>HUDIKSVALL</t>
        </is>
      </c>
      <c r="I1243" t="n">
        <v>1.6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s="2" t="inlineStr"/>
    </row>
    <row r="1244" ht="15" customHeight="1">
      <c r="A1244" t="inlineStr">
        <is>
          <t>A 10426-2025</t>
        </is>
      </c>
      <c r="B1244" t="inlineStr">
        <is>
          <t>avverkningsanmälan</t>
        </is>
      </c>
      <c r="C1244" t="inlineStr">
        <is>
          <t>Föryngringsavverkning</t>
        </is>
      </c>
      <c r="D1244" s="1" t="n">
        <v>45720</v>
      </c>
      <c r="E1244" s="1" t="n">
        <v>46307</v>
      </c>
      <c r="F1244" t="inlineStr">
        <is>
          <t>GÄVLEBORGS LÄN</t>
        </is>
      </c>
      <c r="G1244" t="inlineStr">
        <is>
          <t>HUDIKSVALL</t>
        </is>
      </c>
      <c r="I1244" t="n">
        <v>4.5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s="2" t="inlineStr"/>
    </row>
    <row r="1245" ht="15" customHeight="1">
      <c r="A1245" t="inlineStr">
        <is>
          <t>A 7054-2026</t>
        </is>
      </c>
      <c r="B1245" t="inlineStr">
        <is>
          <t>avverkningsanmälan</t>
        </is>
      </c>
      <c r="C1245" t="inlineStr">
        <is>
          <t>Föryngringsavverkning</t>
        </is>
      </c>
      <c r="D1245" s="1" t="n">
        <v>46057</v>
      </c>
      <c r="E1245" s="1" t="n">
        <v>46307</v>
      </c>
      <c r="F1245" t="inlineStr">
        <is>
          <t>GÄVLEBORGS LÄN</t>
        </is>
      </c>
      <c r="G1245" t="inlineStr">
        <is>
          <t>HUDIKSVALL</t>
        </is>
      </c>
      <c r="H1245" t="inlineStr">
        <is>
          <t>Holmen skog AB</t>
        </is>
      </c>
      <c r="I1245" t="n">
        <v>1.6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s="2" t="inlineStr"/>
    </row>
    <row r="1246" ht="15" customHeight="1">
      <c r="A1246" t="inlineStr">
        <is>
          <t>A 20964-2026</t>
        </is>
      </c>
      <c r="B1246" t="inlineStr">
        <is>
          <t>avverkningsanmälan</t>
        </is>
      </c>
      <c r="C1246" t="inlineStr">
        <is>
          <t>Föryngringsavverkning</t>
        </is>
      </c>
      <c r="D1246" s="1" t="n">
        <v>46142</v>
      </c>
      <c r="E1246" s="1" t="n">
        <v>46307</v>
      </c>
      <c r="F1246" t="inlineStr">
        <is>
          <t>GÄVLEBORGS LÄN</t>
        </is>
      </c>
      <c r="G1246" t="inlineStr">
        <is>
          <t>HUDIKSVALL</t>
        </is>
      </c>
      <c r="H1246" t="inlineStr">
        <is>
          <t>Holmen skog AB</t>
        </is>
      </c>
      <c r="I1246" t="n">
        <v>1.9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s="2" t="inlineStr"/>
    </row>
    <row r="1247" ht="15" customHeight="1">
      <c r="A1247" t="inlineStr">
        <is>
          <t>A 7298-2026</t>
        </is>
      </c>
      <c r="B1247" t="inlineStr">
        <is>
          <t>avverkningsanmälan</t>
        </is>
      </c>
      <c r="C1247" t="inlineStr">
        <is>
          <t>Föryngringsavverkning</t>
        </is>
      </c>
      <c r="D1247" s="1" t="n">
        <v>46058</v>
      </c>
      <c r="E1247" s="1" t="n">
        <v>46307</v>
      </c>
      <c r="F1247" t="inlineStr">
        <is>
          <t>GÄVLEBORGS LÄN</t>
        </is>
      </c>
      <c r="G1247" t="inlineStr">
        <is>
          <t>HUDIKSVALL</t>
        </is>
      </c>
      <c r="I1247" t="n">
        <v>0.8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s="2" t="inlineStr"/>
    </row>
    <row r="1248" ht="15" customHeight="1">
      <c r="A1248" t="inlineStr">
        <is>
          <t>A 63862-2025</t>
        </is>
      </c>
      <c r="B1248" t="inlineStr">
        <is>
          <t>avverkningsanmälan</t>
        </is>
      </c>
      <c r="C1248" t="inlineStr">
        <is>
          <t>Föryngringsavverkning</t>
        </is>
      </c>
      <c r="D1248" s="1" t="n">
        <v>46020</v>
      </c>
      <c r="E1248" s="1" t="n">
        <v>46307</v>
      </c>
      <c r="F1248" t="inlineStr">
        <is>
          <t>GÄVLEBORGS LÄN</t>
        </is>
      </c>
      <c r="G1248" t="inlineStr">
        <is>
          <t>HUDIKSVALL</t>
        </is>
      </c>
      <c r="I1248" t="n">
        <v>2.5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s="2" t="inlineStr"/>
    </row>
    <row r="1249" ht="15" customHeight="1">
      <c r="A1249" t="inlineStr">
        <is>
          <t>A 53977-2025</t>
        </is>
      </c>
      <c r="B1249" t="inlineStr">
        <is>
          <t>avverkningsanmälan</t>
        </is>
      </c>
      <c r="C1249" t="inlineStr">
        <is>
          <t>Föryngringsavverkning</t>
        </is>
      </c>
      <c r="D1249" s="1" t="n">
        <v>45961</v>
      </c>
      <c r="E1249" s="1" t="n">
        <v>46307</v>
      </c>
      <c r="F1249" t="inlineStr">
        <is>
          <t>GÄVLEBORGS LÄN</t>
        </is>
      </c>
      <c r="G1249" t="inlineStr">
        <is>
          <t>HUDIKSVALL</t>
        </is>
      </c>
      <c r="H1249" t="inlineStr">
        <is>
          <t>Naturvårdsverket</t>
        </is>
      </c>
      <c r="I1249" t="n">
        <v>9.5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s="2" t="inlineStr"/>
    </row>
    <row r="1250" ht="15" customHeight="1">
      <c r="A1250" t="inlineStr">
        <is>
          <t>A 95-2026</t>
        </is>
      </c>
      <c r="B1250" t="inlineStr">
        <is>
          <t>avverkningsanmälan</t>
        </is>
      </c>
      <c r="C1250" t="inlineStr">
        <is>
          <t>Föryngringsavverkning</t>
        </is>
      </c>
      <c r="D1250" s="1" t="n">
        <v>46024</v>
      </c>
      <c r="E1250" s="1" t="n">
        <v>46307</v>
      </c>
      <c r="F1250" t="inlineStr">
        <is>
          <t>GÄVLEBORGS LÄN</t>
        </is>
      </c>
      <c r="G1250" t="inlineStr">
        <is>
          <t>HUDIKSVALL</t>
        </is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s="2" t="inlineStr"/>
    </row>
    <row r="1251" ht="15" customHeight="1">
      <c r="A1251" t="inlineStr">
        <is>
          <t>A 8124-2026</t>
        </is>
      </c>
      <c r="B1251" t="inlineStr">
        <is>
          <t>avverkningsanmälan</t>
        </is>
      </c>
      <c r="C1251" t="inlineStr">
        <is>
          <t>Föryngringsavverkning</t>
        </is>
      </c>
      <c r="D1251" s="1" t="n">
        <v>46063</v>
      </c>
      <c r="E1251" s="1" t="n">
        <v>46307</v>
      </c>
      <c r="F1251" t="inlineStr">
        <is>
          <t>GÄVLEBORGS LÄN</t>
        </is>
      </c>
      <c r="G1251" t="inlineStr">
        <is>
          <t>HUDIKSVALL</t>
        </is>
      </c>
      <c r="I1251" t="n">
        <v>1.2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s="2" t="inlineStr"/>
    </row>
    <row r="1252" ht="15" customHeight="1">
      <c r="A1252" t="inlineStr">
        <is>
          <t>A 7781-2026</t>
        </is>
      </c>
      <c r="B1252" t="inlineStr">
        <is>
          <t>avverkningsanmälan</t>
        </is>
      </c>
      <c r="C1252" t="inlineStr">
        <is>
          <t>Föryngringsavverkning</t>
        </is>
      </c>
      <c r="D1252" s="1" t="n">
        <v>46062</v>
      </c>
      <c r="E1252" s="1" t="n">
        <v>46307</v>
      </c>
      <c r="F1252" t="inlineStr">
        <is>
          <t>GÄVLEBORGS LÄN</t>
        </is>
      </c>
      <c r="G1252" t="inlineStr">
        <is>
          <t>HUDIKSVALL</t>
        </is>
      </c>
      <c r="I1252" t="n">
        <v>10.9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s="2" t="inlineStr"/>
    </row>
    <row r="1253" ht="15" customHeight="1">
      <c r="A1253" t="inlineStr">
        <is>
          <t>A 20825-2026</t>
        </is>
      </c>
      <c r="B1253" t="inlineStr">
        <is>
          <t>avverkningsanmälan</t>
        </is>
      </c>
      <c r="C1253" t="inlineStr">
        <is>
          <t>Föryngringsavverkning</t>
        </is>
      </c>
      <c r="D1253" s="1" t="n">
        <v>46141</v>
      </c>
      <c r="E1253" s="1" t="n">
        <v>46307</v>
      </c>
      <c r="F1253" t="inlineStr">
        <is>
          <t>GÄVLEBORGS LÄN</t>
        </is>
      </c>
      <c r="G1253" t="inlineStr">
        <is>
          <t>HUDIKSVALL</t>
        </is>
      </c>
      <c r="I1253" t="n">
        <v>1.3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s="2" t="inlineStr"/>
    </row>
    <row r="1254" ht="15" customHeight="1">
      <c r="A1254" t="inlineStr">
        <is>
          <t>A 20816-2026</t>
        </is>
      </c>
      <c r="B1254" t="inlineStr">
        <is>
          <t>avverkningsanmälan</t>
        </is>
      </c>
      <c r="C1254" t="inlineStr">
        <is>
          <t>Föryngringsavverkning</t>
        </is>
      </c>
      <c r="D1254" s="1" t="n">
        <v>46141</v>
      </c>
      <c r="E1254" s="1" t="n">
        <v>46307</v>
      </c>
      <c r="F1254" t="inlineStr">
        <is>
          <t>GÄVLEBORGS LÄN</t>
        </is>
      </c>
      <c r="G1254" t="inlineStr">
        <is>
          <t>HUDIKSVALL</t>
        </is>
      </c>
      <c r="I1254" t="n">
        <v>2.8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s="2" t="inlineStr"/>
    </row>
    <row r="1255" ht="15" customHeight="1">
      <c r="A1255" t="inlineStr">
        <is>
          <t>A 6895-2026</t>
        </is>
      </c>
      <c r="B1255" t="inlineStr">
        <is>
          <t>avverkningsanmälan</t>
        </is>
      </c>
      <c r="C1255" t="inlineStr">
        <is>
          <t>Föryngringsavverkning</t>
        </is>
      </c>
      <c r="D1255" s="1" t="n">
        <v>46057</v>
      </c>
      <c r="E1255" s="1" t="n">
        <v>46307</v>
      </c>
      <c r="F1255" t="inlineStr">
        <is>
          <t>GÄVLEBORGS LÄN</t>
        </is>
      </c>
      <c r="G1255" t="inlineStr">
        <is>
          <t>HUDIKSVALL</t>
        </is>
      </c>
      <c r="I1255" t="n">
        <v>3.2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s="2" t="inlineStr"/>
    </row>
    <row r="1256" ht="15" customHeight="1">
      <c r="A1256" t="inlineStr">
        <is>
          <t>A 7048-2026</t>
        </is>
      </c>
      <c r="B1256" t="inlineStr">
        <is>
          <t>avverkningsanmälan</t>
        </is>
      </c>
      <c r="C1256" t="inlineStr">
        <is>
          <t>Föryngringsavverkning</t>
        </is>
      </c>
      <c r="D1256" s="1" t="n">
        <v>46057</v>
      </c>
      <c r="E1256" s="1" t="n">
        <v>46307</v>
      </c>
      <c r="F1256" t="inlineStr">
        <is>
          <t>GÄVLEBORGS LÄN</t>
        </is>
      </c>
      <c r="G1256" t="inlineStr">
        <is>
          <t>HUDIKSVALL</t>
        </is>
      </c>
      <c r="H1256" t="inlineStr">
        <is>
          <t>Holmen skog AB</t>
        </is>
      </c>
      <c r="I1256" t="n">
        <v>7.6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s="2" t="inlineStr"/>
    </row>
    <row r="1257" ht="15" customHeight="1">
      <c r="A1257" t="inlineStr">
        <is>
          <t>A 21094-2026</t>
        </is>
      </c>
      <c r="B1257" t="inlineStr">
        <is>
          <t>avverkningsanmälan</t>
        </is>
      </c>
      <c r="C1257" t="inlineStr">
        <is>
          <t>Föryngringsavverkning</t>
        </is>
      </c>
      <c r="D1257" s="1" t="n">
        <v>46146</v>
      </c>
      <c r="E1257" s="1" t="n">
        <v>46307</v>
      </c>
      <c r="F1257" t="inlineStr">
        <is>
          <t>GÄVLEBORGS LÄN</t>
        </is>
      </c>
      <c r="G1257" t="inlineStr">
        <is>
          <t>HUDIKSVALL</t>
        </is>
      </c>
      <c r="I1257" t="n">
        <v>1.2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s="2" t="inlineStr"/>
    </row>
    <row r="1258" ht="15" customHeight="1">
      <c r="A1258" t="inlineStr">
        <is>
          <t>A 21097-2026</t>
        </is>
      </c>
      <c r="B1258" t="inlineStr">
        <is>
          <t>avverkningsanmälan</t>
        </is>
      </c>
      <c r="C1258" t="inlineStr">
        <is>
          <t>Föryngringsavverkning</t>
        </is>
      </c>
      <c r="D1258" s="1" t="n">
        <v>46146</v>
      </c>
      <c r="E1258" s="1" t="n">
        <v>46307</v>
      </c>
      <c r="F1258" t="inlineStr">
        <is>
          <t>GÄVLEBORGS LÄN</t>
        </is>
      </c>
      <c r="G1258" t="inlineStr">
        <is>
          <t>HUDIKSVALL</t>
        </is>
      </c>
      <c r="I1258" t="n">
        <v>6.6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s="2" t="inlineStr"/>
    </row>
    <row r="1259" ht="15" customHeight="1">
      <c r="A1259" t="inlineStr">
        <is>
          <t>A 21105-2026</t>
        </is>
      </c>
      <c r="B1259" t="inlineStr">
        <is>
          <t>avverkningsanmälan</t>
        </is>
      </c>
      <c r="C1259" t="inlineStr">
        <is>
          <t>Föryngringsavverkning</t>
        </is>
      </c>
      <c r="D1259" s="1" t="n">
        <v>46146</v>
      </c>
      <c r="E1259" s="1" t="n">
        <v>46307</v>
      </c>
      <c r="F1259" t="inlineStr">
        <is>
          <t>GÄVLEBORGS LÄN</t>
        </is>
      </c>
      <c r="G1259" t="inlineStr">
        <is>
          <t>HUDIKSVALL</t>
        </is>
      </c>
      <c r="I1259" t="n">
        <v>2.6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s="2" t="inlineStr"/>
    </row>
    <row r="1260" ht="15" customHeight="1">
      <c r="A1260" t="inlineStr">
        <is>
          <t>A 8214-2026</t>
        </is>
      </c>
      <c r="B1260" t="inlineStr">
        <is>
          <t>avverkningsanmälan</t>
        </is>
      </c>
      <c r="C1260" t="inlineStr">
        <is>
          <t>Föryngringsavverkning</t>
        </is>
      </c>
      <c r="D1260" s="1" t="n">
        <v>46064</v>
      </c>
      <c r="E1260" s="1" t="n">
        <v>46307</v>
      </c>
      <c r="F1260" t="inlineStr">
        <is>
          <t>GÄVLEBORGS LÄN</t>
        </is>
      </c>
      <c r="G1260" t="inlineStr">
        <is>
          <t>HUDIKSVALL</t>
        </is>
      </c>
      <c r="I1260" t="n">
        <v>1.1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s="2" t="inlineStr"/>
    </row>
    <row r="1261" ht="15" customHeight="1">
      <c r="A1261" t="inlineStr">
        <is>
          <t>A 4758-2026</t>
        </is>
      </c>
      <c r="B1261" t="inlineStr">
        <is>
          <t>avverkningsanmälan</t>
        </is>
      </c>
      <c r="C1261" t="inlineStr">
        <is>
          <t>Avverkning för annat ändamål</t>
        </is>
      </c>
      <c r="D1261" s="1" t="n">
        <v>46048</v>
      </c>
      <c r="E1261" s="1" t="n">
        <v>46307</v>
      </c>
      <c r="F1261" t="inlineStr">
        <is>
          <t>GÄVLEBORGS LÄN</t>
        </is>
      </c>
      <c r="G1261" t="inlineStr">
        <is>
          <t>HUDIKSVALL</t>
        </is>
      </c>
      <c r="I1261" t="n">
        <v>1.6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s="2" t="inlineStr"/>
    </row>
    <row r="1262" ht="15" customHeight="1">
      <c r="A1262" t="inlineStr">
        <is>
          <t>A 8307-2026</t>
        </is>
      </c>
      <c r="B1262" t="inlineStr">
        <is>
          <t>avverkningsanmälan</t>
        </is>
      </c>
      <c r="C1262" t="inlineStr">
        <is>
          <t>Föryngringsavverkning</t>
        </is>
      </c>
      <c r="D1262" s="1" t="n">
        <v>46064</v>
      </c>
      <c r="E1262" s="1" t="n">
        <v>46307</v>
      </c>
      <c r="F1262" t="inlineStr">
        <is>
          <t>GÄVLEBORGS LÄN</t>
        </is>
      </c>
      <c r="G1262" t="inlineStr">
        <is>
          <t>HUDIKSVALL</t>
        </is>
      </c>
      <c r="I1262" t="n">
        <v>5.6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s="2" t="inlineStr"/>
    </row>
    <row r="1263" ht="15" customHeight="1">
      <c r="A1263" t="inlineStr">
        <is>
          <t>A 8001-2026</t>
        </is>
      </c>
      <c r="B1263" t="inlineStr">
        <is>
          <t>avverkningsanmälan</t>
        </is>
      </c>
      <c r="C1263" t="inlineStr">
        <is>
          <t>Föryngringsavverkning</t>
        </is>
      </c>
      <c r="D1263" s="1" t="n">
        <v>46063</v>
      </c>
      <c r="E1263" s="1" t="n">
        <v>46307</v>
      </c>
      <c r="F1263" t="inlineStr">
        <is>
          <t>GÄVLEBORGS LÄN</t>
        </is>
      </c>
      <c r="G1263" t="inlineStr">
        <is>
          <t>HUDIKSVALL</t>
        </is>
      </c>
      <c r="I1263" t="n">
        <v>5.6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s="2" t="inlineStr"/>
    </row>
    <row r="1264" ht="15" customHeight="1">
      <c r="A1264" t="inlineStr">
        <is>
          <t>A 21159-2026</t>
        </is>
      </c>
      <c r="B1264" t="inlineStr">
        <is>
          <t>avverkningsanmälan</t>
        </is>
      </c>
      <c r="C1264" t="inlineStr">
        <is>
          <t>Föryngringsavverkning</t>
        </is>
      </c>
      <c r="D1264" s="1" t="n">
        <v>46146</v>
      </c>
      <c r="E1264" s="1" t="n">
        <v>46307</v>
      </c>
      <c r="F1264" t="inlineStr">
        <is>
          <t>GÄVLEBORGS LÄN</t>
        </is>
      </c>
      <c r="G1264" t="inlineStr">
        <is>
          <t>HUDIKSVALL</t>
        </is>
      </c>
      <c r="H1264" t="inlineStr">
        <is>
          <t>Kyrkan</t>
        </is>
      </c>
      <c r="I1264" t="n">
        <v>0.7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s="2" t="inlineStr"/>
    </row>
    <row r="1265" ht="15" customHeight="1">
      <c r="A1265" t="inlineStr">
        <is>
          <t>A 4881-2026</t>
        </is>
      </c>
      <c r="B1265" t="inlineStr">
        <is>
          <t>avverkningsanmälan</t>
        </is>
      </c>
      <c r="C1265" t="inlineStr">
        <is>
          <t>Föryngringsavverkning</t>
        </is>
      </c>
      <c r="D1265" s="1" t="n">
        <v>46048</v>
      </c>
      <c r="E1265" s="1" t="n">
        <v>46307</v>
      </c>
      <c r="F1265" t="inlineStr">
        <is>
          <t>GÄVLEBORGS LÄN</t>
        </is>
      </c>
      <c r="G1265" t="inlineStr">
        <is>
          <t>HUDIKSVALL</t>
        </is>
      </c>
      <c r="I1265" t="n">
        <v>8.1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s="2" t="inlineStr"/>
    </row>
    <row r="1266" ht="15" customHeight="1">
      <c r="A1266" t="inlineStr">
        <is>
          <t>A 20805-2026</t>
        </is>
      </c>
      <c r="B1266" t="inlineStr">
        <is>
          <t>avverkningsanmälan</t>
        </is>
      </c>
      <c r="C1266" t="inlineStr">
        <is>
          <t>Föryngringsavverkning</t>
        </is>
      </c>
      <c r="D1266" s="1" t="n">
        <v>46141</v>
      </c>
      <c r="E1266" s="1" t="n">
        <v>46307</v>
      </c>
      <c r="F1266" t="inlineStr">
        <is>
          <t>GÄVLEBORGS LÄN</t>
        </is>
      </c>
      <c r="G1266" t="inlineStr">
        <is>
          <t>HUDIKSVALL</t>
        </is>
      </c>
      <c r="I1266" t="n">
        <v>1.2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s="2" t="inlineStr"/>
    </row>
    <row r="1267" ht="15" customHeight="1">
      <c r="A1267" t="inlineStr">
        <is>
          <t>A 21089-2026</t>
        </is>
      </c>
      <c r="B1267" t="inlineStr">
        <is>
          <t>avverkningsanmälan</t>
        </is>
      </c>
      <c r="C1267" t="inlineStr">
        <is>
          <t>Föryngringsavverkning</t>
        </is>
      </c>
      <c r="D1267" s="1" t="n">
        <v>46146</v>
      </c>
      <c r="E1267" s="1" t="n">
        <v>46307</v>
      </c>
      <c r="F1267" t="inlineStr">
        <is>
          <t>GÄVLEBORGS LÄN</t>
        </is>
      </c>
      <c r="G1267" t="inlineStr">
        <is>
          <t>HUDIKSVALL</t>
        </is>
      </c>
      <c r="I1267" t="n">
        <v>1.5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s="2" t="inlineStr"/>
    </row>
    <row r="1268" ht="15" customHeight="1">
      <c r="A1268" t="inlineStr">
        <is>
          <t>A 8370-2026</t>
        </is>
      </c>
      <c r="B1268" t="inlineStr">
        <is>
          <t>avverkningsanmälan</t>
        </is>
      </c>
      <c r="C1268" t="inlineStr">
        <is>
          <t>Föryngringsavverkning</t>
        </is>
      </c>
      <c r="D1268" s="1" t="n">
        <v>46064</v>
      </c>
      <c r="E1268" s="1" t="n">
        <v>46307</v>
      </c>
      <c r="F1268" t="inlineStr">
        <is>
          <t>GÄVLEBORGS LÄN</t>
        </is>
      </c>
      <c r="G1268" t="inlineStr">
        <is>
          <t>HUDIKSVALL</t>
        </is>
      </c>
      <c r="I1268" t="n">
        <v>2.8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s="2" t="inlineStr"/>
    </row>
    <row r="1269" ht="15" customHeight="1">
      <c r="A1269" t="inlineStr">
        <is>
          <t>A 17586-2026</t>
        </is>
      </c>
      <c r="B1269" t="inlineStr">
        <is>
          <t>avverkningsanmälan</t>
        </is>
      </c>
      <c r="C1269" t="inlineStr">
        <is>
          <t>Föryngringsavverkning</t>
        </is>
      </c>
      <c r="D1269" s="1" t="n">
        <v>46121</v>
      </c>
      <c r="E1269" s="1" t="n">
        <v>46307</v>
      </c>
      <c r="F1269" t="inlineStr">
        <is>
          <t>GÄVLEBORGS LÄN</t>
        </is>
      </c>
      <c r="G1269" t="inlineStr">
        <is>
          <t>HUDIKSVALL</t>
        </is>
      </c>
      <c r="I1269" t="n">
        <v>5.6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s="2" t="inlineStr"/>
    </row>
    <row r="1270" ht="15" customHeight="1">
      <c r="A1270" t="inlineStr">
        <is>
          <t>A 8685-2026</t>
        </is>
      </c>
      <c r="B1270" t="inlineStr">
        <is>
          <t>avverkningsanmälan</t>
        </is>
      </c>
      <c r="C1270" t="inlineStr">
        <is>
          <t>Föryngringsavverkning</t>
        </is>
      </c>
      <c r="D1270" s="1" t="n">
        <v>46066</v>
      </c>
      <c r="E1270" s="1" t="n">
        <v>46307</v>
      </c>
      <c r="F1270" t="inlineStr">
        <is>
          <t>GÄVLEBORGS LÄN</t>
        </is>
      </c>
      <c r="G1270" t="inlineStr">
        <is>
          <t>HUDIKSVALL</t>
        </is>
      </c>
      <c r="I1270" t="n">
        <v>2.3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s="2" t="inlineStr"/>
    </row>
    <row r="1271" ht="15" customHeight="1">
      <c r="A1271" t="inlineStr">
        <is>
          <t>A 8561-2026</t>
        </is>
      </c>
      <c r="B1271" t="inlineStr">
        <is>
          <t>avverkningsanmälan</t>
        </is>
      </c>
      <c r="C1271" t="inlineStr">
        <is>
          <t>Föryngringsavverkning</t>
        </is>
      </c>
      <c r="D1271" s="1" t="n">
        <v>46065</v>
      </c>
      <c r="E1271" s="1" t="n">
        <v>46307</v>
      </c>
      <c r="F1271" t="inlineStr">
        <is>
          <t>GÄVLEBORGS LÄN</t>
        </is>
      </c>
      <c r="G1271" t="inlineStr">
        <is>
          <t>HUDIKSVALL</t>
        </is>
      </c>
      <c r="I1271" t="n">
        <v>0.8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s="2" t="inlineStr"/>
    </row>
    <row r="1272" ht="15" customHeight="1">
      <c r="A1272" t="inlineStr">
        <is>
          <t>A 12529-2026</t>
        </is>
      </c>
      <c r="B1272" t="inlineStr">
        <is>
          <t>avverkningsanmälan</t>
        </is>
      </c>
      <c r="C1272" t="inlineStr">
        <is>
          <t>Föryngringsavverkning</t>
        </is>
      </c>
      <c r="D1272" s="1" t="n">
        <v>46090</v>
      </c>
      <c r="E1272" s="1" t="n">
        <v>46307</v>
      </c>
      <c r="F1272" t="inlineStr">
        <is>
          <t>GÄVLEBORGS LÄN</t>
        </is>
      </c>
      <c r="G1272" t="inlineStr">
        <is>
          <t>HUDIKSVALL</t>
        </is>
      </c>
      <c r="H1272" t="inlineStr">
        <is>
          <t>Holmen skog AB</t>
        </is>
      </c>
      <c r="I1272" t="n">
        <v>1.3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s="2" t="inlineStr"/>
    </row>
    <row r="1273" ht="15" customHeight="1">
      <c r="A1273" t="inlineStr">
        <is>
          <t>A 8512-2026</t>
        </is>
      </c>
      <c r="B1273" t="inlineStr">
        <is>
          <t>avverkningsanmälan</t>
        </is>
      </c>
      <c r="C1273" t="inlineStr">
        <is>
          <t>Föryngringsavverkning</t>
        </is>
      </c>
      <c r="D1273" s="1" t="n">
        <v>46065</v>
      </c>
      <c r="E1273" s="1" t="n">
        <v>46307</v>
      </c>
      <c r="F1273" t="inlineStr">
        <is>
          <t>GÄVLEBORGS LÄN</t>
        </is>
      </c>
      <c r="G1273" t="inlineStr">
        <is>
          <t>HUDIKSVALL</t>
        </is>
      </c>
      <c r="I1273" t="n">
        <v>1.6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s="2" t="inlineStr"/>
    </row>
    <row r="1274" ht="15" customHeight="1">
      <c r="A1274" t="inlineStr">
        <is>
          <t>A 21243-2026</t>
        </is>
      </c>
      <c r="B1274" t="inlineStr">
        <is>
          <t>avverkningsanmälan</t>
        </is>
      </c>
      <c r="C1274" t="inlineStr">
        <is>
          <t>Föryngringsavverkning</t>
        </is>
      </c>
      <c r="D1274" s="1" t="n">
        <v>46147</v>
      </c>
      <c r="E1274" s="1" t="n">
        <v>46307</v>
      </c>
      <c r="F1274" t="inlineStr">
        <is>
          <t>GÄVLEBORGS LÄN</t>
        </is>
      </c>
      <c r="G1274" t="inlineStr">
        <is>
          <t>HUDIKSVALL</t>
        </is>
      </c>
      <c r="I1274" t="n">
        <v>2.6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s="2" t="inlineStr"/>
    </row>
    <row r="1275" ht="15" customHeight="1">
      <c r="A1275" t="inlineStr">
        <is>
          <t>A 8480-2026</t>
        </is>
      </c>
      <c r="B1275" t="inlineStr">
        <is>
          <t>avverkningsanmälan</t>
        </is>
      </c>
      <c r="C1275" t="inlineStr">
        <is>
          <t>Föryngringsavverkning</t>
        </is>
      </c>
      <c r="D1275" s="1" t="n">
        <v>46065</v>
      </c>
      <c r="E1275" s="1" t="n">
        <v>46307</v>
      </c>
      <c r="F1275" t="inlineStr">
        <is>
          <t>GÄVLEBORGS LÄN</t>
        </is>
      </c>
      <c r="G1275" t="inlineStr">
        <is>
          <t>HUDIKSVALL</t>
        </is>
      </c>
      <c r="I1275" t="n">
        <v>2.9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s="2" t="inlineStr"/>
    </row>
    <row r="1276" ht="15" customHeight="1">
      <c r="A1276" t="inlineStr">
        <is>
          <t>A 21431-2026</t>
        </is>
      </c>
      <c r="B1276" t="inlineStr">
        <is>
          <t>avverkningsanmälan</t>
        </is>
      </c>
      <c r="C1276" t="inlineStr">
        <is>
          <t>Föryngringsavverkning</t>
        </is>
      </c>
      <c r="D1276" s="1" t="n">
        <v>46148</v>
      </c>
      <c r="E1276" s="1" t="n">
        <v>46307</v>
      </c>
      <c r="F1276" t="inlineStr">
        <is>
          <t>GÄVLEBORGS LÄN</t>
        </is>
      </c>
      <c r="G1276" t="inlineStr">
        <is>
          <t>HUDIKSVALL</t>
        </is>
      </c>
      <c r="H1276" t="inlineStr">
        <is>
          <t>Kyrkan</t>
        </is>
      </c>
      <c r="I1276" t="n">
        <v>8.800000000000001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s="2" t="inlineStr"/>
    </row>
    <row r="1277" ht="15" customHeight="1">
      <c r="A1277" t="inlineStr">
        <is>
          <t>A 8440-2026</t>
        </is>
      </c>
      <c r="B1277" t="inlineStr">
        <is>
          <t>avverkningsanmälan</t>
        </is>
      </c>
      <c r="C1277" t="inlineStr">
        <is>
          <t>Föryngringsavverkning</t>
        </is>
      </c>
      <c r="D1277" s="1" t="n">
        <v>46065</v>
      </c>
      <c r="E1277" s="1" t="n">
        <v>46307</v>
      </c>
      <c r="F1277" t="inlineStr">
        <is>
          <t>GÄVLEBORGS LÄN</t>
        </is>
      </c>
      <c r="G1277" t="inlineStr">
        <is>
          <t>HUDIKSVALL</t>
        </is>
      </c>
      <c r="I1277" t="n">
        <v>2.4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s="2" t="inlineStr"/>
    </row>
    <row r="1278" ht="15" customHeight="1">
      <c r="A1278" t="inlineStr">
        <is>
          <t>A 8775-2026</t>
        </is>
      </c>
      <c r="B1278" t="inlineStr">
        <is>
          <t>avverkningsanmälan</t>
        </is>
      </c>
      <c r="C1278" t="inlineStr">
        <is>
          <t>Föryngringsavverkning</t>
        </is>
      </c>
      <c r="D1278" s="1" t="n">
        <v>46066</v>
      </c>
      <c r="E1278" s="1" t="n">
        <v>46307</v>
      </c>
      <c r="F1278" t="inlineStr">
        <is>
          <t>GÄVLEBORGS LÄN</t>
        </is>
      </c>
      <c r="G1278" t="inlineStr">
        <is>
          <t>HUDIKSVALL</t>
        </is>
      </c>
      <c r="I1278" t="n">
        <v>1.2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s="2" t="inlineStr"/>
    </row>
    <row r="1279" ht="15" customHeight="1">
      <c r="A1279" t="inlineStr">
        <is>
          <t>A 8763-2026</t>
        </is>
      </c>
      <c r="B1279" t="inlineStr">
        <is>
          <t>avverkningsanmälan</t>
        </is>
      </c>
      <c r="C1279" t="inlineStr">
        <is>
          <t>Föryngringsavverkning</t>
        </is>
      </c>
      <c r="D1279" s="1" t="n">
        <v>46066</v>
      </c>
      <c r="E1279" s="1" t="n">
        <v>46307</v>
      </c>
      <c r="F1279" t="inlineStr">
        <is>
          <t>GÄVLEBORGS LÄN</t>
        </is>
      </c>
      <c r="G1279" t="inlineStr">
        <is>
          <t>HUDIKSVALL</t>
        </is>
      </c>
      <c r="I1279" t="n">
        <v>7.2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s="2" t="inlineStr"/>
    </row>
    <row r="1280" ht="15" customHeight="1">
      <c r="A1280" t="inlineStr">
        <is>
          <t>A 21249-2026</t>
        </is>
      </c>
      <c r="B1280" t="inlineStr">
        <is>
          <t>avverkningsanmälan</t>
        </is>
      </c>
      <c r="C1280" t="inlineStr">
        <is>
          <t>Föryngringsavverkning</t>
        </is>
      </c>
      <c r="D1280" s="1" t="n">
        <v>46147</v>
      </c>
      <c r="E1280" s="1" t="n">
        <v>46307</v>
      </c>
      <c r="F1280" t="inlineStr">
        <is>
          <t>GÄVLEBORGS LÄN</t>
        </is>
      </c>
      <c r="G1280" t="inlineStr">
        <is>
          <t>HUDIKSVALL</t>
        </is>
      </c>
      <c r="I1280" t="n">
        <v>13.8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s="2" t="inlineStr"/>
    </row>
    <row r="1281" ht="15" customHeight="1">
      <c r="A1281" t="inlineStr">
        <is>
          <t>A 8471-2026</t>
        </is>
      </c>
      <c r="B1281" t="inlineStr">
        <is>
          <t>avverkningsanmälan</t>
        </is>
      </c>
      <c r="C1281" t="inlineStr">
        <is>
          <t>Föryngringsavverkning</t>
        </is>
      </c>
      <c r="D1281" s="1" t="n">
        <v>46065</v>
      </c>
      <c r="E1281" s="1" t="n">
        <v>46307</v>
      </c>
      <c r="F1281" t="inlineStr">
        <is>
          <t>GÄVLEBORGS LÄN</t>
        </is>
      </c>
      <c r="G1281" t="inlineStr">
        <is>
          <t>HUDIKSVALL</t>
        </is>
      </c>
      <c r="I1281" t="n">
        <v>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s="2" t="inlineStr"/>
    </row>
    <row r="1282" ht="15" customHeight="1">
      <c r="A1282" t="inlineStr">
        <is>
          <t>A 21546-2026</t>
        </is>
      </c>
      <c r="B1282" t="inlineStr">
        <is>
          <t>avverkningsanmälan</t>
        </is>
      </c>
      <c r="C1282" t="inlineStr">
        <is>
          <t>Föryngringsavverkning</t>
        </is>
      </c>
      <c r="D1282" s="1" t="n">
        <v>46148</v>
      </c>
      <c r="E1282" s="1" t="n">
        <v>46307</v>
      </c>
      <c r="F1282" t="inlineStr">
        <is>
          <t>GÄVLEBORGS LÄN</t>
        </is>
      </c>
      <c r="G1282" t="inlineStr">
        <is>
          <t>HUDIKSVALL</t>
        </is>
      </c>
      <c r="I1282" t="n">
        <v>3.9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s="2" t="inlineStr"/>
    </row>
    <row r="1283" ht="15" customHeight="1">
      <c r="A1283" t="inlineStr">
        <is>
          <t>A 21508-2026</t>
        </is>
      </c>
      <c r="B1283" t="inlineStr">
        <is>
          <t>avverkningsanmälan</t>
        </is>
      </c>
      <c r="C1283" t="inlineStr">
        <is>
          <t>Föryngringsavverkning</t>
        </is>
      </c>
      <c r="D1283" s="1" t="n">
        <v>46148</v>
      </c>
      <c r="E1283" s="1" t="n">
        <v>46307</v>
      </c>
      <c r="F1283" t="inlineStr">
        <is>
          <t>GÄVLEBORGS LÄN</t>
        </is>
      </c>
      <c r="G1283" t="inlineStr">
        <is>
          <t>HUDIKSVALL</t>
        </is>
      </c>
      <c r="I1283" t="n">
        <v>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s="2" t="inlineStr"/>
    </row>
    <row r="1284" ht="15" customHeight="1">
      <c r="A1284" t="inlineStr">
        <is>
          <t>A 21574-2026</t>
        </is>
      </c>
      <c r="B1284" t="inlineStr">
        <is>
          <t>avverkningsanmälan</t>
        </is>
      </c>
      <c r="C1284" t="inlineStr">
        <is>
          <t>Föryngringsavverkning</t>
        </is>
      </c>
      <c r="D1284" s="1" t="n">
        <v>46148</v>
      </c>
      <c r="E1284" s="1" t="n">
        <v>46307</v>
      </c>
      <c r="F1284" t="inlineStr">
        <is>
          <t>GÄVLEBORGS LÄN</t>
        </is>
      </c>
      <c r="G1284" t="inlineStr">
        <is>
          <t>HUDIKSVALL</t>
        </is>
      </c>
      <c r="I1284" t="n">
        <v>1.3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s="2" t="inlineStr"/>
    </row>
    <row r="1285" ht="15" customHeight="1">
      <c r="A1285" t="inlineStr">
        <is>
          <t>A 21473-2026</t>
        </is>
      </c>
      <c r="B1285" t="inlineStr">
        <is>
          <t>avverkningsanmälan</t>
        </is>
      </c>
      <c r="C1285" t="inlineStr">
        <is>
          <t>Föryngringsavverkning</t>
        </is>
      </c>
      <c r="D1285" s="1" t="n">
        <v>46148</v>
      </c>
      <c r="E1285" s="1" t="n">
        <v>46307</v>
      </c>
      <c r="F1285" t="inlineStr">
        <is>
          <t>GÄVLEBORGS LÄN</t>
        </is>
      </c>
      <c r="G1285" t="inlineStr">
        <is>
          <t>HUDIKSVALL</t>
        </is>
      </c>
      <c r="H1285" t="inlineStr">
        <is>
          <t>Kyrkan</t>
        </is>
      </c>
      <c r="I1285" t="n">
        <v>6.9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s="2" t="inlineStr"/>
    </row>
    <row r="1286" ht="15" customHeight="1">
      <c r="A1286" t="inlineStr">
        <is>
          <t>A 21318-2026</t>
        </is>
      </c>
      <c r="B1286" t="inlineStr">
        <is>
          <t>avverkningsanmälan</t>
        </is>
      </c>
      <c r="C1286" t="inlineStr">
        <is>
          <t>Föryngringsavverkning</t>
        </is>
      </c>
      <c r="D1286" s="1" t="n">
        <v>46147</v>
      </c>
      <c r="E1286" s="1" t="n">
        <v>46307</v>
      </c>
      <c r="F1286" t="inlineStr">
        <is>
          <t>GÄVLEBORGS LÄN</t>
        </is>
      </c>
      <c r="G1286" t="inlineStr">
        <is>
          <t>HUDIKSVALL</t>
        </is>
      </c>
      <c r="H1286" t="inlineStr">
        <is>
          <t>Kyrkan</t>
        </is>
      </c>
      <c r="I1286" t="n">
        <v>0.7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s="2" t="inlineStr"/>
    </row>
    <row r="1287" ht="15" customHeight="1">
      <c r="A1287" t="inlineStr">
        <is>
          <t>A 21568-2026</t>
        </is>
      </c>
      <c r="B1287" t="inlineStr">
        <is>
          <t>avverkningsanmälan</t>
        </is>
      </c>
      <c r="C1287" t="inlineStr">
        <is>
          <t>Föryngringsavverkning</t>
        </is>
      </c>
      <c r="D1287" s="1" t="n">
        <v>46148</v>
      </c>
      <c r="E1287" s="1" t="n">
        <v>46307</v>
      </c>
      <c r="F1287" t="inlineStr">
        <is>
          <t>GÄVLEBORGS LÄN</t>
        </is>
      </c>
      <c r="G1287" t="inlineStr">
        <is>
          <t>HUDIKSVALL</t>
        </is>
      </c>
      <c r="I1287" t="n">
        <v>2.7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s="2" t="inlineStr"/>
    </row>
    <row r="1288" ht="15" customHeight="1">
      <c r="A1288" t="inlineStr">
        <is>
          <t>A 21557-2026</t>
        </is>
      </c>
      <c r="B1288" t="inlineStr">
        <is>
          <t>avverkningsanmälan</t>
        </is>
      </c>
      <c r="C1288" t="inlineStr">
        <is>
          <t>Föryngringsavverkning</t>
        </is>
      </c>
      <c r="D1288" s="1" t="n">
        <v>46148</v>
      </c>
      <c r="E1288" s="1" t="n">
        <v>46307</v>
      </c>
      <c r="F1288" t="inlineStr">
        <is>
          <t>GÄVLEBORGS LÄN</t>
        </is>
      </c>
      <c r="G1288" t="inlineStr">
        <is>
          <t>HUDIKSVALL</t>
        </is>
      </c>
      <c r="I1288" t="n">
        <v>2.1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s="2" t="inlineStr"/>
    </row>
    <row r="1289" ht="15" customHeight="1">
      <c r="A1289" t="inlineStr">
        <is>
          <t>A 21323-2026</t>
        </is>
      </c>
      <c r="B1289" t="inlineStr">
        <is>
          <t>avverkningsanmälan</t>
        </is>
      </c>
      <c r="C1289" t="inlineStr">
        <is>
          <t>Föryngringsavverkning</t>
        </is>
      </c>
      <c r="D1289" s="1" t="n">
        <v>46147</v>
      </c>
      <c r="E1289" s="1" t="n">
        <v>46307</v>
      </c>
      <c r="F1289" t="inlineStr">
        <is>
          <t>GÄVLEBORGS LÄN</t>
        </is>
      </c>
      <c r="G1289" t="inlineStr">
        <is>
          <t>HUDIKSVALL</t>
        </is>
      </c>
      <c r="H1289" t="inlineStr">
        <is>
          <t>Kyrkan</t>
        </is>
      </c>
      <c r="I1289" t="n">
        <v>2.3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s="2" t="inlineStr"/>
    </row>
    <row r="1290" ht="15" customHeight="1">
      <c r="A1290" t="inlineStr">
        <is>
          <t>A 21353-2026</t>
        </is>
      </c>
      <c r="B1290" t="inlineStr">
        <is>
          <t>avverkningsanmälan</t>
        </is>
      </c>
      <c r="C1290" t="inlineStr">
        <is>
          <t>Föryngringsavverkning</t>
        </is>
      </c>
      <c r="D1290" s="1" t="n">
        <v>46147</v>
      </c>
      <c r="E1290" s="1" t="n">
        <v>46307</v>
      </c>
      <c r="F1290" t="inlineStr">
        <is>
          <t>GÄVLEBORGS LÄN</t>
        </is>
      </c>
      <c r="G1290" t="inlineStr">
        <is>
          <t>HUDIKSVALL</t>
        </is>
      </c>
      <c r="I1290" t="n">
        <v>1.3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s="2" t="inlineStr"/>
    </row>
    <row r="1291" ht="15" customHeight="1">
      <c r="A1291" t="inlineStr">
        <is>
          <t>A 17082-2026</t>
        </is>
      </c>
      <c r="B1291" t="inlineStr">
        <is>
          <t>avverkningsanmälan</t>
        </is>
      </c>
      <c r="C1291" t="inlineStr">
        <is>
          <t>Föryngringsavverkning</t>
        </is>
      </c>
      <c r="D1291" s="1" t="n">
        <v>46114</v>
      </c>
      <c r="E1291" s="1" t="n">
        <v>46307</v>
      </c>
      <c r="F1291" t="inlineStr">
        <is>
          <t>GÄVLEBORGS LÄN</t>
        </is>
      </c>
      <c r="G1291" t="inlineStr">
        <is>
          <t>HUDIKSVALL</t>
        </is>
      </c>
      <c r="I1291" t="n">
        <v>1.4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s="2" t="inlineStr"/>
    </row>
    <row r="1292" ht="15" customHeight="1">
      <c r="A1292" t="inlineStr">
        <is>
          <t>A 21792-2026</t>
        </is>
      </c>
      <c r="B1292" t="inlineStr">
        <is>
          <t>avverkningsanmälan</t>
        </is>
      </c>
      <c r="C1292" t="inlineStr">
        <is>
          <t>Föryngringsavverkning</t>
        </is>
      </c>
      <c r="D1292" s="1" t="n">
        <v>46150</v>
      </c>
      <c r="E1292" s="1" t="n">
        <v>46307</v>
      </c>
      <c r="F1292" t="inlineStr">
        <is>
          <t>GÄVLEBORGS LÄN</t>
        </is>
      </c>
      <c r="G1292" t="inlineStr">
        <is>
          <t>HUDIKSVALL</t>
        </is>
      </c>
      <c r="I1292" t="n">
        <v>1.8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s="2" t="inlineStr"/>
    </row>
    <row r="1293" ht="15" customHeight="1">
      <c r="A1293" t="inlineStr">
        <is>
          <t>A 21622-2026</t>
        </is>
      </c>
      <c r="B1293" t="inlineStr">
        <is>
          <t>avverkningsanmälan</t>
        </is>
      </c>
      <c r="C1293" t="inlineStr">
        <is>
          <t>Föryngringsavverkning</t>
        </is>
      </c>
      <c r="D1293" s="1" t="n">
        <v>46149</v>
      </c>
      <c r="E1293" s="1" t="n">
        <v>46307</v>
      </c>
      <c r="F1293" t="inlineStr">
        <is>
          <t>GÄVLEBORGS LÄN</t>
        </is>
      </c>
      <c r="G1293" t="inlineStr">
        <is>
          <t>HUDIKSVALL</t>
        </is>
      </c>
      <c r="H1293" t="inlineStr">
        <is>
          <t>Holmen skog AB</t>
        </is>
      </c>
      <c r="I1293" t="n">
        <v>16.9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s="2" t="inlineStr"/>
    </row>
    <row r="1294" ht="15" customHeight="1">
      <c r="A1294" t="inlineStr">
        <is>
          <t>A 9560-2026</t>
        </is>
      </c>
      <c r="B1294" t="inlineStr">
        <is>
          <t>avverkningsanmälan</t>
        </is>
      </c>
      <c r="C1294" t="inlineStr">
        <is>
          <t>Föryngringsavverkning</t>
        </is>
      </c>
      <c r="D1294" s="1" t="n">
        <v>46071</v>
      </c>
      <c r="E1294" s="1" t="n">
        <v>46307</v>
      </c>
      <c r="F1294" t="inlineStr">
        <is>
          <t>GÄVLEBORGS LÄN</t>
        </is>
      </c>
      <c r="G1294" t="inlineStr">
        <is>
          <t>HUDIKSVALL</t>
        </is>
      </c>
      <c r="I1294" t="n">
        <v>2.1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s="2" t="inlineStr"/>
    </row>
    <row r="1295" ht="15" customHeight="1">
      <c r="A1295" t="inlineStr">
        <is>
          <t>A 9800-2026</t>
        </is>
      </c>
      <c r="B1295" t="inlineStr">
        <is>
          <t>avverkningsanmälan</t>
        </is>
      </c>
      <c r="C1295" t="inlineStr">
        <is>
          <t>Föryngringsavverkning</t>
        </is>
      </c>
      <c r="D1295" s="1" t="n">
        <v>46072</v>
      </c>
      <c r="E1295" s="1" t="n">
        <v>46307</v>
      </c>
      <c r="F1295" t="inlineStr">
        <is>
          <t>GÄVLEBORGS LÄN</t>
        </is>
      </c>
      <c r="G1295" t="inlineStr">
        <is>
          <t>HUDIKSVALL</t>
        </is>
      </c>
      <c r="I1295" t="n">
        <v>1.1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s="2" t="inlineStr"/>
    </row>
    <row r="1296" ht="15" customHeight="1">
      <c r="A1296" t="inlineStr">
        <is>
          <t>A 9585-2026</t>
        </is>
      </c>
      <c r="B1296" t="inlineStr">
        <is>
          <t>avverkningsanmälan</t>
        </is>
      </c>
      <c r="C1296" t="inlineStr">
        <is>
          <t>Föryngringsavverkning</t>
        </is>
      </c>
      <c r="D1296" s="1" t="n">
        <v>46071</v>
      </c>
      <c r="E1296" s="1" t="n">
        <v>46307</v>
      </c>
      <c r="F1296" t="inlineStr">
        <is>
          <t>GÄVLEBORGS LÄN</t>
        </is>
      </c>
      <c r="G1296" t="inlineStr">
        <is>
          <t>HUDIKSVALL</t>
        </is>
      </c>
      <c r="I1296" t="n">
        <v>5.7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s="2" t="inlineStr"/>
    </row>
    <row r="1297" ht="15" customHeight="1">
      <c r="A1297" t="inlineStr">
        <is>
          <t>A 9581-2026</t>
        </is>
      </c>
      <c r="B1297" t="inlineStr">
        <is>
          <t>avverkningsanmälan</t>
        </is>
      </c>
      <c r="C1297" t="inlineStr">
        <is>
          <t>Föryngringsavverkning</t>
        </is>
      </c>
      <c r="D1297" s="1" t="n">
        <v>46071</v>
      </c>
      <c r="E1297" s="1" t="n">
        <v>46307</v>
      </c>
      <c r="F1297" t="inlineStr">
        <is>
          <t>GÄVLEBORGS LÄN</t>
        </is>
      </c>
      <c r="G1297" t="inlineStr">
        <is>
          <t>HUDIKSVALL</t>
        </is>
      </c>
      <c r="I1297" t="n">
        <v>1.2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s="2" t="inlineStr"/>
    </row>
    <row r="1298" ht="15" customHeight="1">
      <c r="A1298" t="inlineStr">
        <is>
          <t>A 9583-2026</t>
        </is>
      </c>
      <c r="B1298" t="inlineStr">
        <is>
          <t>avverkningsanmälan</t>
        </is>
      </c>
      <c r="C1298" t="inlineStr">
        <is>
          <t>Föryngringsavverkning</t>
        </is>
      </c>
      <c r="D1298" s="1" t="n">
        <v>46071</v>
      </c>
      <c r="E1298" s="1" t="n">
        <v>46307</v>
      </c>
      <c r="F1298" t="inlineStr">
        <is>
          <t>GÄVLEBORGS LÄN</t>
        </is>
      </c>
      <c r="G1298" t="inlineStr">
        <is>
          <t>HUDIKSVALL</t>
        </is>
      </c>
      <c r="I1298" t="n">
        <v>4.5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s="2" t="inlineStr"/>
    </row>
    <row r="1299" ht="15" customHeight="1">
      <c r="A1299" t="inlineStr">
        <is>
          <t>A 17919-2026</t>
        </is>
      </c>
      <c r="B1299" t="inlineStr">
        <is>
          <t>avverkningsanmälan</t>
        </is>
      </c>
      <c r="C1299" t="inlineStr">
        <is>
          <t>Föryngringsavverkning</t>
        </is>
      </c>
      <c r="D1299" s="1" t="n">
        <v>46122</v>
      </c>
      <c r="E1299" s="1" t="n">
        <v>46307</v>
      </c>
      <c r="F1299" t="inlineStr">
        <is>
          <t>GÄVLEBORGS LÄN</t>
        </is>
      </c>
      <c r="G1299" t="inlineStr">
        <is>
          <t>HUDIKSVALL</t>
        </is>
      </c>
      <c r="I1299" t="n">
        <v>2.6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s="2" t="inlineStr"/>
    </row>
    <row r="1300" ht="15" customHeight="1">
      <c r="A1300" t="inlineStr">
        <is>
          <t>A 9396-2026</t>
        </is>
      </c>
      <c r="B1300" t="inlineStr">
        <is>
          <t>avverkningsanmälan</t>
        </is>
      </c>
      <c r="C1300" t="inlineStr">
        <is>
          <t>Föryngringsavverkning</t>
        </is>
      </c>
      <c r="D1300" s="1" t="n">
        <v>46071</v>
      </c>
      <c r="E1300" s="1" t="n">
        <v>46307</v>
      </c>
      <c r="F1300" t="inlineStr">
        <is>
          <t>GÄVLEBORGS LÄN</t>
        </is>
      </c>
      <c r="G1300" t="inlineStr">
        <is>
          <t>HUDIKSVALL</t>
        </is>
      </c>
      <c r="I1300" t="n">
        <v>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s="2" t="inlineStr"/>
    </row>
    <row r="1301" ht="15" customHeight="1">
      <c r="A1301" t="inlineStr">
        <is>
          <t>A 9763-2026</t>
        </is>
      </c>
      <c r="B1301" t="inlineStr">
        <is>
          <t>avverkningsanmälan</t>
        </is>
      </c>
      <c r="C1301" t="inlineStr">
        <is>
          <t>Föryngringsavverkning</t>
        </is>
      </c>
      <c r="D1301" s="1" t="n">
        <v>46072</v>
      </c>
      <c r="E1301" s="1" t="n">
        <v>46307</v>
      </c>
      <c r="F1301" t="inlineStr">
        <is>
          <t>GÄVLEBORGS LÄN</t>
        </is>
      </c>
      <c r="G1301" t="inlineStr">
        <is>
          <t>HUDIKSVALL</t>
        </is>
      </c>
      <c r="I1301" t="n">
        <v>1.2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s="2" t="inlineStr"/>
    </row>
    <row r="1302" ht="15" customHeight="1">
      <c r="A1302" t="inlineStr">
        <is>
          <t>A 11639-2026</t>
        </is>
      </c>
      <c r="B1302" t="inlineStr">
        <is>
          <t>avverkningsanmälan</t>
        </is>
      </c>
      <c r="C1302" t="inlineStr">
        <is>
          <t>Föryngringsavverkning</t>
        </is>
      </c>
      <c r="D1302" s="1" t="n">
        <v>46084</v>
      </c>
      <c r="E1302" s="1" t="n">
        <v>46307</v>
      </c>
      <c r="F1302" t="inlineStr">
        <is>
          <t>GÄVLEBORGS LÄN</t>
        </is>
      </c>
      <c r="G1302" t="inlineStr">
        <is>
          <t>HUDIKSVALL</t>
        </is>
      </c>
      <c r="I1302" t="n">
        <v>1.9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s="2" t="inlineStr"/>
    </row>
    <row r="1303" ht="15" customHeight="1">
      <c r="A1303" t="inlineStr">
        <is>
          <t>A 10059-2026</t>
        </is>
      </c>
      <c r="B1303" t="inlineStr">
        <is>
          <t>avverkningsanmälan</t>
        </is>
      </c>
      <c r="C1303" t="inlineStr">
        <is>
          <t>Föryngringsavverkning</t>
        </is>
      </c>
      <c r="D1303" s="1" t="n">
        <v>46073</v>
      </c>
      <c r="E1303" s="1" t="n">
        <v>46307</v>
      </c>
      <c r="F1303" t="inlineStr">
        <is>
          <t>GÄVLEBORGS LÄN</t>
        </is>
      </c>
      <c r="G1303" t="inlineStr">
        <is>
          <t>HUDIKSVALL</t>
        </is>
      </c>
      <c r="I1303" t="n">
        <v>1.2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s="2" t="inlineStr"/>
    </row>
    <row r="1304" ht="15" customHeight="1">
      <c r="A1304" t="inlineStr">
        <is>
          <t>A 10374-2026</t>
        </is>
      </c>
      <c r="B1304" t="inlineStr">
        <is>
          <t>avverkningsanmälan</t>
        </is>
      </c>
      <c r="C1304" t="inlineStr">
        <is>
          <t>Föryngringsavverkning</t>
        </is>
      </c>
      <c r="D1304" s="1" t="n">
        <v>46076</v>
      </c>
      <c r="E1304" s="1" t="n">
        <v>46307</v>
      </c>
      <c r="F1304" t="inlineStr">
        <is>
          <t>GÄVLEBORGS LÄN</t>
        </is>
      </c>
      <c r="G1304" t="inlineStr">
        <is>
          <t>HUDIKSVALL</t>
        </is>
      </c>
      <c r="H1304" t="inlineStr">
        <is>
          <t>Holmen skog AB</t>
        </is>
      </c>
      <c r="I1304" t="n">
        <v>1.7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s="2" t="inlineStr"/>
    </row>
    <row r="1305" ht="15" customHeight="1">
      <c r="A1305" t="inlineStr">
        <is>
          <t>A 1733-2026</t>
        </is>
      </c>
      <c r="B1305" t="inlineStr">
        <is>
          <t>avverkningsanmälan</t>
        </is>
      </c>
      <c r="C1305" t="inlineStr">
        <is>
          <t>Föryngringsavverkning</t>
        </is>
      </c>
      <c r="D1305" s="1" t="n">
        <v>46034</v>
      </c>
      <c r="E1305" s="1" t="n">
        <v>46307</v>
      </c>
      <c r="F1305" t="inlineStr">
        <is>
          <t>GÄVLEBORGS LÄN</t>
        </is>
      </c>
      <c r="G1305" t="inlineStr">
        <is>
          <t>HUDIKSVALL</t>
        </is>
      </c>
      <c r="I1305" t="n">
        <v>0.7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s="2" t="inlineStr"/>
    </row>
    <row r="1306" ht="15" customHeight="1">
      <c r="A1306" t="inlineStr">
        <is>
          <t>A 13608-2026</t>
        </is>
      </c>
      <c r="B1306" t="inlineStr">
        <is>
          <t>avverkningsanmälan</t>
        </is>
      </c>
      <c r="C1306" t="inlineStr">
        <is>
          <t>Föryngringsavverkning</t>
        </is>
      </c>
      <c r="D1306" s="1" t="n">
        <v>46097</v>
      </c>
      <c r="E1306" s="1" t="n">
        <v>46307</v>
      </c>
      <c r="F1306" t="inlineStr">
        <is>
          <t>GÄVLEBORGS LÄN</t>
        </is>
      </c>
      <c r="G1306" t="inlineStr">
        <is>
          <t>HUDIKSVALL</t>
        </is>
      </c>
      <c r="I1306" t="n">
        <v>1.6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s="2" t="inlineStr"/>
    </row>
    <row r="1307" ht="15" customHeight="1">
      <c r="A1307" t="inlineStr">
        <is>
          <t>A 16112-2026</t>
        </is>
      </c>
      <c r="B1307" t="inlineStr">
        <is>
          <t>avverkningsanmälan</t>
        </is>
      </c>
      <c r="C1307" t="inlineStr">
        <is>
          <t>Föryngringsavverkning</t>
        </is>
      </c>
      <c r="D1307" s="1" t="n">
        <v>46108</v>
      </c>
      <c r="E1307" s="1" t="n">
        <v>46307</v>
      </c>
      <c r="F1307" t="inlineStr">
        <is>
          <t>GÄVLEBORGS LÄN</t>
        </is>
      </c>
      <c r="G1307" t="inlineStr">
        <is>
          <t>HUDIKSVALL</t>
        </is>
      </c>
      <c r="H1307" t="inlineStr">
        <is>
          <t>Holmen skog AB</t>
        </is>
      </c>
      <c r="I1307" t="n">
        <v>2.1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s="2" t="inlineStr"/>
    </row>
    <row r="1308" ht="15" customHeight="1">
      <c r="A1308" t="inlineStr">
        <is>
          <t>A 10378-2026</t>
        </is>
      </c>
      <c r="B1308" t="inlineStr">
        <is>
          <t>avverkningsanmälan</t>
        </is>
      </c>
      <c r="C1308" t="inlineStr">
        <is>
          <t>Föryngringsavverkning</t>
        </is>
      </c>
      <c r="D1308" s="1" t="n">
        <v>46076</v>
      </c>
      <c r="E1308" s="1" t="n">
        <v>46307</v>
      </c>
      <c r="F1308" t="inlineStr">
        <is>
          <t>GÄVLEBORGS LÄN</t>
        </is>
      </c>
      <c r="G1308" t="inlineStr">
        <is>
          <t>HUDIKSVALL</t>
        </is>
      </c>
      <c r="H1308" t="inlineStr">
        <is>
          <t>Holmen skog AB</t>
        </is>
      </c>
      <c r="I1308" t="n">
        <v>1.9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s="2" t="inlineStr"/>
    </row>
    <row r="1309" ht="15" customHeight="1">
      <c r="A1309" t="inlineStr">
        <is>
          <t>A 10073-2026</t>
        </is>
      </c>
      <c r="B1309" t="inlineStr">
        <is>
          <t>avverkningsanmälan</t>
        </is>
      </c>
      <c r="C1309" t="inlineStr">
        <is>
          <t>Föryngringsavverkning</t>
        </is>
      </c>
      <c r="D1309" s="1" t="n">
        <v>46073</v>
      </c>
      <c r="E1309" s="1" t="n">
        <v>46307</v>
      </c>
      <c r="F1309" t="inlineStr">
        <is>
          <t>GÄVLEBORGS LÄN</t>
        </is>
      </c>
      <c r="G1309" t="inlineStr">
        <is>
          <t>HUDIKSVALL</t>
        </is>
      </c>
      <c r="I1309" t="n">
        <v>1.4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s="2" t="inlineStr"/>
    </row>
    <row r="1310" ht="15" customHeight="1">
      <c r="A1310" t="inlineStr">
        <is>
          <t>A 10010-2026</t>
        </is>
      </c>
      <c r="B1310" t="inlineStr">
        <is>
          <t>avverkningsanmälan</t>
        </is>
      </c>
      <c r="C1310" t="inlineStr">
        <is>
          <t>Föryngringsavverkning</t>
        </is>
      </c>
      <c r="D1310" s="1" t="n">
        <v>46073</v>
      </c>
      <c r="E1310" s="1" t="n">
        <v>46307</v>
      </c>
      <c r="F1310" t="inlineStr">
        <is>
          <t>GÄVLEBORGS LÄN</t>
        </is>
      </c>
      <c r="G1310" t="inlineStr">
        <is>
          <t>HUDIKSVALL</t>
        </is>
      </c>
      <c r="I1310" t="n">
        <v>18.2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s="2" t="inlineStr"/>
    </row>
    <row r="1311" ht="15" customHeight="1">
      <c r="A1311" t="inlineStr">
        <is>
          <t>A 37485-2025</t>
        </is>
      </c>
      <c r="B1311" t="inlineStr">
        <is>
          <t>avverkningsanmälan</t>
        </is>
      </c>
      <c r="C1311" t="inlineStr">
        <is>
          <t>Föryngringsavverkning</t>
        </is>
      </c>
      <c r="D1311" s="1" t="n">
        <v>45877</v>
      </c>
      <c r="E1311" s="1" t="n">
        <v>46307</v>
      </c>
      <c r="F1311" t="inlineStr">
        <is>
          <t>GÄVLEBORGS LÄN</t>
        </is>
      </c>
      <c r="G1311" t="inlineStr">
        <is>
          <t>HUDIKSVALL</t>
        </is>
      </c>
      <c r="H1311" t="inlineStr">
        <is>
          <t>Holmen skog AB</t>
        </is>
      </c>
      <c r="I1311" t="n">
        <v>12.9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s="2" t="inlineStr"/>
    </row>
    <row r="1312" ht="15" customHeight="1">
      <c r="A1312" t="inlineStr">
        <is>
          <t>A 13246-2026</t>
        </is>
      </c>
      <c r="B1312" t="inlineStr">
        <is>
          <t>avverkningsanmälan</t>
        </is>
      </c>
      <c r="C1312" t="inlineStr">
        <is>
          <t>Föryngringsavverkning</t>
        </is>
      </c>
      <c r="D1312" s="1" t="n">
        <v>46093</v>
      </c>
      <c r="E1312" s="1" t="n">
        <v>46307</v>
      </c>
      <c r="F1312" t="inlineStr">
        <is>
          <t>GÄVLEBORGS LÄN</t>
        </is>
      </c>
      <c r="G1312" t="inlineStr">
        <is>
          <t>HUDIKSVALL</t>
        </is>
      </c>
      <c r="I1312" t="n">
        <v>1.4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s="2" t="inlineStr"/>
    </row>
    <row r="1313" ht="15" customHeight="1">
      <c r="A1313" t="inlineStr">
        <is>
          <t>A 10308-2026</t>
        </is>
      </c>
      <c r="B1313" t="inlineStr">
        <is>
          <t>avverkningsanmälan</t>
        </is>
      </c>
      <c r="C1313" t="inlineStr">
        <is>
          <t>Föryngringsavverkning</t>
        </is>
      </c>
      <c r="D1313" s="1" t="n">
        <v>46076</v>
      </c>
      <c r="E1313" s="1" t="n">
        <v>46307</v>
      </c>
      <c r="F1313" t="inlineStr">
        <is>
          <t>GÄVLEBORGS LÄN</t>
        </is>
      </c>
      <c r="G1313" t="inlineStr">
        <is>
          <t>HUDIKSVALL</t>
        </is>
      </c>
      <c r="H1313" t="inlineStr">
        <is>
          <t>Sveaskog</t>
        </is>
      </c>
      <c r="I1313" t="n">
        <v>5.4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s="2" t="inlineStr"/>
    </row>
    <row r="1314" ht="15" customHeight="1">
      <c r="A1314" t="inlineStr">
        <is>
          <t>A 10372-2026</t>
        </is>
      </c>
      <c r="B1314" t="inlineStr">
        <is>
          <t>avverkningsanmälan</t>
        </is>
      </c>
      <c r="C1314" t="inlineStr">
        <is>
          <t>Föryngringsavverkning</t>
        </is>
      </c>
      <c r="D1314" s="1" t="n">
        <v>46076</v>
      </c>
      <c r="E1314" s="1" t="n">
        <v>46307</v>
      </c>
      <c r="F1314" t="inlineStr">
        <is>
          <t>GÄVLEBORGS LÄN</t>
        </is>
      </c>
      <c r="G1314" t="inlineStr">
        <is>
          <t>HUDIKSVALL</t>
        </is>
      </c>
      <c r="H1314" t="inlineStr">
        <is>
          <t>Holmen skog AB</t>
        </is>
      </c>
      <c r="I1314" t="n">
        <v>0.6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s="2" t="inlineStr"/>
    </row>
    <row r="1315" ht="15" customHeight="1">
      <c r="A1315" t="inlineStr">
        <is>
          <t>A 9916-2026</t>
        </is>
      </c>
      <c r="B1315" t="inlineStr">
        <is>
          <t>avverkningsanmälan</t>
        </is>
      </c>
      <c r="C1315" t="inlineStr">
        <is>
          <t>Föryngringsavverkning</t>
        </is>
      </c>
      <c r="D1315" s="1" t="n">
        <v>46073</v>
      </c>
      <c r="E1315" s="1" t="n">
        <v>46307</v>
      </c>
      <c r="F1315" t="inlineStr">
        <is>
          <t>GÄVLEBORGS LÄN</t>
        </is>
      </c>
      <c r="G1315" t="inlineStr">
        <is>
          <t>HUDIKSVALL</t>
        </is>
      </c>
      <c r="I1315" t="n">
        <v>5.3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s="2" t="inlineStr"/>
    </row>
    <row r="1316" ht="15" customHeight="1">
      <c r="A1316" t="inlineStr">
        <is>
          <t>A 6312-2026</t>
        </is>
      </c>
      <c r="B1316" t="inlineStr">
        <is>
          <t>avverkningsanmälan</t>
        </is>
      </c>
      <c r="C1316" t="inlineStr">
        <is>
          <t>Föryngringsavverkning</t>
        </is>
      </c>
      <c r="D1316" s="1" t="n">
        <v>46055</v>
      </c>
      <c r="E1316" s="1" t="n">
        <v>46307</v>
      </c>
      <c r="F1316" t="inlineStr">
        <is>
          <t>GÄVLEBORGS LÄN</t>
        </is>
      </c>
      <c r="G1316" t="inlineStr">
        <is>
          <t>HUDIKSVALL</t>
        </is>
      </c>
      <c r="I1316" t="n">
        <v>4.1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s="2" t="inlineStr"/>
    </row>
    <row r="1317" ht="15" customHeight="1">
      <c r="A1317" t="inlineStr">
        <is>
          <t>A 10235-2026</t>
        </is>
      </c>
      <c r="B1317" t="inlineStr">
        <is>
          <t>avverkningsanmälan</t>
        </is>
      </c>
      <c r="C1317" t="inlineStr">
        <is>
          <t>Föryngringsavverkning</t>
        </is>
      </c>
      <c r="D1317" s="1" t="n">
        <v>46076</v>
      </c>
      <c r="E1317" s="1" t="n">
        <v>46307</v>
      </c>
      <c r="F1317" t="inlineStr">
        <is>
          <t>GÄVLEBORGS LÄN</t>
        </is>
      </c>
      <c r="G1317" t="inlineStr">
        <is>
          <t>HUDIKSVALL</t>
        </is>
      </c>
      <c r="I1317" t="n">
        <v>7.7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s="2" t="inlineStr"/>
    </row>
    <row r="1318" ht="15" customHeight="1">
      <c r="A1318" t="inlineStr">
        <is>
          <t>A 10534-2026</t>
        </is>
      </c>
      <c r="B1318" t="inlineStr">
        <is>
          <t>avverkningsanmälan</t>
        </is>
      </c>
      <c r="C1318" t="inlineStr">
        <is>
          <t>Föryngringsavverkning</t>
        </is>
      </c>
      <c r="D1318" s="1" t="n">
        <v>46077</v>
      </c>
      <c r="E1318" s="1" t="n">
        <v>46307</v>
      </c>
      <c r="F1318" t="inlineStr">
        <is>
          <t>GÄVLEBORGS LÄN</t>
        </is>
      </c>
      <c r="G1318" t="inlineStr">
        <is>
          <t>HUDIKSVALL</t>
        </is>
      </c>
      <c r="I1318" t="n">
        <v>1.6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s="2" t="inlineStr"/>
    </row>
    <row r="1319" ht="15" customHeight="1">
      <c r="A1319" t="inlineStr">
        <is>
          <t>A 12474-2026</t>
        </is>
      </c>
      <c r="B1319" t="inlineStr">
        <is>
          <t>avverkningsanmälan</t>
        </is>
      </c>
      <c r="C1319" t="inlineStr">
        <is>
          <t>Föryngringsavverkning</t>
        </is>
      </c>
      <c r="D1319" s="1" t="n">
        <v>46090</v>
      </c>
      <c r="E1319" s="1" t="n">
        <v>46307</v>
      </c>
      <c r="F1319" t="inlineStr">
        <is>
          <t>GÄVLEBORGS LÄN</t>
        </is>
      </c>
      <c r="G1319" t="inlineStr">
        <is>
          <t>HUDIKSVALL</t>
        </is>
      </c>
      <c r="H1319" t="inlineStr">
        <is>
          <t>Naturvårdsverket</t>
        </is>
      </c>
      <c r="I1319" t="n">
        <v>6.3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s="2" t="inlineStr"/>
    </row>
    <row r="1320" ht="15" customHeight="1">
      <c r="A1320" t="inlineStr">
        <is>
          <t>A 9834-2026</t>
        </is>
      </c>
      <c r="B1320" t="inlineStr">
        <is>
          <t>avverkningsanmälan</t>
        </is>
      </c>
      <c r="C1320" t="inlineStr">
        <is>
          <t>Föryngringsavverkning</t>
        </is>
      </c>
      <c r="D1320" s="1" t="n">
        <v>46072</v>
      </c>
      <c r="E1320" s="1" t="n">
        <v>46307</v>
      </c>
      <c r="F1320" t="inlineStr">
        <is>
          <t>GÄVLEBORGS LÄN</t>
        </is>
      </c>
      <c r="G1320" t="inlineStr">
        <is>
          <t>HUDIKSVALL</t>
        </is>
      </c>
      <c r="I1320" t="n">
        <v>2.4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s="2" t="inlineStr"/>
    </row>
    <row r="1321" ht="15" customHeight="1">
      <c r="A1321" t="inlineStr">
        <is>
          <t>A 3296-2026</t>
        </is>
      </c>
      <c r="B1321" t="inlineStr">
        <is>
          <t>avverkningsanmälan</t>
        </is>
      </c>
      <c r="C1321" t="inlineStr">
        <is>
          <t>Föryngringsavverkning</t>
        </is>
      </c>
      <c r="D1321" s="1" t="n">
        <v>46041</v>
      </c>
      <c r="E1321" s="1" t="n">
        <v>46307</v>
      </c>
      <c r="F1321" t="inlineStr">
        <is>
          <t>GÄVLEBORGS LÄN</t>
        </is>
      </c>
      <c r="G1321" t="inlineStr">
        <is>
          <t>HUDIKSVALL</t>
        </is>
      </c>
      <c r="I1321" t="n">
        <v>1.5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s="2" t="inlineStr"/>
    </row>
    <row r="1322" ht="15" customHeight="1">
      <c r="A1322" t="inlineStr">
        <is>
          <t>A 4471-2026</t>
        </is>
      </c>
      <c r="B1322" t="inlineStr">
        <is>
          <t>avverkningsanmälan</t>
        </is>
      </c>
      <c r="C1322" t="inlineStr">
        <is>
          <t>Föryngringsavverkning</t>
        </is>
      </c>
      <c r="D1322" s="1" t="n">
        <v>46045</v>
      </c>
      <c r="E1322" s="1" t="n">
        <v>46307</v>
      </c>
      <c r="F1322" t="inlineStr">
        <is>
          <t>GÄVLEBORGS LÄN</t>
        </is>
      </c>
      <c r="G1322" t="inlineStr">
        <is>
          <t>HUDIKSVALL</t>
        </is>
      </c>
      <c r="I1322" t="n">
        <v>16.1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s="2" t="inlineStr"/>
    </row>
    <row r="1323" ht="15" customHeight="1">
      <c r="A1323" t="inlineStr">
        <is>
          <t>A 10839-2026</t>
        </is>
      </c>
      <c r="B1323" t="inlineStr">
        <is>
          <t>avverkningsanmälan</t>
        </is>
      </c>
      <c r="C1323" t="inlineStr">
        <is>
          <t>Föryngringsavverkning</t>
        </is>
      </c>
      <c r="D1323" s="1" t="n">
        <v>46078</v>
      </c>
      <c r="E1323" s="1" t="n">
        <v>46307</v>
      </c>
      <c r="F1323" t="inlineStr">
        <is>
          <t>GÄVLEBORGS LÄN</t>
        </is>
      </c>
      <c r="G1323" t="inlineStr">
        <is>
          <t>HUDIKSVALL</t>
        </is>
      </c>
      <c r="H1323" t="inlineStr">
        <is>
          <t>Holmen skog AB</t>
        </is>
      </c>
      <c r="I1323" t="n">
        <v>5.4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s="2" t="inlineStr"/>
    </row>
    <row r="1324" ht="15" customHeight="1">
      <c r="A1324" t="inlineStr">
        <is>
          <t>A 22427-2026</t>
        </is>
      </c>
      <c r="B1324" t="inlineStr">
        <is>
          <t>avverkningsanmälan</t>
        </is>
      </c>
      <c r="C1324" t="inlineStr">
        <is>
          <t>Föryngringsavverkning</t>
        </is>
      </c>
      <c r="D1324" s="1" t="n">
        <v>46154</v>
      </c>
      <c r="E1324" s="1" t="n">
        <v>46307</v>
      </c>
      <c r="F1324" t="inlineStr">
        <is>
          <t>GÄVLEBORGS LÄN</t>
        </is>
      </c>
      <c r="G1324" t="inlineStr">
        <is>
          <t>HUDIKSVALL</t>
        </is>
      </c>
      <c r="I1324" t="n">
        <v>0.8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s="2" t="inlineStr"/>
    </row>
    <row r="1325" ht="15" customHeight="1">
      <c r="A1325" t="inlineStr">
        <is>
          <t>A 22332-2026</t>
        </is>
      </c>
      <c r="B1325" t="inlineStr">
        <is>
          <t>avverkningsanmälan</t>
        </is>
      </c>
      <c r="C1325" t="inlineStr">
        <is>
          <t>Föryngringsavverkning</t>
        </is>
      </c>
      <c r="D1325" s="1" t="n">
        <v>46154</v>
      </c>
      <c r="E1325" s="1" t="n">
        <v>46307</v>
      </c>
      <c r="F1325" t="inlineStr">
        <is>
          <t>GÄVLEBORGS LÄN</t>
        </is>
      </c>
      <c r="G1325" t="inlineStr">
        <is>
          <t>HUDIKSVALL</t>
        </is>
      </c>
      <c r="H1325" t="inlineStr">
        <is>
          <t>Holmen skog AB</t>
        </is>
      </c>
      <c r="I1325" t="n">
        <v>7.3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s="2" t="inlineStr"/>
    </row>
    <row r="1326" ht="15" customHeight="1">
      <c r="A1326" t="inlineStr">
        <is>
          <t>A 22330-2026</t>
        </is>
      </c>
      <c r="B1326" t="inlineStr">
        <is>
          <t>avverkningsanmälan</t>
        </is>
      </c>
      <c r="C1326" t="inlineStr">
        <is>
          <t>Föryngringsavverkning</t>
        </is>
      </c>
      <c r="D1326" s="1" t="n">
        <v>46154</v>
      </c>
      <c r="E1326" s="1" t="n">
        <v>46307</v>
      </c>
      <c r="F1326" t="inlineStr">
        <is>
          <t>GÄVLEBORGS LÄN</t>
        </is>
      </c>
      <c r="G1326" t="inlineStr">
        <is>
          <t>HUDIKSVALL</t>
        </is>
      </c>
      <c r="H1326" t="inlineStr">
        <is>
          <t>Holmen skog AB</t>
        </is>
      </c>
      <c r="I1326" t="n">
        <v>0.7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s="2" t="inlineStr"/>
    </row>
    <row r="1327" ht="15" customHeight="1">
      <c r="A1327" t="inlineStr">
        <is>
          <t>A 3328-2026</t>
        </is>
      </c>
      <c r="B1327" t="inlineStr">
        <is>
          <t>avverkningsanmälan</t>
        </is>
      </c>
      <c r="C1327" t="inlineStr">
        <is>
          <t>Föryngringsavverkning</t>
        </is>
      </c>
      <c r="D1327" s="1" t="n">
        <v>46041</v>
      </c>
      <c r="E1327" s="1" t="n">
        <v>46307</v>
      </c>
      <c r="F1327" t="inlineStr">
        <is>
          <t>GÄVLEBORGS LÄN</t>
        </is>
      </c>
      <c r="G1327" t="inlineStr">
        <is>
          <t>HUDIKSVALL</t>
        </is>
      </c>
      <c r="I1327" t="n">
        <v>3.7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s="2" t="inlineStr"/>
    </row>
    <row r="1328" ht="15" customHeight="1">
      <c r="A1328" t="inlineStr">
        <is>
          <t>A 47472-2023</t>
        </is>
      </c>
      <c r="B1328" t="inlineStr">
        <is>
          <t>avverkningsanmälan</t>
        </is>
      </c>
      <c r="C1328" t="inlineStr">
        <is>
          <t>Föryngringsavverkning</t>
        </is>
      </c>
      <c r="D1328" s="1" t="n">
        <v>45202</v>
      </c>
      <c r="E1328" s="1" t="n">
        <v>46307</v>
      </c>
      <c r="F1328" t="inlineStr">
        <is>
          <t>GÄVLEBORGS LÄN</t>
        </is>
      </c>
      <c r="G1328" t="inlineStr">
        <is>
          <t>HUDIKSVALL</t>
        </is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s="2" t="inlineStr"/>
    </row>
    <row r="1329" ht="15" customHeight="1">
      <c r="A1329" t="inlineStr">
        <is>
          <t>A 11932-2026</t>
        </is>
      </c>
      <c r="B1329" t="inlineStr">
        <is>
          <t>avverkningsanmälan</t>
        </is>
      </c>
      <c r="C1329" t="inlineStr">
        <is>
          <t>Föryngringsavverkning</t>
        </is>
      </c>
      <c r="D1329" s="1" t="n">
        <v>46085</v>
      </c>
      <c r="E1329" s="1" t="n">
        <v>46307</v>
      </c>
      <c r="F1329" t="inlineStr">
        <is>
          <t>GÄVLEBORGS LÄN</t>
        </is>
      </c>
      <c r="G1329" t="inlineStr">
        <is>
          <t>HUDIKSVALL</t>
        </is>
      </c>
      <c r="I1329" t="n">
        <v>1.2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s="2" t="inlineStr"/>
    </row>
    <row r="1330" ht="15" customHeight="1">
      <c r="A1330" t="inlineStr">
        <is>
          <t>A 11605-2026</t>
        </is>
      </c>
      <c r="B1330" t="inlineStr">
        <is>
          <t>avverkningsanmälan</t>
        </is>
      </c>
      <c r="C1330" t="inlineStr">
        <is>
          <t>Föryngringsavverkning</t>
        </is>
      </c>
      <c r="D1330" s="1" t="n">
        <v>46084</v>
      </c>
      <c r="E1330" s="1" t="n">
        <v>46307</v>
      </c>
      <c r="F1330" t="inlineStr">
        <is>
          <t>GÄVLEBORGS LÄN</t>
        </is>
      </c>
      <c r="G1330" t="inlineStr">
        <is>
          <t>HUDIKSVALL</t>
        </is>
      </c>
      <c r="I1330" t="n">
        <v>2.7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s="2" t="inlineStr"/>
    </row>
    <row r="1331" ht="15" customHeight="1">
      <c r="A1331" t="inlineStr">
        <is>
          <t>A 22553-2026</t>
        </is>
      </c>
      <c r="B1331" t="inlineStr">
        <is>
          <t>avverkningsanmälan</t>
        </is>
      </c>
      <c r="C1331" t="inlineStr">
        <is>
          <t>Föryngringsavverkning</t>
        </is>
      </c>
      <c r="D1331" s="1" t="n">
        <v>46155</v>
      </c>
      <c r="E1331" s="1" t="n">
        <v>46307</v>
      </c>
      <c r="F1331" t="inlineStr">
        <is>
          <t>GÄVLEBORGS LÄN</t>
        </is>
      </c>
      <c r="G1331" t="inlineStr">
        <is>
          <t>HUDIKSVALL</t>
        </is>
      </c>
      <c r="H1331" t="inlineStr">
        <is>
          <t>Holmen skog AB</t>
        </is>
      </c>
      <c r="I1331" t="n">
        <v>67.5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s="2" t="inlineStr"/>
    </row>
    <row r="1332" ht="15" customHeight="1">
      <c r="A1332" t="inlineStr">
        <is>
          <t>A 22455-2026</t>
        </is>
      </c>
      <c r="B1332" t="inlineStr">
        <is>
          <t>avverkningsanmälan</t>
        </is>
      </c>
      <c r="C1332" t="inlineStr">
        <is>
          <t>Föryngringsavverkning</t>
        </is>
      </c>
      <c r="D1332" s="1" t="n">
        <v>46155</v>
      </c>
      <c r="E1332" s="1" t="n">
        <v>46307</v>
      </c>
      <c r="F1332" t="inlineStr">
        <is>
          <t>GÄVLEBORGS LÄN</t>
        </is>
      </c>
      <c r="G1332" t="inlineStr">
        <is>
          <t>HUDIKSVALL</t>
        </is>
      </c>
      <c r="H1332" t="inlineStr">
        <is>
          <t>Holmen skog AB</t>
        </is>
      </c>
      <c r="I1332" t="n">
        <v>4.4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s="2" t="inlineStr"/>
    </row>
    <row r="1333" ht="15" customHeight="1">
      <c r="A1333" t="inlineStr">
        <is>
          <t>A 21229-2025</t>
        </is>
      </c>
      <c r="B1333" t="inlineStr">
        <is>
          <t>avverkningsanmälan</t>
        </is>
      </c>
      <c r="C1333" t="inlineStr">
        <is>
          <t>Föryngringsavverkning</t>
        </is>
      </c>
      <c r="D1333" s="1" t="n">
        <v>45779</v>
      </c>
      <c r="E1333" s="1" t="n">
        <v>46307</v>
      </c>
      <c r="F1333" t="inlineStr">
        <is>
          <t>GÄVLEBORGS LÄN</t>
        </is>
      </c>
      <c r="G1333" t="inlineStr">
        <is>
          <t>HUDIKSVALL</t>
        </is>
      </c>
      <c r="H1333" t="inlineStr">
        <is>
          <t>Holmen skog AB</t>
        </is>
      </c>
      <c r="I1333" t="n">
        <v>38.1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s="2" t="inlineStr"/>
    </row>
    <row r="1334" ht="15" customHeight="1">
      <c r="A1334" t="inlineStr">
        <is>
          <t>A 11778-2026</t>
        </is>
      </c>
      <c r="B1334" t="inlineStr">
        <is>
          <t>avverkningsanmälan</t>
        </is>
      </c>
      <c r="C1334" t="inlineStr">
        <is>
          <t>Föryngringsavverkning</t>
        </is>
      </c>
      <c r="D1334" s="1" t="n">
        <v>46084</v>
      </c>
      <c r="E1334" s="1" t="n">
        <v>46307</v>
      </c>
      <c r="F1334" t="inlineStr">
        <is>
          <t>GÄVLEBORGS LÄN</t>
        </is>
      </c>
      <c r="G1334" t="inlineStr">
        <is>
          <t>HUDIKSVALL</t>
        </is>
      </c>
      <c r="I1334" t="n">
        <v>1.3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s="2" t="inlineStr"/>
    </row>
    <row r="1335" ht="15" customHeight="1">
      <c r="A1335" t="inlineStr">
        <is>
          <t>A 12127-2026</t>
        </is>
      </c>
      <c r="B1335" t="inlineStr">
        <is>
          <t>avverkningsanmälan</t>
        </is>
      </c>
      <c r="C1335" t="inlineStr">
        <is>
          <t>Föryngringsavverkning</t>
        </is>
      </c>
      <c r="D1335" s="1" t="n">
        <v>46086</v>
      </c>
      <c r="E1335" s="1" t="n">
        <v>46307</v>
      </c>
      <c r="F1335" t="inlineStr">
        <is>
          <t>GÄVLEBORGS LÄN</t>
        </is>
      </c>
      <c r="G1335" t="inlineStr">
        <is>
          <t>HUDIKSVALL</t>
        </is>
      </c>
      <c r="I1335" t="n">
        <v>0.6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s="2" t="inlineStr"/>
    </row>
    <row r="1336" ht="15" customHeight="1">
      <c r="A1336" t="inlineStr">
        <is>
          <t>A 22673-2026</t>
        </is>
      </c>
      <c r="B1336" t="inlineStr">
        <is>
          <t>avverkningsanmälan</t>
        </is>
      </c>
      <c r="C1336" t="inlineStr">
        <is>
          <t>Föryngringsavverkning</t>
        </is>
      </c>
      <c r="D1336" s="1" t="n">
        <v>46155</v>
      </c>
      <c r="E1336" s="1" t="n">
        <v>46307</v>
      </c>
      <c r="F1336" t="inlineStr">
        <is>
          <t>GÄVLEBORGS LÄN</t>
        </is>
      </c>
      <c r="G1336" t="inlineStr">
        <is>
          <t>HUDIKSVALL</t>
        </is>
      </c>
      <c r="I1336" t="n">
        <v>4.3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s="2" t="inlineStr"/>
    </row>
    <row r="1337" ht="15" customHeight="1">
      <c r="A1337" t="inlineStr">
        <is>
          <t>A 12252-2026</t>
        </is>
      </c>
      <c r="B1337" t="inlineStr">
        <is>
          <t>avverkningsanmälan</t>
        </is>
      </c>
      <c r="C1337" t="inlineStr">
        <is>
          <t>Föryngringsavverkning</t>
        </is>
      </c>
      <c r="D1337" s="1" t="n">
        <v>46087</v>
      </c>
      <c r="E1337" s="1" t="n">
        <v>46307</v>
      </c>
      <c r="F1337" t="inlineStr">
        <is>
          <t>GÄVLEBORGS LÄN</t>
        </is>
      </c>
      <c r="G1337" t="inlineStr">
        <is>
          <t>HUDIKSVALL</t>
        </is>
      </c>
      <c r="I1337" t="n">
        <v>0.7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s="2" t="inlineStr"/>
    </row>
    <row r="1338" ht="15" customHeight="1">
      <c r="A1338" t="inlineStr">
        <is>
          <t>A 12024-2026</t>
        </is>
      </c>
      <c r="B1338" t="inlineStr">
        <is>
          <t>avverkningsanmälan</t>
        </is>
      </c>
      <c r="C1338" t="inlineStr">
        <is>
          <t>Föryngringsavverkning</t>
        </is>
      </c>
      <c r="D1338" s="1" t="n">
        <v>46085</v>
      </c>
      <c r="E1338" s="1" t="n">
        <v>46307</v>
      </c>
      <c r="F1338" t="inlineStr">
        <is>
          <t>GÄVLEBORGS LÄN</t>
        </is>
      </c>
      <c r="G1338" t="inlineStr">
        <is>
          <t>HUDIKSVALL</t>
        </is>
      </c>
      <c r="I1338" t="n">
        <v>1.1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s="2" t="inlineStr"/>
    </row>
    <row r="1339" ht="15" customHeight="1">
      <c r="A1339" t="inlineStr">
        <is>
          <t>A 56256-2025</t>
        </is>
      </c>
      <c r="B1339" t="inlineStr">
        <is>
          <t>avverkningsanmälan</t>
        </is>
      </c>
      <c r="C1339" t="inlineStr">
        <is>
          <t>Föryngringsavverkning</t>
        </is>
      </c>
      <c r="D1339" s="1" t="n">
        <v>45974</v>
      </c>
      <c r="E1339" s="1" t="n">
        <v>46307</v>
      </c>
      <c r="F1339" t="inlineStr">
        <is>
          <t>GÄVLEBORGS LÄN</t>
        </is>
      </c>
      <c r="G1339" t="inlineStr">
        <is>
          <t>HUDIKSVALL</t>
        </is>
      </c>
      <c r="H1339" t="inlineStr">
        <is>
          <t>Holmen skog AB</t>
        </is>
      </c>
      <c r="I1339" t="n">
        <v>8.6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s="2" t="inlineStr"/>
    </row>
    <row r="1340" ht="15" customHeight="1">
      <c r="A1340" t="inlineStr">
        <is>
          <t>A 12350-2026</t>
        </is>
      </c>
      <c r="B1340" t="inlineStr">
        <is>
          <t>avverkningsanmälan</t>
        </is>
      </c>
      <c r="C1340" t="inlineStr">
        <is>
          <t>Föryngringsavverkning</t>
        </is>
      </c>
      <c r="D1340" s="1" t="n">
        <v>46087</v>
      </c>
      <c r="E1340" s="1" t="n">
        <v>46307</v>
      </c>
      <c r="F1340" t="inlineStr">
        <is>
          <t>GÄVLEBORGS LÄN</t>
        </is>
      </c>
      <c r="G1340" t="inlineStr">
        <is>
          <t>HUDIKSVALL</t>
        </is>
      </c>
      <c r="I1340" t="n">
        <v>1.3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s="2" t="inlineStr"/>
    </row>
    <row r="1341" ht="15" customHeight="1">
      <c r="A1341" t="inlineStr">
        <is>
          <t>A 12421-2026</t>
        </is>
      </c>
      <c r="B1341" t="inlineStr">
        <is>
          <t>avverkningsanmälan</t>
        </is>
      </c>
      <c r="C1341" t="inlineStr">
        <is>
          <t>Föryngringsavverkning</t>
        </is>
      </c>
      <c r="D1341" s="1" t="n">
        <v>46090</v>
      </c>
      <c r="E1341" s="1" t="n">
        <v>46307</v>
      </c>
      <c r="F1341" t="inlineStr">
        <is>
          <t>GÄVLEBORGS LÄN</t>
        </is>
      </c>
      <c r="G1341" t="inlineStr">
        <is>
          <t>HUDIKSVALL</t>
        </is>
      </c>
      <c r="H1341" t="inlineStr">
        <is>
          <t>Holmen skog AB</t>
        </is>
      </c>
      <c r="I1341" t="n">
        <v>1.6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s="2" t="inlineStr"/>
    </row>
    <row r="1342" ht="15" customHeight="1">
      <c r="A1342" t="inlineStr">
        <is>
          <t>A 12480-2026</t>
        </is>
      </c>
      <c r="B1342" t="inlineStr">
        <is>
          <t>avverkningsanmälan</t>
        </is>
      </c>
      <c r="C1342" t="inlineStr">
        <is>
          <t>Föryngringsavverkning</t>
        </is>
      </c>
      <c r="D1342" s="1" t="n">
        <v>46090</v>
      </c>
      <c r="E1342" s="1" t="n">
        <v>46307</v>
      </c>
      <c r="F1342" t="inlineStr">
        <is>
          <t>GÄVLEBORGS LÄN</t>
        </is>
      </c>
      <c r="G1342" t="inlineStr">
        <is>
          <t>HUDIKSVALL</t>
        </is>
      </c>
      <c r="H1342" t="inlineStr">
        <is>
          <t>Holmen skog AB</t>
        </is>
      </c>
      <c r="I1342" t="n">
        <v>16.3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s="2" t="inlineStr"/>
    </row>
    <row r="1343" ht="15" customHeight="1">
      <c r="A1343" t="inlineStr">
        <is>
          <t>A 1776-2026</t>
        </is>
      </c>
      <c r="B1343" t="inlineStr">
        <is>
          <t>avverkningsanmälan</t>
        </is>
      </c>
      <c r="C1343" t="inlineStr">
        <is>
          <t>Föryngringsavverkning</t>
        </is>
      </c>
      <c r="D1343" s="1" t="n">
        <v>46034</v>
      </c>
      <c r="E1343" s="1" t="n">
        <v>46307</v>
      </c>
      <c r="F1343" t="inlineStr">
        <is>
          <t>GÄVLEBORGS LÄN</t>
        </is>
      </c>
      <c r="G1343" t="inlineStr">
        <is>
          <t>HUDIKSVALL</t>
        </is>
      </c>
      <c r="I1343" t="n">
        <v>3.9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s="2" t="inlineStr"/>
    </row>
    <row r="1344" ht="15" customHeight="1">
      <c r="A1344" t="inlineStr">
        <is>
          <t>A 22783-2026</t>
        </is>
      </c>
      <c r="B1344" t="inlineStr">
        <is>
          <t>avverkningsanmälan</t>
        </is>
      </c>
      <c r="C1344" t="inlineStr">
        <is>
          <t>Föryngringsavverkning</t>
        </is>
      </c>
      <c r="D1344" s="1" t="n">
        <v>46157</v>
      </c>
      <c r="E1344" s="1" t="n">
        <v>46307</v>
      </c>
      <c r="F1344" t="inlineStr">
        <is>
          <t>GÄVLEBORGS LÄN</t>
        </is>
      </c>
      <c r="G1344" t="inlineStr">
        <is>
          <t>HUDIKSVALL</t>
        </is>
      </c>
      <c r="H1344" t="inlineStr">
        <is>
          <t>Holmen skog AB</t>
        </is>
      </c>
      <c r="I1344" t="n">
        <v>3.1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s="2" t="inlineStr"/>
    </row>
    <row r="1345" ht="15" customHeight="1">
      <c r="A1345" t="inlineStr">
        <is>
          <t>A 12538-2026</t>
        </is>
      </c>
      <c r="B1345" t="inlineStr">
        <is>
          <t>avverkningsanmälan</t>
        </is>
      </c>
      <c r="C1345" t="inlineStr">
        <is>
          <t>Föryngringsavverkning</t>
        </is>
      </c>
      <c r="D1345" s="1" t="n">
        <v>46090</v>
      </c>
      <c r="E1345" s="1" t="n">
        <v>46307</v>
      </c>
      <c r="F1345" t="inlineStr">
        <is>
          <t>GÄVLEBORGS LÄN</t>
        </is>
      </c>
      <c r="G1345" t="inlineStr">
        <is>
          <t>HUDIKSVALL</t>
        </is>
      </c>
      <c r="H1345" t="inlineStr">
        <is>
          <t>Holmen skog AB</t>
        </is>
      </c>
      <c r="I1345" t="n">
        <v>0.8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s="2" t="inlineStr"/>
    </row>
    <row r="1346" ht="15" customHeight="1">
      <c r="A1346" t="inlineStr">
        <is>
          <t>A 12513-2026</t>
        </is>
      </c>
      <c r="B1346" t="inlineStr">
        <is>
          <t>avverkningsanmälan</t>
        </is>
      </c>
      <c r="C1346" t="inlineStr">
        <is>
          <t>Föryngringsavverkning</t>
        </is>
      </c>
      <c r="D1346" s="1" t="n">
        <v>46090</v>
      </c>
      <c r="E1346" s="1" t="n">
        <v>46307</v>
      </c>
      <c r="F1346" t="inlineStr">
        <is>
          <t>GÄVLEBORGS LÄN</t>
        </is>
      </c>
      <c r="G1346" t="inlineStr">
        <is>
          <t>HUDIKSVALL</t>
        </is>
      </c>
      <c r="H1346" t="inlineStr">
        <is>
          <t>Holmen skog AB</t>
        </is>
      </c>
      <c r="I1346" t="n">
        <v>1.1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s="2" t="inlineStr"/>
    </row>
    <row r="1347" ht="15" customHeight="1">
      <c r="A1347" t="inlineStr">
        <is>
          <t>A 12556-2026</t>
        </is>
      </c>
      <c r="B1347" t="inlineStr">
        <is>
          <t>avverkningsanmälan</t>
        </is>
      </c>
      <c r="C1347" t="inlineStr">
        <is>
          <t>Föryngringsavverkning</t>
        </is>
      </c>
      <c r="D1347" s="1" t="n">
        <v>46090</v>
      </c>
      <c r="E1347" s="1" t="n">
        <v>46307</v>
      </c>
      <c r="F1347" t="inlineStr">
        <is>
          <t>GÄVLEBORGS LÄN</t>
        </is>
      </c>
      <c r="G1347" t="inlineStr">
        <is>
          <t>HUDIKSVALL</t>
        </is>
      </c>
      <c r="H1347" t="inlineStr">
        <is>
          <t>Kyrkan</t>
        </is>
      </c>
      <c r="I1347" t="n">
        <v>6.2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s="2" t="inlineStr"/>
    </row>
    <row r="1348" ht="15" customHeight="1">
      <c r="A1348" t="inlineStr">
        <is>
          <t>A 22996-2026</t>
        </is>
      </c>
      <c r="B1348" t="inlineStr">
        <is>
          <t>avverkningsanmälan</t>
        </is>
      </c>
      <c r="C1348" t="inlineStr">
        <is>
          <t>Föryngringsavverkning</t>
        </is>
      </c>
      <c r="D1348" s="1" t="n">
        <v>46160</v>
      </c>
      <c r="E1348" s="1" t="n">
        <v>46307</v>
      </c>
      <c r="F1348" t="inlineStr">
        <is>
          <t>GÄVLEBORGS LÄN</t>
        </is>
      </c>
      <c r="G1348" t="inlineStr">
        <is>
          <t>HUDIKSVALL</t>
        </is>
      </c>
      <c r="H1348" t="inlineStr">
        <is>
          <t>Holmen skog AB</t>
        </is>
      </c>
      <c r="I1348" t="n">
        <v>3.4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s="2" t="inlineStr"/>
    </row>
    <row r="1349" ht="15" customHeight="1">
      <c r="A1349" t="inlineStr">
        <is>
          <t>A 12543-2026</t>
        </is>
      </c>
      <c r="B1349" t="inlineStr">
        <is>
          <t>avverkningsanmälan</t>
        </is>
      </c>
      <c r="C1349" t="inlineStr">
        <is>
          <t>Föryngringsavverkning</t>
        </is>
      </c>
      <c r="D1349" s="1" t="n">
        <v>46090</v>
      </c>
      <c r="E1349" s="1" t="n">
        <v>46307</v>
      </c>
      <c r="F1349" t="inlineStr">
        <is>
          <t>GÄVLEBORGS LÄN</t>
        </is>
      </c>
      <c r="G1349" t="inlineStr">
        <is>
          <t>HUDIKSVALL</t>
        </is>
      </c>
      <c r="I1349" t="n">
        <v>0.7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s="2" t="inlineStr"/>
    </row>
    <row r="1350" ht="15" customHeight="1">
      <c r="A1350" t="inlineStr">
        <is>
          <t>A 12634-2026</t>
        </is>
      </c>
      <c r="B1350" t="inlineStr">
        <is>
          <t>avverkningsanmälan</t>
        </is>
      </c>
      <c r="C1350" t="inlineStr">
        <is>
          <t>Föryngringsavverkning</t>
        </is>
      </c>
      <c r="D1350" s="1" t="n">
        <v>46091</v>
      </c>
      <c r="E1350" s="1" t="n">
        <v>46307</v>
      </c>
      <c r="F1350" t="inlineStr">
        <is>
          <t>GÄVLEBORGS LÄN</t>
        </is>
      </c>
      <c r="G1350" t="inlineStr">
        <is>
          <t>HUDIKSVALL</t>
        </is>
      </c>
      <c r="I1350" t="n">
        <v>1.3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s="2" t="inlineStr"/>
    </row>
    <row r="1351" ht="15" customHeight="1">
      <c r="A1351" t="inlineStr">
        <is>
          <t>A 14647-2026</t>
        </is>
      </c>
      <c r="B1351" t="inlineStr">
        <is>
          <t>avverkningsanmälan</t>
        </is>
      </c>
      <c r="C1351" t="inlineStr">
        <is>
          <t>Föryngringsavverkning</t>
        </is>
      </c>
      <c r="D1351" s="1" t="n">
        <v>46101</v>
      </c>
      <c r="E1351" s="1" t="n">
        <v>46307</v>
      </c>
      <c r="F1351" t="inlineStr">
        <is>
          <t>GÄVLEBORGS LÄN</t>
        </is>
      </c>
      <c r="G1351" t="inlineStr">
        <is>
          <t>HUDIKSVALL</t>
        </is>
      </c>
      <c r="I1351" t="n">
        <v>3.8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s="2" t="inlineStr"/>
    </row>
    <row r="1352" ht="15" customHeight="1">
      <c r="A1352" t="inlineStr">
        <is>
          <t>A 22828-2026</t>
        </is>
      </c>
      <c r="B1352" t="inlineStr">
        <is>
          <t>avverkningsanmälan</t>
        </is>
      </c>
      <c r="C1352" t="inlineStr">
        <is>
          <t>Föryngringsavverkning</t>
        </is>
      </c>
      <c r="D1352" s="1" t="n">
        <v>46160</v>
      </c>
      <c r="E1352" s="1" t="n">
        <v>46307</v>
      </c>
      <c r="F1352" t="inlineStr">
        <is>
          <t>GÄVLEBORGS LÄN</t>
        </is>
      </c>
      <c r="G1352" t="inlineStr">
        <is>
          <t>HUDIKSVALL</t>
        </is>
      </c>
      <c r="H1352" t="inlineStr">
        <is>
          <t>Kyrkan</t>
        </is>
      </c>
      <c r="I1352" t="n">
        <v>1.6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s="2" t="inlineStr"/>
    </row>
    <row r="1353" ht="15" customHeight="1">
      <c r="A1353" t="inlineStr">
        <is>
          <t>A 22893-2026</t>
        </is>
      </c>
      <c r="B1353" t="inlineStr">
        <is>
          <t>avverkningsanmälan</t>
        </is>
      </c>
      <c r="C1353" t="inlineStr">
        <is>
          <t>Föryngringsavverkning</t>
        </is>
      </c>
      <c r="D1353" s="1" t="n">
        <v>46160</v>
      </c>
      <c r="E1353" s="1" t="n">
        <v>46307</v>
      </c>
      <c r="F1353" t="inlineStr">
        <is>
          <t>GÄVLEBORGS LÄN</t>
        </is>
      </c>
      <c r="G1353" t="inlineStr">
        <is>
          <t>HUDIKSVALL</t>
        </is>
      </c>
      <c r="H1353" t="inlineStr">
        <is>
          <t>Kyrkan</t>
        </is>
      </c>
      <c r="I1353" t="n">
        <v>1.1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s="2" t="inlineStr"/>
    </row>
    <row r="1354" ht="15" customHeight="1">
      <c r="A1354" t="inlineStr">
        <is>
          <t>A 12729-2026</t>
        </is>
      </c>
      <c r="B1354" t="inlineStr">
        <is>
          <t>avverkningsanmälan</t>
        </is>
      </c>
      <c r="C1354" t="inlineStr">
        <is>
          <t>Föryngringsavverkning</t>
        </is>
      </c>
      <c r="D1354" s="1" t="n">
        <v>46091</v>
      </c>
      <c r="E1354" s="1" t="n">
        <v>46307</v>
      </c>
      <c r="F1354" t="inlineStr">
        <is>
          <t>GÄVLEBORGS LÄN</t>
        </is>
      </c>
      <c r="G1354" t="inlineStr">
        <is>
          <t>HUDIKSVALL</t>
        </is>
      </c>
      <c r="I1354" t="n">
        <v>2.1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s="2" t="inlineStr"/>
    </row>
    <row r="1355" ht="15" customHeight="1">
      <c r="A1355" t="inlineStr">
        <is>
          <t>A 22936-2026</t>
        </is>
      </c>
      <c r="B1355" t="inlineStr">
        <is>
          <t>avverkningsanmälan</t>
        </is>
      </c>
      <c r="C1355" t="inlineStr">
        <is>
          <t>Föryngringsavverkning</t>
        </is>
      </c>
      <c r="D1355" s="1" t="n">
        <v>46160</v>
      </c>
      <c r="E1355" s="1" t="n">
        <v>46307</v>
      </c>
      <c r="F1355" t="inlineStr">
        <is>
          <t>GÄVLEBORGS LÄN</t>
        </is>
      </c>
      <c r="G1355" t="inlineStr">
        <is>
          <t>HUDIKSVALL</t>
        </is>
      </c>
      <c r="H1355" t="inlineStr">
        <is>
          <t>Naturvårdsverket</t>
        </is>
      </c>
      <c r="I1355" t="n">
        <v>2.8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s="2" t="inlineStr"/>
    </row>
    <row r="1356" ht="15" customHeight="1">
      <c r="A1356" t="inlineStr">
        <is>
          <t>A 4154-2026</t>
        </is>
      </c>
      <c r="B1356" t="inlineStr">
        <is>
          <t>avverkningsanmälan</t>
        </is>
      </c>
      <c r="C1356" t="inlineStr">
        <is>
          <t>Föryngringsavverkning</t>
        </is>
      </c>
      <c r="D1356" s="1" t="n">
        <v>46044</v>
      </c>
      <c r="E1356" s="1" t="n">
        <v>46307</v>
      </c>
      <c r="F1356" t="inlineStr">
        <is>
          <t>GÄVLEBORGS LÄN</t>
        </is>
      </c>
      <c r="G1356" t="inlineStr">
        <is>
          <t>HUDIKSVALL</t>
        </is>
      </c>
      <c r="I1356" t="n">
        <v>2.2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s="2" t="inlineStr"/>
    </row>
    <row r="1357" ht="15" customHeight="1">
      <c r="A1357" t="inlineStr">
        <is>
          <t>A 12541-2026</t>
        </is>
      </c>
      <c r="B1357" t="inlineStr">
        <is>
          <t>avverkningsanmälan</t>
        </is>
      </c>
      <c r="C1357" t="inlineStr">
        <is>
          <t>Föryngringsavverkning</t>
        </is>
      </c>
      <c r="D1357" s="1" t="n">
        <v>46090</v>
      </c>
      <c r="E1357" s="1" t="n">
        <v>46307</v>
      </c>
      <c r="F1357" t="inlineStr">
        <is>
          <t>GÄVLEBORGS LÄN</t>
        </is>
      </c>
      <c r="G1357" t="inlineStr">
        <is>
          <t>HUDIKSVALL</t>
        </is>
      </c>
      <c r="H1357" t="inlineStr">
        <is>
          <t>Kyrkan</t>
        </is>
      </c>
      <c r="I1357" t="n">
        <v>6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s="2" t="inlineStr"/>
    </row>
    <row r="1358" ht="15" customHeight="1">
      <c r="A1358" t="inlineStr">
        <is>
          <t>A 23067-2026</t>
        </is>
      </c>
      <c r="B1358" t="inlineStr">
        <is>
          <t>avverkningsanmälan</t>
        </is>
      </c>
      <c r="C1358" t="inlineStr">
        <is>
          <t>Föryngringsavverkning</t>
        </is>
      </c>
      <c r="D1358" s="1" t="n">
        <v>46161</v>
      </c>
      <c r="E1358" s="1" t="n">
        <v>46307</v>
      </c>
      <c r="F1358" t="inlineStr">
        <is>
          <t>GÄVLEBORGS LÄN</t>
        </is>
      </c>
      <c r="G1358" t="inlineStr">
        <is>
          <t>HUDIKSVALL</t>
        </is>
      </c>
      <c r="H1358" t="inlineStr">
        <is>
          <t>Holmen skog AB</t>
        </is>
      </c>
      <c r="I1358" t="n">
        <v>3.2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s="2" t="inlineStr"/>
    </row>
    <row r="1359" ht="15" customHeight="1">
      <c r="A1359" t="inlineStr">
        <is>
          <t>A 23070-2026</t>
        </is>
      </c>
      <c r="B1359" t="inlineStr">
        <is>
          <t>avverkningsanmälan</t>
        </is>
      </c>
      <c r="C1359" t="inlineStr">
        <is>
          <t>Föryngringsavverkning</t>
        </is>
      </c>
      <c r="D1359" s="1" t="n">
        <v>46161</v>
      </c>
      <c r="E1359" s="1" t="n">
        <v>46307</v>
      </c>
      <c r="F1359" t="inlineStr">
        <is>
          <t>GÄVLEBORGS LÄN</t>
        </is>
      </c>
      <c r="G1359" t="inlineStr">
        <is>
          <t>HUDIKSVALL</t>
        </is>
      </c>
      <c r="H1359" t="inlineStr">
        <is>
          <t>Holmen skog AB</t>
        </is>
      </c>
      <c r="I1359" t="n">
        <v>17.4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s="2" t="inlineStr"/>
    </row>
    <row r="1360" ht="15" customHeight="1">
      <c r="A1360" t="inlineStr">
        <is>
          <t>A 12894-2026</t>
        </is>
      </c>
      <c r="B1360" t="inlineStr">
        <is>
          <t>avverkningsanmälan</t>
        </is>
      </c>
      <c r="C1360" t="inlineStr">
        <is>
          <t>Föryngringsavverkning</t>
        </is>
      </c>
      <c r="D1360" s="1" t="n">
        <v>46092</v>
      </c>
      <c r="E1360" s="1" t="n">
        <v>46307</v>
      </c>
      <c r="F1360" t="inlineStr">
        <is>
          <t>GÄVLEBORGS LÄN</t>
        </is>
      </c>
      <c r="G1360" t="inlineStr">
        <is>
          <t>HUDIKSVALL</t>
        </is>
      </c>
      <c r="I1360" t="n">
        <v>0.5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s="2" t="inlineStr"/>
    </row>
    <row r="1361" ht="15" customHeight="1">
      <c r="A1361" t="inlineStr">
        <is>
          <t>A 13168-2026</t>
        </is>
      </c>
      <c r="B1361" t="inlineStr">
        <is>
          <t>avverkningsanmälan</t>
        </is>
      </c>
      <c r="C1361" t="inlineStr">
        <is>
          <t>Föryngringsavverkning</t>
        </is>
      </c>
      <c r="D1361" s="1" t="n">
        <v>46093</v>
      </c>
      <c r="E1361" s="1" t="n">
        <v>46307</v>
      </c>
      <c r="F1361" t="inlineStr">
        <is>
          <t>GÄVLEBORGS LÄN</t>
        </is>
      </c>
      <c r="G1361" t="inlineStr">
        <is>
          <t>HUDIKSVALL</t>
        </is>
      </c>
      <c r="H1361" t="inlineStr">
        <is>
          <t>Sveaskog</t>
        </is>
      </c>
      <c r="I1361" t="n">
        <v>1.9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s="2" t="inlineStr"/>
    </row>
    <row r="1362" ht="15" customHeight="1">
      <c r="A1362" t="inlineStr">
        <is>
          <t>A 20858-2026</t>
        </is>
      </c>
      <c r="B1362" t="inlineStr">
        <is>
          <t>avverkningsanmälan</t>
        </is>
      </c>
      <c r="C1362" t="inlineStr">
        <is>
          <t>Föryngringsavverkning</t>
        </is>
      </c>
      <c r="D1362" s="1" t="n">
        <v>46142</v>
      </c>
      <c r="E1362" s="1" t="n">
        <v>46307</v>
      </c>
      <c r="F1362" t="inlineStr">
        <is>
          <t>GÄVLEBORGS LÄN</t>
        </is>
      </c>
      <c r="G1362" t="inlineStr">
        <is>
          <t>HUDIKSVALL</t>
        </is>
      </c>
      <c r="I1362" t="n">
        <v>5.8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s="2" t="inlineStr"/>
    </row>
    <row r="1363" ht="15" customHeight="1">
      <c r="A1363" t="inlineStr">
        <is>
          <t>A 13170-2026</t>
        </is>
      </c>
      <c r="B1363" t="inlineStr">
        <is>
          <t>avverkningsanmälan</t>
        </is>
      </c>
      <c r="C1363" t="inlineStr">
        <is>
          <t>Föryngringsavverkning</t>
        </is>
      </c>
      <c r="D1363" s="1" t="n">
        <v>46093</v>
      </c>
      <c r="E1363" s="1" t="n">
        <v>46307</v>
      </c>
      <c r="F1363" t="inlineStr">
        <is>
          <t>GÄVLEBORGS LÄN</t>
        </is>
      </c>
      <c r="G1363" t="inlineStr">
        <is>
          <t>HUDIKSVALL</t>
        </is>
      </c>
      <c r="H1363" t="inlineStr">
        <is>
          <t>Sveaskog</t>
        </is>
      </c>
      <c r="I1363" t="n">
        <v>0.8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s="2" t="inlineStr"/>
    </row>
    <row r="1364" ht="15" customHeight="1">
      <c r="A1364" t="inlineStr">
        <is>
          <t>A 13156-2026</t>
        </is>
      </c>
      <c r="B1364" t="inlineStr">
        <is>
          <t>avverkningsanmälan</t>
        </is>
      </c>
      <c r="C1364" t="inlineStr">
        <is>
          <t>Föryngringsavverkning</t>
        </is>
      </c>
      <c r="D1364" s="1" t="n">
        <v>46093</v>
      </c>
      <c r="E1364" s="1" t="n">
        <v>46307</v>
      </c>
      <c r="F1364" t="inlineStr">
        <is>
          <t>GÄVLEBORGS LÄN</t>
        </is>
      </c>
      <c r="G1364" t="inlineStr">
        <is>
          <t>HUDIKSVALL</t>
        </is>
      </c>
      <c r="I1364" t="n">
        <v>5.4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s="2" t="inlineStr"/>
    </row>
    <row r="1365" ht="15" customHeight="1">
      <c r="A1365" t="inlineStr">
        <is>
          <t>A 18829-2024</t>
        </is>
      </c>
      <c r="B1365" t="inlineStr">
        <is>
          <t>avverkningsanmälan</t>
        </is>
      </c>
      <c r="C1365" t="inlineStr">
        <is>
          <t>Föryngringsavverkning</t>
        </is>
      </c>
      <c r="D1365" s="1" t="n">
        <v>45426</v>
      </c>
      <c r="E1365" s="1" t="n">
        <v>46307</v>
      </c>
      <c r="F1365" t="inlineStr">
        <is>
          <t>GÄVLEBORGS LÄN</t>
        </is>
      </c>
      <c r="G1365" t="inlineStr">
        <is>
          <t>HUDIKSVALL</t>
        </is>
      </c>
      <c r="I1365" t="n">
        <v>0.7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s="2" t="inlineStr"/>
    </row>
    <row r="1366" ht="15" customHeight="1">
      <c r="A1366" t="inlineStr">
        <is>
          <t>A 13445-2026</t>
        </is>
      </c>
      <c r="B1366" t="inlineStr">
        <is>
          <t>avverkningsanmälan</t>
        </is>
      </c>
      <c r="C1366" t="inlineStr">
        <is>
          <t>Föryngringsavverkning</t>
        </is>
      </c>
      <c r="D1366" s="1" t="n">
        <v>46094</v>
      </c>
      <c r="E1366" s="1" t="n">
        <v>46307</v>
      </c>
      <c r="F1366" t="inlineStr">
        <is>
          <t>GÄVLEBORGS LÄN</t>
        </is>
      </c>
      <c r="G1366" t="inlineStr">
        <is>
          <t>HUDIKSVALL</t>
        </is>
      </c>
      <c r="H1366" t="inlineStr">
        <is>
          <t>Holmen skog AB</t>
        </is>
      </c>
      <c r="I1366" t="n">
        <v>1.2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s="2" t="inlineStr"/>
    </row>
    <row r="1367" ht="15" customHeight="1">
      <c r="A1367" t="inlineStr">
        <is>
          <t>A 13451-2026</t>
        </is>
      </c>
      <c r="B1367" t="inlineStr">
        <is>
          <t>avverkningsanmälan</t>
        </is>
      </c>
      <c r="C1367" t="inlineStr">
        <is>
          <t>Föryngringsavverkning</t>
        </is>
      </c>
      <c r="D1367" s="1" t="n">
        <v>46094</v>
      </c>
      <c r="E1367" s="1" t="n">
        <v>46307</v>
      </c>
      <c r="F1367" t="inlineStr">
        <is>
          <t>GÄVLEBORGS LÄN</t>
        </is>
      </c>
      <c r="G1367" t="inlineStr">
        <is>
          <t>HUDIKSVALL</t>
        </is>
      </c>
      <c r="I1367" t="n">
        <v>0.4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s="2" t="inlineStr"/>
    </row>
    <row r="1368" ht="15" customHeight="1">
      <c r="A1368" t="inlineStr">
        <is>
          <t>A 13453-2026</t>
        </is>
      </c>
      <c r="B1368" t="inlineStr">
        <is>
          <t>avverkningsanmälan</t>
        </is>
      </c>
      <c r="C1368" t="inlineStr">
        <is>
          <t>Föryngringsavverkning</t>
        </is>
      </c>
      <c r="D1368" s="1" t="n">
        <v>46094</v>
      </c>
      <c r="E1368" s="1" t="n">
        <v>46307</v>
      </c>
      <c r="F1368" t="inlineStr">
        <is>
          <t>GÄVLEBORGS LÄN</t>
        </is>
      </c>
      <c r="G1368" t="inlineStr">
        <is>
          <t>HUDIKSVALL</t>
        </is>
      </c>
      <c r="I1368" t="n">
        <v>0.3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s="2" t="inlineStr"/>
    </row>
    <row r="1369" ht="15" customHeight="1">
      <c r="A1369" t="inlineStr">
        <is>
          <t>A 23339-2026</t>
        </is>
      </c>
      <c r="B1369" t="inlineStr">
        <is>
          <t>avverkningsanmälan</t>
        </is>
      </c>
      <c r="C1369" t="inlineStr">
        <is>
          <t>Föryngringsavverkning</t>
        </is>
      </c>
      <c r="D1369" s="1" t="n">
        <v>46162</v>
      </c>
      <c r="E1369" s="1" t="n">
        <v>46307</v>
      </c>
      <c r="F1369" t="inlineStr">
        <is>
          <t>GÄVLEBORGS LÄN</t>
        </is>
      </c>
      <c r="G1369" t="inlineStr">
        <is>
          <t>HUDIKSVALL</t>
        </is>
      </c>
      <c r="H1369" t="inlineStr">
        <is>
          <t>Holmen skog AB</t>
        </is>
      </c>
      <c r="I1369" t="n">
        <v>2.2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s="2" t="inlineStr"/>
    </row>
    <row r="1370" ht="15" customHeight="1">
      <c r="A1370" t="inlineStr">
        <is>
          <t>A 23224-2026</t>
        </is>
      </c>
      <c r="B1370" t="inlineStr">
        <is>
          <t>avverkningsanmälan</t>
        </is>
      </c>
      <c r="C1370" t="inlineStr">
        <is>
          <t>Föryngringsavverkning</t>
        </is>
      </c>
      <c r="D1370" s="1" t="n">
        <v>46162</v>
      </c>
      <c r="E1370" s="1" t="n">
        <v>46307</v>
      </c>
      <c r="F1370" t="inlineStr">
        <is>
          <t>GÄVLEBORGS LÄN</t>
        </is>
      </c>
      <c r="G1370" t="inlineStr">
        <is>
          <t>HUDIKSVALL</t>
        </is>
      </c>
      <c r="H1370" t="inlineStr">
        <is>
          <t>Kyrkan</t>
        </is>
      </c>
      <c r="I1370" t="n">
        <v>1.3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s="2" t="inlineStr"/>
    </row>
    <row r="1371" ht="15" customHeight="1">
      <c r="A1371" t="inlineStr">
        <is>
          <t>A 13315-2026</t>
        </is>
      </c>
      <c r="B1371" t="inlineStr">
        <is>
          <t>avverkningsanmälan</t>
        </is>
      </c>
      <c r="C1371" t="inlineStr">
        <is>
          <t>Föryngringsavverkning</t>
        </is>
      </c>
      <c r="D1371" s="1" t="n">
        <v>46094</v>
      </c>
      <c r="E1371" s="1" t="n">
        <v>46307</v>
      </c>
      <c r="F1371" t="inlineStr">
        <is>
          <t>GÄVLEBORGS LÄN</t>
        </is>
      </c>
      <c r="G1371" t="inlineStr">
        <is>
          <t>HUDIKSVALL</t>
        </is>
      </c>
      <c r="I1371" t="n">
        <v>2.1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s="2" t="inlineStr"/>
    </row>
    <row r="1372" ht="15" customHeight="1">
      <c r="A1372" t="inlineStr">
        <is>
          <t>A 14659-2026</t>
        </is>
      </c>
      <c r="B1372" t="inlineStr">
        <is>
          <t>avverkningsanmälan</t>
        </is>
      </c>
      <c r="C1372" t="inlineStr">
        <is>
          <t>Föryngringsavverkning</t>
        </is>
      </c>
      <c r="D1372" s="1" t="n">
        <v>46101</v>
      </c>
      <c r="E1372" s="1" t="n">
        <v>46307</v>
      </c>
      <c r="F1372" t="inlineStr">
        <is>
          <t>GÄVLEBORGS LÄN</t>
        </is>
      </c>
      <c r="G1372" t="inlineStr">
        <is>
          <t>HUDIKSVALL</t>
        </is>
      </c>
      <c r="I1372" t="n">
        <v>1.9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s="2" t="inlineStr"/>
    </row>
    <row r="1373" ht="15" customHeight="1">
      <c r="A1373" t="inlineStr">
        <is>
          <t>A 19473-2026</t>
        </is>
      </c>
      <c r="B1373" t="inlineStr">
        <is>
          <t>avverkningsanmälan</t>
        </is>
      </c>
      <c r="C1373" t="inlineStr">
        <is>
          <t>Föryngringsavverkning</t>
        </is>
      </c>
      <c r="D1373" s="1" t="n">
        <v>46133</v>
      </c>
      <c r="E1373" s="1" t="n">
        <v>46307</v>
      </c>
      <c r="F1373" t="inlineStr">
        <is>
          <t>GÄVLEBORGS LÄN</t>
        </is>
      </c>
      <c r="G1373" t="inlineStr">
        <is>
          <t>HUDIKSVALL</t>
        </is>
      </c>
      <c r="H1373" t="inlineStr">
        <is>
          <t>Holmen skog AB</t>
        </is>
      </c>
      <c r="I1373" t="n">
        <v>1.3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s="2" t="inlineStr"/>
    </row>
    <row r="1374" ht="15" customHeight="1">
      <c r="A1374" t="inlineStr">
        <is>
          <t>A 23246-2026</t>
        </is>
      </c>
      <c r="B1374" t="inlineStr">
        <is>
          <t>avverkningsanmälan</t>
        </is>
      </c>
      <c r="C1374" t="inlineStr">
        <is>
          <t>Föryngringsavverkning</t>
        </is>
      </c>
      <c r="D1374" s="1" t="n">
        <v>46162</v>
      </c>
      <c r="E1374" s="1" t="n">
        <v>46307</v>
      </c>
      <c r="F1374" t="inlineStr">
        <is>
          <t>GÄVLEBORGS LÄN</t>
        </is>
      </c>
      <c r="G1374" t="inlineStr">
        <is>
          <t>HUDIKSVALL</t>
        </is>
      </c>
      <c r="I1374" t="n">
        <v>16.2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s="2" t="inlineStr"/>
    </row>
    <row r="1375" ht="15" customHeight="1">
      <c r="A1375" t="inlineStr">
        <is>
          <t>A 23686-2026</t>
        </is>
      </c>
      <c r="B1375" t="inlineStr">
        <is>
          <t>avverkningsanmälan</t>
        </is>
      </c>
      <c r="C1375" t="inlineStr">
        <is>
          <t>Föryngringsavverkning</t>
        </is>
      </c>
      <c r="D1375" s="1" t="n">
        <v>46164</v>
      </c>
      <c r="E1375" s="1" t="n">
        <v>46307</v>
      </c>
      <c r="F1375" t="inlineStr">
        <is>
          <t>GÄVLEBORGS LÄN</t>
        </is>
      </c>
      <c r="G1375" t="inlineStr">
        <is>
          <t>HUDIKSVALL</t>
        </is>
      </c>
      <c r="H1375" t="inlineStr">
        <is>
          <t>Kommuner</t>
        </is>
      </c>
      <c r="I1375" t="n">
        <v>1.4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s="2" t="inlineStr"/>
    </row>
    <row r="1376" ht="15" customHeight="1">
      <c r="A1376" t="inlineStr">
        <is>
          <t>A 23463-2026</t>
        </is>
      </c>
      <c r="B1376" t="inlineStr">
        <is>
          <t>avverkningsanmälan</t>
        </is>
      </c>
      <c r="C1376" t="inlineStr">
        <is>
          <t>Föryngringsavverkning</t>
        </is>
      </c>
      <c r="D1376" s="1" t="n">
        <v>46163</v>
      </c>
      <c r="E1376" s="1" t="n">
        <v>46307</v>
      </c>
      <c r="F1376" t="inlineStr">
        <is>
          <t>GÄVLEBORGS LÄN</t>
        </is>
      </c>
      <c r="G1376" t="inlineStr">
        <is>
          <t>HUDIKSVALL</t>
        </is>
      </c>
      <c r="H1376" t="inlineStr">
        <is>
          <t>Kyrkan</t>
        </is>
      </c>
      <c r="I1376" t="n">
        <v>4.2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s="2" t="inlineStr"/>
    </row>
    <row r="1377" ht="15" customHeight="1">
      <c r="A1377" t="inlineStr">
        <is>
          <t>A 23768-2026</t>
        </is>
      </c>
      <c r="B1377" t="inlineStr">
        <is>
          <t>avverkningsanmälan</t>
        </is>
      </c>
      <c r="C1377" t="inlineStr">
        <is>
          <t>Föryngringsavverkning</t>
        </is>
      </c>
      <c r="D1377" s="1" t="n">
        <v>46164</v>
      </c>
      <c r="E1377" s="1" t="n">
        <v>46307</v>
      </c>
      <c r="F1377" t="inlineStr">
        <is>
          <t>GÄVLEBORGS LÄN</t>
        </is>
      </c>
      <c r="G1377" t="inlineStr">
        <is>
          <t>HUDIKSVALL</t>
        </is>
      </c>
      <c r="I1377" t="n">
        <v>1.5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s="2" t="inlineStr"/>
    </row>
    <row r="1378" ht="15" customHeight="1">
      <c r="A1378" t="inlineStr">
        <is>
          <t>A 4493-2026</t>
        </is>
      </c>
      <c r="B1378" t="inlineStr">
        <is>
          <t>avverkningsanmälan</t>
        </is>
      </c>
      <c r="C1378" t="inlineStr">
        <is>
          <t>Föryngringsavverkning</t>
        </is>
      </c>
      <c r="D1378" s="1" t="n">
        <v>46045</v>
      </c>
      <c r="E1378" s="1" t="n">
        <v>46307</v>
      </c>
      <c r="F1378" t="inlineStr">
        <is>
          <t>GÄVLEBORGS LÄN</t>
        </is>
      </c>
      <c r="G1378" t="inlineStr">
        <is>
          <t>HUDIKSVALL</t>
        </is>
      </c>
      <c r="I1378" t="n">
        <v>1.6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s="2" t="inlineStr"/>
    </row>
    <row r="1379" ht="15" customHeight="1">
      <c r="A1379" t="inlineStr">
        <is>
          <t>A 23293-2026</t>
        </is>
      </c>
      <c r="B1379" t="inlineStr">
        <is>
          <t>avverkningsanmälan</t>
        </is>
      </c>
      <c r="C1379" t="inlineStr">
        <is>
          <t>Föryngringsavverkning</t>
        </is>
      </c>
      <c r="D1379" s="1" t="n">
        <v>46162</v>
      </c>
      <c r="E1379" s="1" t="n">
        <v>46307</v>
      </c>
      <c r="F1379" t="inlineStr">
        <is>
          <t>GÄVLEBORGS LÄN</t>
        </is>
      </c>
      <c r="G1379" t="inlineStr">
        <is>
          <t>HUDIKSVALL</t>
        </is>
      </c>
      <c r="I1379" t="n">
        <v>1.9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s="2" t="inlineStr"/>
    </row>
    <row r="1380" ht="15" customHeight="1">
      <c r="A1380" t="inlineStr">
        <is>
          <t>A 5788-2025</t>
        </is>
      </c>
      <c r="B1380" t="inlineStr">
        <is>
          <t>avverkningsanmälan</t>
        </is>
      </c>
      <c r="C1380" t="inlineStr">
        <is>
          <t>Föryngringsavverkning</t>
        </is>
      </c>
      <c r="D1380" s="1" t="n">
        <v>45694</v>
      </c>
      <c r="E1380" s="1" t="n">
        <v>46307</v>
      </c>
      <c r="F1380" t="inlineStr">
        <is>
          <t>GÄVLEBORGS LÄN</t>
        </is>
      </c>
      <c r="G1380" t="inlineStr">
        <is>
          <t>HUDIKSVALL</t>
        </is>
      </c>
      <c r="I1380" t="n">
        <v>1.2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s="2" t="inlineStr"/>
    </row>
    <row r="1381" ht="15" customHeight="1">
      <c r="A1381" t="inlineStr">
        <is>
          <t>A 24017-2026</t>
        </is>
      </c>
      <c r="B1381" t="inlineStr">
        <is>
          <t>avverkningsanmälan</t>
        </is>
      </c>
      <c r="C1381" t="inlineStr">
        <is>
          <t>Föryngringsavverkning</t>
        </is>
      </c>
      <c r="D1381" s="1" t="n">
        <v>46167</v>
      </c>
      <c r="E1381" s="1" t="n">
        <v>46307</v>
      </c>
      <c r="F1381" t="inlineStr">
        <is>
          <t>GÄVLEBORGS LÄN</t>
        </is>
      </c>
      <c r="G1381" t="inlineStr">
        <is>
          <t>HUDIKSVALL</t>
        </is>
      </c>
      <c r="I1381" t="n">
        <v>1.6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s="2" t="inlineStr"/>
    </row>
    <row r="1382" ht="15" customHeight="1">
      <c r="A1382" t="inlineStr">
        <is>
          <t>A 25187-2025</t>
        </is>
      </c>
      <c r="B1382" t="inlineStr">
        <is>
          <t>avverkningsanmälan</t>
        </is>
      </c>
      <c r="C1382" t="inlineStr">
        <is>
          <t>Föryngringsavverkning</t>
        </is>
      </c>
      <c r="D1382" s="1" t="n">
        <v>45800</v>
      </c>
      <c r="E1382" s="1" t="n">
        <v>46307</v>
      </c>
      <c r="F1382" t="inlineStr">
        <is>
          <t>GÄVLEBORGS LÄN</t>
        </is>
      </c>
      <c r="G1382" t="inlineStr">
        <is>
          <t>HUDIKSVALL</t>
        </is>
      </c>
      <c r="H1382" t="inlineStr">
        <is>
          <t>Holmen skog AB</t>
        </is>
      </c>
      <c r="I1382" t="n">
        <v>53.6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s="2" t="inlineStr"/>
    </row>
    <row r="1383" ht="15" customHeight="1">
      <c r="A1383" t="inlineStr">
        <is>
          <t>A 19366-2026</t>
        </is>
      </c>
      <c r="B1383" t="inlineStr">
        <is>
          <t>avverkningsanmälan</t>
        </is>
      </c>
      <c r="C1383" t="inlineStr">
        <is>
          <t>Föryngringsavverkning</t>
        </is>
      </c>
      <c r="D1383" s="1" t="n">
        <v>46133</v>
      </c>
      <c r="E1383" s="1" t="n">
        <v>46307</v>
      </c>
      <c r="F1383" t="inlineStr">
        <is>
          <t>GÄVLEBORGS LÄN</t>
        </is>
      </c>
      <c r="G1383" t="inlineStr">
        <is>
          <t>HUDIKSVALL</t>
        </is>
      </c>
      <c r="I1383" t="n">
        <v>1.6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s="2" t="inlineStr"/>
    </row>
    <row r="1384" ht="15" customHeight="1">
      <c r="A1384" t="inlineStr">
        <is>
          <t>A 25043-2026</t>
        </is>
      </c>
      <c r="B1384" t="inlineStr">
        <is>
          <t>avverkningsanmälan</t>
        </is>
      </c>
      <c r="C1384" t="inlineStr">
        <is>
          <t>Föryngringsavverkning</t>
        </is>
      </c>
      <c r="D1384" s="1" t="n">
        <v>46174</v>
      </c>
      <c r="E1384" s="1" t="n">
        <v>46307</v>
      </c>
      <c r="F1384" t="inlineStr">
        <is>
          <t>GÄVLEBORGS LÄN</t>
        </is>
      </c>
      <c r="G1384" t="inlineStr">
        <is>
          <t>HUDIKSVALL</t>
        </is>
      </c>
      <c r="I1384" t="n">
        <v>9.4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s="2" t="inlineStr"/>
    </row>
    <row r="1385" ht="15" customHeight="1">
      <c r="A1385" t="inlineStr">
        <is>
          <t>A 25191-2026</t>
        </is>
      </c>
      <c r="B1385" t="inlineStr">
        <is>
          <t>avverkningsanmälan</t>
        </is>
      </c>
      <c r="C1385" t="inlineStr">
        <is>
          <t>Föryngringsavverkning</t>
        </is>
      </c>
      <c r="D1385" s="1" t="n">
        <v>46175</v>
      </c>
      <c r="E1385" s="1" t="n">
        <v>46307</v>
      </c>
      <c r="F1385" t="inlineStr">
        <is>
          <t>GÄVLEBORGS LÄN</t>
        </is>
      </c>
      <c r="G1385" t="inlineStr">
        <is>
          <t>HUDIKSVALL</t>
        </is>
      </c>
      <c r="I1385" t="n">
        <v>1.1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s="2" t="inlineStr"/>
    </row>
    <row r="1386" ht="15" customHeight="1">
      <c r="A1386" t="inlineStr">
        <is>
          <t>A 24868-2026</t>
        </is>
      </c>
      <c r="B1386" t="inlineStr">
        <is>
          <t>avverkningsanmälan</t>
        </is>
      </c>
      <c r="C1386" t="inlineStr">
        <is>
          <t>Föryngringsavverkning</t>
        </is>
      </c>
      <c r="D1386" s="1" t="n">
        <v>46174</v>
      </c>
      <c r="E1386" s="1" t="n">
        <v>46307</v>
      </c>
      <c r="F1386" t="inlineStr">
        <is>
          <t>GÄVLEBORGS LÄN</t>
        </is>
      </c>
      <c r="G1386" t="inlineStr">
        <is>
          <t>HUDIKSVALL</t>
        </is>
      </c>
      <c r="I1386" t="n">
        <v>2.1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s="2" t="inlineStr"/>
    </row>
    <row r="1387" ht="15" customHeight="1">
      <c r="A1387" t="inlineStr">
        <is>
          <t>A 24863-2026</t>
        </is>
      </c>
      <c r="B1387" t="inlineStr">
        <is>
          <t>avverkningsanmälan</t>
        </is>
      </c>
      <c r="C1387" t="inlineStr">
        <is>
          <t>Föryngringsavverkning</t>
        </is>
      </c>
      <c r="D1387" s="1" t="n">
        <v>46174</v>
      </c>
      <c r="E1387" s="1" t="n">
        <v>46307</v>
      </c>
      <c r="F1387" t="inlineStr">
        <is>
          <t>GÄVLEBORGS LÄN</t>
        </is>
      </c>
      <c r="G1387" t="inlineStr">
        <is>
          <t>HUDIKSVALL</t>
        </is>
      </c>
      <c r="I1387" t="n">
        <v>2.1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s="2" t="inlineStr"/>
    </row>
    <row r="1388" ht="15" customHeight="1">
      <c r="A1388" t="inlineStr">
        <is>
          <t>A 25590-2026</t>
        </is>
      </c>
      <c r="B1388" t="inlineStr">
        <is>
          <t>avverkningsanmälan</t>
        </is>
      </c>
      <c r="C1388" t="inlineStr">
        <is>
          <t>Föryngringsavverkning</t>
        </is>
      </c>
      <c r="D1388" s="1" t="n">
        <v>46177</v>
      </c>
      <c r="E1388" s="1" t="n">
        <v>46307</v>
      </c>
      <c r="F1388" t="inlineStr">
        <is>
          <t>GÄVLEBORGS LÄN</t>
        </is>
      </c>
      <c r="G1388" t="inlineStr">
        <is>
          <t>HUDIKSVALL</t>
        </is>
      </c>
      <c r="H1388" t="inlineStr">
        <is>
          <t>Holmen skog AB</t>
        </is>
      </c>
      <c r="I1388" t="n">
        <v>1.2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s="2" t="inlineStr"/>
    </row>
    <row r="1389" ht="15" customHeight="1">
      <c r="A1389" t="inlineStr">
        <is>
          <t>A 25311-2026</t>
        </is>
      </c>
      <c r="B1389" t="inlineStr">
        <is>
          <t>avverkningsanmälan</t>
        </is>
      </c>
      <c r="C1389" t="inlineStr">
        <is>
          <t>Föryngringsavverkning</t>
        </is>
      </c>
      <c r="D1389" s="1" t="n">
        <v>46176</v>
      </c>
      <c r="E1389" s="1" t="n">
        <v>46307</v>
      </c>
      <c r="F1389" t="inlineStr">
        <is>
          <t>GÄVLEBORGS LÄN</t>
        </is>
      </c>
      <c r="G1389" t="inlineStr">
        <is>
          <t>HUDIKSVALL</t>
        </is>
      </c>
      <c r="I1389" t="n">
        <v>1.8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s="2" t="inlineStr"/>
    </row>
    <row r="1390" ht="15" customHeight="1">
      <c r="A1390" t="inlineStr">
        <is>
          <t>A 56832-2025</t>
        </is>
      </c>
      <c r="B1390" t="inlineStr">
        <is>
          <t>avverkningsanmälan</t>
        </is>
      </c>
      <c r="C1390" t="inlineStr">
        <is>
          <t>Föryngringsavverkning</t>
        </is>
      </c>
      <c r="D1390" s="1" t="n">
        <v>45978</v>
      </c>
      <c r="E1390" s="1" t="n">
        <v>46307</v>
      </c>
      <c r="F1390" t="inlineStr">
        <is>
          <t>GÄVLEBORGS LÄN</t>
        </is>
      </c>
      <c r="G1390" t="inlineStr">
        <is>
          <t>HUDIKSVALL</t>
        </is>
      </c>
      <c r="I1390" t="n">
        <v>1.4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s="2" t="inlineStr"/>
    </row>
    <row r="1391" ht="15" customHeight="1">
      <c r="A1391" t="inlineStr">
        <is>
          <t>A 25573-2026</t>
        </is>
      </c>
      <c r="B1391" t="inlineStr">
        <is>
          <t>avverkningsanmälan</t>
        </is>
      </c>
      <c r="C1391" t="inlineStr">
        <is>
          <t>Föryngringsavverkning</t>
        </is>
      </c>
      <c r="D1391" s="1" t="n">
        <v>46177</v>
      </c>
      <c r="E1391" s="1" t="n">
        <v>46307</v>
      </c>
      <c r="F1391" t="inlineStr">
        <is>
          <t>GÄVLEBORGS LÄN</t>
        </is>
      </c>
      <c r="G1391" t="inlineStr">
        <is>
          <t>HUDIKSVALL</t>
        </is>
      </c>
      <c r="H1391" t="inlineStr">
        <is>
          <t>Holmen skog AB</t>
        </is>
      </c>
      <c r="I1391" t="n">
        <v>4.1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s="2" t="inlineStr"/>
    </row>
    <row r="1392" ht="15" customHeight="1">
      <c r="A1392" t="inlineStr">
        <is>
          <t>A 1192-2026</t>
        </is>
      </c>
      <c r="B1392" t="inlineStr">
        <is>
          <t>avverkningsanmälan</t>
        </is>
      </c>
      <c r="C1392" t="inlineStr">
        <is>
          <t>Föryngringsavverkning</t>
        </is>
      </c>
      <c r="D1392" s="1" t="n">
        <v>46031</v>
      </c>
      <c r="E1392" s="1" t="n">
        <v>46307</v>
      </c>
      <c r="F1392" t="inlineStr">
        <is>
          <t>GÄVLEBORGS LÄN</t>
        </is>
      </c>
      <c r="G1392" t="inlineStr">
        <is>
          <t>HUDIKSVALL</t>
        </is>
      </c>
      <c r="H1392" t="inlineStr">
        <is>
          <t>Holmen skog AB</t>
        </is>
      </c>
      <c r="I1392" t="n">
        <v>3.3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s="2" t="inlineStr"/>
    </row>
    <row r="1393" ht="15" customHeight="1">
      <c r="A1393" t="inlineStr">
        <is>
          <t>A 35882-2025</t>
        </is>
      </c>
      <c r="B1393" t="inlineStr">
        <is>
          <t>avverkningsanmälan</t>
        </is>
      </c>
      <c r="C1393" t="inlineStr">
        <is>
          <t>Föryngringsavverkning</t>
        </is>
      </c>
      <c r="D1393" s="1" t="n">
        <v>45862</v>
      </c>
      <c r="E1393" s="1" t="n">
        <v>46307</v>
      </c>
      <c r="F1393" t="inlineStr">
        <is>
          <t>GÄVLEBORGS LÄN</t>
        </is>
      </c>
      <c r="G1393" t="inlineStr">
        <is>
          <t>HUDIKSVALL</t>
        </is>
      </c>
      <c r="I1393" t="n">
        <v>1.4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s="2" t="inlineStr"/>
    </row>
    <row r="1394" ht="15" customHeight="1">
      <c r="A1394" t="inlineStr">
        <is>
          <t>A 26413-2026</t>
        </is>
      </c>
      <c r="B1394" t="inlineStr">
        <is>
          <t>avverkningsanmälan</t>
        </is>
      </c>
      <c r="C1394" t="inlineStr">
        <is>
          <t>Föryngringsavverkning</t>
        </is>
      </c>
      <c r="D1394" s="1" t="n">
        <v>46183</v>
      </c>
      <c r="E1394" s="1" t="n">
        <v>46307</v>
      </c>
      <c r="F1394" t="inlineStr">
        <is>
          <t>GÄVLEBORGS LÄN</t>
        </is>
      </c>
      <c r="G1394" t="inlineStr">
        <is>
          <t>HUDIKSVALL</t>
        </is>
      </c>
      <c r="I1394" t="n">
        <v>1.8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s="2" t="inlineStr"/>
    </row>
    <row r="1395" ht="15" customHeight="1">
      <c r="A1395" t="inlineStr">
        <is>
          <t>A 26803-2026</t>
        </is>
      </c>
      <c r="B1395" t="inlineStr">
        <is>
          <t>avverkningsanmälan</t>
        </is>
      </c>
      <c r="C1395" t="inlineStr">
        <is>
          <t>Föryngringsavverkning</t>
        </is>
      </c>
      <c r="D1395" s="1" t="n">
        <v>46185</v>
      </c>
      <c r="E1395" s="1" t="n">
        <v>46307</v>
      </c>
      <c r="F1395" t="inlineStr">
        <is>
          <t>GÄVLEBORGS LÄN</t>
        </is>
      </c>
      <c r="G1395" t="inlineStr">
        <is>
          <t>HUDIKSVALL</t>
        </is>
      </c>
      <c r="I1395" t="n">
        <v>0.9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s="2" t="inlineStr"/>
    </row>
    <row r="1396" ht="15" customHeight="1">
      <c r="A1396" t="inlineStr">
        <is>
          <t>A 27510-2026</t>
        </is>
      </c>
      <c r="B1396" t="inlineStr">
        <is>
          <t>avverkningsanmälan</t>
        </is>
      </c>
      <c r="C1396" t="inlineStr">
        <is>
          <t>Föryngringsavverkning</t>
        </is>
      </c>
      <c r="D1396" s="1" t="n">
        <v>46189</v>
      </c>
      <c r="E1396" s="1" t="n">
        <v>46307</v>
      </c>
      <c r="F1396" t="inlineStr">
        <is>
          <t>GÄVLEBORGS LÄN</t>
        </is>
      </c>
      <c r="G1396" t="inlineStr">
        <is>
          <t>HUDIKSVALL</t>
        </is>
      </c>
      <c r="I1396" t="n">
        <v>4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s="2" t="inlineStr"/>
    </row>
    <row r="1397" ht="15" customHeight="1">
      <c r="A1397" t="inlineStr">
        <is>
          <t>A 27259-2026</t>
        </is>
      </c>
      <c r="B1397" t="inlineStr">
        <is>
          <t>avverkningsanmälan</t>
        </is>
      </c>
      <c r="C1397" t="inlineStr">
        <is>
          <t>Föryngringsavverkning</t>
        </is>
      </c>
      <c r="D1397" s="1" t="n">
        <v>46188</v>
      </c>
      <c r="E1397" s="1" t="n">
        <v>46307</v>
      </c>
      <c r="F1397" t="inlineStr">
        <is>
          <t>GÄVLEBORGS LÄN</t>
        </is>
      </c>
      <c r="G1397" t="inlineStr">
        <is>
          <t>HUDIKSVALL</t>
        </is>
      </c>
      <c r="I1397" t="n">
        <v>0.8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s="2" t="inlineStr"/>
    </row>
    <row r="1398" ht="15" customHeight="1">
      <c r="A1398" t="inlineStr">
        <is>
          <t>A 27410-2026</t>
        </is>
      </c>
      <c r="B1398" t="inlineStr">
        <is>
          <t>avverkningsanmälan</t>
        </is>
      </c>
      <c r="C1398" t="inlineStr">
        <is>
          <t>Föryngringsavverkning</t>
        </is>
      </c>
      <c r="D1398" s="1" t="n">
        <v>46189</v>
      </c>
      <c r="E1398" s="1" t="n">
        <v>46307</v>
      </c>
      <c r="F1398" t="inlineStr">
        <is>
          <t>GÄVLEBORGS LÄN</t>
        </is>
      </c>
      <c r="G1398" t="inlineStr">
        <is>
          <t>HUDIKSVALL</t>
        </is>
      </c>
      <c r="I1398" t="n">
        <v>13.9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s="2" t="inlineStr"/>
    </row>
    <row r="1399" ht="15" customHeight="1">
      <c r="A1399" t="inlineStr">
        <is>
          <t>A 27505-2026</t>
        </is>
      </c>
      <c r="B1399" t="inlineStr">
        <is>
          <t>avverkningsanmälan</t>
        </is>
      </c>
      <c r="C1399" t="inlineStr">
        <is>
          <t>Föryngringsavverkning</t>
        </is>
      </c>
      <c r="D1399" s="1" t="n">
        <v>46189</v>
      </c>
      <c r="E1399" s="1" t="n">
        <v>46307</v>
      </c>
      <c r="F1399" t="inlineStr">
        <is>
          <t>GÄVLEBORGS LÄN</t>
        </is>
      </c>
      <c r="G1399" t="inlineStr">
        <is>
          <t>HUDIKSVALL</t>
        </is>
      </c>
      <c r="I1399" t="n">
        <v>1.5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s="2" t="inlineStr"/>
    </row>
    <row r="1400" ht="15" customHeight="1">
      <c r="A1400" t="inlineStr">
        <is>
          <t>A 27171-2026</t>
        </is>
      </c>
      <c r="B1400" t="inlineStr">
        <is>
          <t>avverkningsanmälan</t>
        </is>
      </c>
      <c r="C1400" t="inlineStr">
        <is>
          <t>Föryngringsavverkning</t>
        </is>
      </c>
      <c r="D1400" s="1" t="n">
        <v>46188</v>
      </c>
      <c r="E1400" s="1" t="n">
        <v>46307</v>
      </c>
      <c r="F1400" t="inlineStr">
        <is>
          <t>GÄVLEBORGS LÄN</t>
        </is>
      </c>
      <c r="G1400" t="inlineStr">
        <is>
          <t>HUDIKSVALL</t>
        </is>
      </c>
      <c r="I1400" t="n">
        <v>1.4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s="2" t="inlineStr"/>
    </row>
    <row r="1401" ht="15" customHeight="1">
      <c r="A1401" t="inlineStr">
        <is>
          <t>A 43803-2022</t>
        </is>
      </c>
      <c r="B1401" t="inlineStr">
        <is>
          <t>avverkningsanmälan</t>
        </is>
      </c>
      <c r="C1401" t="inlineStr">
        <is>
          <t>Föryngringsavverkning</t>
        </is>
      </c>
      <c r="D1401" s="1" t="n">
        <v>44838</v>
      </c>
      <c r="E1401" s="1" t="n">
        <v>46307</v>
      </c>
      <c r="F1401" t="inlineStr">
        <is>
          <t>GÄVLEBORGS LÄN</t>
        </is>
      </c>
      <c r="G1401" t="inlineStr">
        <is>
          <t>HUDIKSVALL</t>
        </is>
      </c>
      <c r="H1401" t="inlineStr">
        <is>
          <t>Holmen skog AB</t>
        </is>
      </c>
      <c r="I1401" t="n">
        <v>1.5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s="2" t="inlineStr"/>
    </row>
    <row r="1402" ht="15" customHeight="1">
      <c r="A1402" t="inlineStr">
        <is>
          <t>A 27891-2026</t>
        </is>
      </c>
      <c r="B1402" t="inlineStr">
        <is>
          <t>avverkningsanmälan</t>
        </is>
      </c>
      <c r="C1402" t="inlineStr">
        <is>
          <t>Föryngringsavverkning</t>
        </is>
      </c>
      <c r="D1402" s="1" t="n">
        <v>46191</v>
      </c>
      <c r="E1402" s="1" t="n">
        <v>46307</v>
      </c>
      <c r="F1402" t="inlineStr">
        <is>
          <t>GÄVLEBORGS LÄN</t>
        </is>
      </c>
      <c r="G1402" t="inlineStr">
        <is>
          <t>HUDIKSVALL</t>
        </is>
      </c>
      <c r="I1402" t="n">
        <v>1.1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s="2" t="inlineStr"/>
    </row>
    <row r="1403" ht="15" customHeight="1">
      <c r="A1403" t="inlineStr">
        <is>
          <t>A 27819-2026</t>
        </is>
      </c>
      <c r="B1403" t="inlineStr">
        <is>
          <t>avverkningsanmälan</t>
        </is>
      </c>
      <c r="C1403" t="inlineStr">
        <is>
          <t>Föryngringsavverkning</t>
        </is>
      </c>
      <c r="D1403" s="1" t="n">
        <v>46191</v>
      </c>
      <c r="E1403" s="1" t="n">
        <v>46307</v>
      </c>
      <c r="F1403" t="inlineStr">
        <is>
          <t>GÄVLEBORGS LÄN</t>
        </is>
      </c>
      <c r="G1403" t="inlineStr">
        <is>
          <t>HUDIKSVALL</t>
        </is>
      </c>
      <c r="H1403" t="inlineStr">
        <is>
          <t>Holmen skog AB</t>
        </is>
      </c>
      <c r="I1403" t="n">
        <v>29.5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s="2" t="inlineStr"/>
    </row>
    <row r="1404" ht="15" customHeight="1">
      <c r="A1404" t="inlineStr">
        <is>
          <t>A 27827-2026</t>
        </is>
      </c>
      <c r="B1404" t="inlineStr">
        <is>
          <t>avverkningsanmälan</t>
        </is>
      </c>
      <c r="C1404" t="inlineStr">
        <is>
          <t>Föryngringsavverkning</t>
        </is>
      </c>
      <c r="D1404" s="1" t="n">
        <v>46191</v>
      </c>
      <c r="E1404" s="1" t="n">
        <v>46307</v>
      </c>
      <c r="F1404" t="inlineStr">
        <is>
          <t>GÄVLEBORGS LÄN</t>
        </is>
      </c>
      <c r="G1404" t="inlineStr">
        <is>
          <t>HUDIKSVALL</t>
        </is>
      </c>
      <c r="H1404" t="inlineStr">
        <is>
          <t>Holmen skog AB</t>
        </is>
      </c>
      <c r="I1404" t="n">
        <v>6.9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s="2" t="inlineStr"/>
    </row>
    <row r="1405" ht="15" customHeight="1">
      <c r="A1405" t="inlineStr">
        <is>
          <t>A 27846-2026</t>
        </is>
      </c>
      <c r="B1405" t="inlineStr">
        <is>
          <t>avverkningsanmälan</t>
        </is>
      </c>
      <c r="C1405" t="inlineStr">
        <is>
          <t>Föryngringsavverkning</t>
        </is>
      </c>
      <c r="D1405" s="1" t="n">
        <v>46191</v>
      </c>
      <c r="E1405" s="1" t="n">
        <v>46307</v>
      </c>
      <c r="F1405" t="inlineStr">
        <is>
          <t>GÄVLEBORGS LÄN</t>
        </is>
      </c>
      <c r="G1405" t="inlineStr">
        <is>
          <t>HUDIKSVALL</t>
        </is>
      </c>
      <c r="H1405" t="inlineStr">
        <is>
          <t>Holmen skog AB</t>
        </is>
      </c>
      <c r="I1405" t="n">
        <v>3.6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s="2" t="inlineStr"/>
    </row>
    <row r="1406" ht="15" customHeight="1">
      <c r="A1406" t="inlineStr">
        <is>
          <t>A 27880-2026</t>
        </is>
      </c>
      <c r="B1406" t="inlineStr">
        <is>
          <t>avverkningsanmälan</t>
        </is>
      </c>
      <c r="C1406" t="inlineStr">
        <is>
          <t>Föryngringsavverkning</t>
        </is>
      </c>
      <c r="D1406" s="1" t="n">
        <v>46191</v>
      </c>
      <c r="E1406" s="1" t="n">
        <v>46307</v>
      </c>
      <c r="F1406" t="inlineStr">
        <is>
          <t>GÄVLEBORGS LÄN</t>
        </is>
      </c>
      <c r="G1406" t="inlineStr">
        <is>
          <t>HUDIKSVALL</t>
        </is>
      </c>
      <c r="I1406" t="n">
        <v>1.2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s="2" t="inlineStr"/>
    </row>
    <row r="1407" ht="15" customHeight="1">
      <c r="A1407" t="inlineStr">
        <is>
          <t>A 756-2026</t>
        </is>
      </c>
      <c r="B1407" t="inlineStr">
        <is>
          <t>avverkningsanmälan</t>
        </is>
      </c>
      <c r="C1407" t="inlineStr">
        <is>
          <t>Föryngringsavverkning</t>
        </is>
      </c>
      <c r="D1407" s="1" t="n">
        <v>46029</v>
      </c>
      <c r="E1407" s="1" t="n">
        <v>46307</v>
      </c>
      <c r="F1407" t="inlineStr">
        <is>
          <t>GÄVLEBORGS LÄN</t>
        </is>
      </c>
      <c r="G1407" t="inlineStr">
        <is>
          <t>HUDIKSVALL</t>
        </is>
      </c>
      <c r="I1407" t="n">
        <v>3.2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s="2" t="inlineStr"/>
    </row>
    <row r="1408" ht="15" customHeight="1">
      <c r="A1408" t="inlineStr">
        <is>
          <t>A 27706-2026</t>
        </is>
      </c>
      <c r="B1408" t="inlineStr">
        <is>
          <t>avverkningsanmälan</t>
        </is>
      </c>
      <c r="C1408" t="inlineStr">
        <is>
          <t>Föryngringsavverkning</t>
        </is>
      </c>
      <c r="D1408" s="1" t="n">
        <v>46190</v>
      </c>
      <c r="E1408" s="1" t="n">
        <v>46307</v>
      </c>
      <c r="F1408" t="inlineStr">
        <is>
          <t>GÄVLEBORGS LÄN</t>
        </is>
      </c>
      <c r="G1408" t="inlineStr">
        <is>
          <t>HUDIKSVALL</t>
        </is>
      </c>
      <c r="I1408" t="n">
        <v>1.2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s="2" t="inlineStr"/>
    </row>
    <row r="1409" ht="15" customHeight="1">
      <c r="A1409" t="inlineStr">
        <is>
          <t>A 13593-2026</t>
        </is>
      </c>
      <c r="B1409" t="inlineStr">
        <is>
          <t>avverkningsanmälan</t>
        </is>
      </c>
      <c r="C1409" t="inlineStr">
        <is>
          <t>Föryngringsavverkning</t>
        </is>
      </c>
      <c r="D1409" s="1" t="n">
        <v>46096</v>
      </c>
      <c r="E1409" s="1" t="n">
        <v>46307</v>
      </c>
      <c r="F1409" t="inlineStr">
        <is>
          <t>GÄVLEBORGS LÄN</t>
        </is>
      </c>
      <c r="G1409" t="inlineStr">
        <is>
          <t>HUDIKSVALL</t>
        </is>
      </c>
      <c r="I1409" t="n">
        <v>3.7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s="2" t="inlineStr"/>
    </row>
    <row r="1410" ht="15" customHeight="1">
      <c r="A1410" t="inlineStr">
        <is>
          <t>A 28075-2026</t>
        </is>
      </c>
      <c r="B1410" t="inlineStr">
        <is>
          <t>avverkningsanmälan</t>
        </is>
      </c>
      <c r="C1410" t="inlineStr">
        <is>
          <t>Föryngringsavverkning</t>
        </is>
      </c>
      <c r="D1410" s="1" t="n">
        <v>46195</v>
      </c>
      <c r="E1410" s="1" t="n">
        <v>46307</v>
      </c>
      <c r="F1410" t="inlineStr">
        <is>
          <t>GÄVLEBORGS LÄN</t>
        </is>
      </c>
      <c r="G1410" t="inlineStr">
        <is>
          <t>HUDIKSVALL</t>
        </is>
      </c>
      <c r="H1410" t="inlineStr">
        <is>
          <t>Kommuner</t>
        </is>
      </c>
      <c r="I1410" t="n">
        <v>1.1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s="2" t="inlineStr"/>
    </row>
    <row r="1411" ht="15" customHeight="1">
      <c r="A1411" t="inlineStr">
        <is>
          <t>A 28071-2026</t>
        </is>
      </c>
      <c r="B1411" t="inlineStr">
        <is>
          <t>avverkningsanmälan</t>
        </is>
      </c>
      <c r="C1411" t="inlineStr">
        <is>
          <t>Föryngringsavverkning</t>
        </is>
      </c>
      <c r="D1411" s="1" t="n">
        <v>46195</v>
      </c>
      <c r="E1411" s="1" t="n">
        <v>46307</v>
      </c>
      <c r="F1411" t="inlineStr">
        <is>
          <t>GÄVLEBORGS LÄN</t>
        </is>
      </c>
      <c r="G1411" t="inlineStr">
        <is>
          <t>HUDIKSVALL</t>
        </is>
      </c>
      <c r="H1411" t="inlineStr">
        <is>
          <t>Kommuner</t>
        </is>
      </c>
      <c r="I1411" t="n">
        <v>0.7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s="2" t="inlineStr"/>
    </row>
    <row r="1412" ht="15" customHeight="1">
      <c r="A1412" t="inlineStr">
        <is>
          <t>A 20253-2026</t>
        </is>
      </c>
      <c r="B1412" t="inlineStr">
        <is>
          <t>avverkningsanmälan</t>
        </is>
      </c>
      <c r="C1412" t="inlineStr">
        <is>
          <t>Föryngringsavverkning</t>
        </is>
      </c>
      <c r="D1412" s="1" t="n">
        <v>46139</v>
      </c>
      <c r="E1412" s="1" t="n">
        <v>46307</v>
      </c>
      <c r="F1412" t="inlineStr">
        <is>
          <t>GÄVLEBORGS LÄN</t>
        </is>
      </c>
      <c r="G1412" t="inlineStr">
        <is>
          <t>HUDIKSVALL</t>
        </is>
      </c>
      <c r="H1412" t="inlineStr">
        <is>
          <t>Holmen skog AB</t>
        </is>
      </c>
      <c r="I1412" t="n">
        <v>3.4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s="2" t="inlineStr"/>
    </row>
    <row r="1413" ht="15" customHeight="1">
      <c r="A1413" t="inlineStr">
        <is>
          <t>A 28409-2026</t>
        </is>
      </c>
      <c r="B1413" t="inlineStr">
        <is>
          <t>avverkningsanmälan</t>
        </is>
      </c>
      <c r="C1413" t="inlineStr">
        <is>
          <t>Föryngringsavverkning</t>
        </is>
      </c>
      <c r="D1413" s="1" t="n">
        <v>46197</v>
      </c>
      <c r="E1413" s="1" t="n">
        <v>46307</v>
      </c>
      <c r="F1413" t="inlineStr">
        <is>
          <t>GÄVLEBORGS LÄN</t>
        </is>
      </c>
      <c r="G1413" t="inlineStr">
        <is>
          <t>HUDIKSVALL</t>
        </is>
      </c>
      <c r="H1413" t="inlineStr">
        <is>
          <t>Holmen skog AB</t>
        </is>
      </c>
      <c r="I1413" t="n">
        <v>3.1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s="2" t="inlineStr"/>
    </row>
    <row r="1414" ht="15" customHeight="1">
      <c r="A1414" t="inlineStr">
        <is>
          <t>A 28540-2026</t>
        </is>
      </c>
      <c r="B1414" t="inlineStr">
        <is>
          <t>avverkningsanmälan</t>
        </is>
      </c>
      <c r="C1414" t="inlineStr">
        <is>
          <t>Föryngringsavverkning</t>
        </is>
      </c>
      <c r="D1414" s="1" t="n">
        <v>46197</v>
      </c>
      <c r="E1414" s="1" t="n">
        <v>46307</v>
      </c>
      <c r="F1414" t="inlineStr">
        <is>
          <t>GÄVLEBORGS LÄN</t>
        </is>
      </c>
      <c r="G1414" t="inlineStr">
        <is>
          <t>HUDIKSVALL</t>
        </is>
      </c>
      <c r="I1414" t="n">
        <v>1.5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s="2" t="inlineStr"/>
    </row>
    <row r="1415" ht="15" customHeight="1">
      <c r="A1415" t="inlineStr">
        <is>
          <t>A 28539-2026</t>
        </is>
      </c>
      <c r="B1415" t="inlineStr">
        <is>
          <t>avverkningsanmälan</t>
        </is>
      </c>
      <c r="C1415" t="inlineStr">
        <is>
          <t>Föryngringsavverkning</t>
        </is>
      </c>
      <c r="D1415" s="1" t="n">
        <v>46197</v>
      </c>
      <c r="E1415" s="1" t="n">
        <v>46307</v>
      </c>
      <c r="F1415" t="inlineStr">
        <is>
          <t>GÄVLEBORGS LÄN</t>
        </is>
      </c>
      <c r="G1415" t="inlineStr">
        <is>
          <t>HUDIKSVALL</t>
        </is>
      </c>
      <c r="I1415" t="n">
        <v>4.3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s="2" t="inlineStr"/>
    </row>
    <row r="1416" ht="15" customHeight="1">
      <c r="A1416" t="inlineStr">
        <is>
          <t>A 28333-2026</t>
        </is>
      </c>
      <c r="B1416" t="inlineStr">
        <is>
          <t>avverkningsanmälan</t>
        </is>
      </c>
      <c r="C1416" t="inlineStr">
        <is>
          <t>Föryngringsavverkning</t>
        </is>
      </c>
      <c r="D1416" s="1" t="n">
        <v>46196</v>
      </c>
      <c r="E1416" s="1" t="n">
        <v>46307</v>
      </c>
      <c r="F1416" t="inlineStr">
        <is>
          <t>GÄVLEBORGS LÄN</t>
        </is>
      </c>
      <c r="G1416" t="inlineStr">
        <is>
          <t>HUDIKSVALL</t>
        </is>
      </c>
      <c r="I1416" t="n">
        <v>0.7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s="2" t="inlineStr"/>
    </row>
    <row r="1417" ht="15" customHeight="1">
      <c r="A1417" t="inlineStr">
        <is>
          <t>A 28315-2026</t>
        </is>
      </c>
      <c r="B1417" t="inlineStr">
        <is>
          <t>avverkningsanmälan</t>
        </is>
      </c>
      <c r="C1417" t="inlineStr">
        <is>
          <t>Föryngringsavverkning</t>
        </is>
      </c>
      <c r="D1417" s="1" t="n">
        <v>46196</v>
      </c>
      <c r="E1417" s="1" t="n">
        <v>46307</v>
      </c>
      <c r="F1417" t="inlineStr">
        <is>
          <t>GÄVLEBORGS LÄN</t>
        </is>
      </c>
      <c r="G1417" t="inlineStr">
        <is>
          <t>HUDIKSVALL</t>
        </is>
      </c>
      <c r="H1417" t="inlineStr">
        <is>
          <t>Holmen skog AB</t>
        </is>
      </c>
      <c r="I1417" t="n">
        <v>1.7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s="2" t="inlineStr"/>
    </row>
    <row r="1418" ht="15" customHeight="1">
      <c r="A1418" t="inlineStr">
        <is>
          <t>A 28680-2026</t>
        </is>
      </c>
      <c r="B1418" t="inlineStr">
        <is>
          <t>avverkningsanmälan</t>
        </is>
      </c>
      <c r="C1418" t="inlineStr">
        <is>
          <t>Avverkning för annat ändamål</t>
        </is>
      </c>
      <c r="D1418" s="1" t="n">
        <v>46198</v>
      </c>
      <c r="E1418" s="1" t="n">
        <v>46307</v>
      </c>
      <c r="F1418" t="inlineStr">
        <is>
          <t>GÄVLEBORGS LÄN</t>
        </is>
      </c>
      <c r="G1418" t="inlineStr">
        <is>
          <t>HUDIKSVALL</t>
        </is>
      </c>
      <c r="I1418" t="n">
        <v>0.9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s="2" t="inlineStr"/>
    </row>
    <row r="1419" ht="15" customHeight="1">
      <c r="A1419" t="inlineStr">
        <is>
          <t>A 28798-2026</t>
        </is>
      </c>
      <c r="B1419" t="inlineStr">
        <is>
          <t>avverkningsanmälan</t>
        </is>
      </c>
      <c r="C1419" t="inlineStr">
        <is>
          <t>Föryngringsavverkning</t>
        </is>
      </c>
      <c r="D1419" s="1" t="n">
        <v>46198</v>
      </c>
      <c r="E1419" s="1" t="n">
        <v>46307</v>
      </c>
      <c r="F1419" t="inlineStr">
        <is>
          <t>GÄVLEBORGS LÄN</t>
        </is>
      </c>
      <c r="G1419" t="inlineStr">
        <is>
          <t>HUDIKSVALL</t>
        </is>
      </c>
      <c r="I1419" t="n">
        <v>0.9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s="2" t="inlineStr"/>
    </row>
    <row r="1420" ht="15" customHeight="1">
      <c r="A1420" t="inlineStr">
        <is>
          <t>A 29341-2026</t>
        </is>
      </c>
      <c r="B1420" t="inlineStr">
        <is>
          <t>avverkningsanmälan</t>
        </is>
      </c>
      <c r="C1420" t="inlineStr">
        <is>
          <t>Föryngringsavverkning</t>
        </is>
      </c>
      <c r="D1420" s="1" t="n">
        <v>46202</v>
      </c>
      <c r="E1420" s="1" t="n">
        <v>46307</v>
      </c>
      <c r="F1420" t="inlineStr">
        <is>
          <t>GÄVLEBORGS LÄN</t>
        </is>
      </c>
      <c r="G1420" t="inlineStr">
        <is>
          <t>HUDIKSVALL</t>
        </is>
      </c>
      <c r="H1420" t="inlineStr">
        <is>
          <t>Holmen skog AB</t>
        </is>
      </c>
      <c r="I1420" t="n">
        <v>6.1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s="2" t="inlineStr"/>
    </row>
    <row r="1421" ht="15" customHeight="1">
      <c r="A1421" t="inlineStr">
        <is>
          <t>A 29344-2026</t>
        </is>
      </c>
      <c r="B1421" t="inlineStr">
        <is>
          <t>avverkningsanmälan</t>
        </is>
      </c>
      <c r="C1421" t="inlineStr">
        <is>
          <t>Föryngringsavverkning</t>
        </is>
      </c>
      <c r="D1421" s="1" t="n">
        <v>46202</v>
      </c>
      <c r="E1421" s="1" t="n">
        <v>46307</v>
      </c>
      <c r="F1421" t="inlineStr">
        <is>
          <t>GÄVLEBORGS LÄN</t>
        </is>
      </c>
      <c r="G1421" t="inlineStr">
        <is>
          <t>HUDIKSVALL</t>
        </is>
      </c>
      <c r="I1421" t="n">
        <v>3.2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s="2" t="inlineStr"/>
    </row>
    <row r="1422" ht="15" customHeight="1">
      <c r="A1422" t="inlineStr">
        <is>
          <t>A 29808-2026</t>
        </is>
      </c>
      <c r="B1422" t="inlineStr">
        <is>
          <t>avverkningsanmälan</t>
        </is>
      </c>
      <c r="C1422" t="inlineStr">
        <is>
          <t>Föryngringsavverkning</t>
        </is>
      </c>
      <c r="D1422" s="1" t="n">
        <v>46205</v>
      </c>
      <c r="E1422" s="1" t="n">
        <v>46307</v>
      </c>
      <c r="F1422" t="inlineStr">
        <is>
          <t>GÄVLEBORGS LÄN</t>
        </is>
      </c>
      <c r="G1422" t="inlineStr">
        <is>
          <t>HUDIKSVALL</t>
        </is>
      </c>
      <c r="I1422" t="n">
        <v>1.2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s="2" t="inlineStr"/>
    </row>
    <row r="1423" ht="15" customHeight="1">
      <c r="A1423" t="inlineStr">
        <is>
          <t>A 29801-2026</t>
        </is>
      </c>
      <c r="B1423" t="inlineStr">
        <is>
          <t>avverkningsanmälan</t>
        </is>
      </c>
      <c r="C1423" t="inlineStr">
        <is>
          <t>Föryngringsavverkning</t>
        </is>
      </c>
      <c r="D1423" s="1" t="n">
        <v>46205</v>
      </c>
      <c r="E1423" s="1" t="n">
        <v>46307</v>
      </c>
      <c r="F1423" t="inlineStr">
        <is>
          <t>GÄVLEBORGS LÄN</t>
        </is>
      </c>
      <c r="G1423" t="inlineStr">
        <is>
          <t>HUDIKSVALL</t>
        </is>
      </c>
      <c r="I1423" t="n">
        <v>1.7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s="2" t="inlineStr"/>
    </row>
    <row r="1424" ht="15" customHeight="1">
      <c r="A1424" t="inlineStr">
        <is>
          <t>A 29554-2026</t>
        </is>
      </c>
      <c r="B1424" t="inlineStr">
        <is>
          <t>avverkningsanmälan</t>
        </is>
      </c>
      <c r="C1424" t="inlineStr">
        <is>
          <t>Föryngringsavverkning</t>
        </is>
      </c>
      <c r="D1424" s="1" t="n">
        <v>46204</v>
      </c>
      <c r="E1424" s="1" t="n">
        <v>46307</v>
      </c>
      <c r="F1424" t="inlineStr">
        <is>
          <t>GÄVLEBORGS LÄN</t>
        </is>
      </c>
      <c r="G1424" t="inlineStr">
        <is>
          <t>HUDIKSVALL</t>
        </is>
      </c>
      <c r="H1424" t="inlineStr">
        <is>
          <t>Holmen skog AB</t>
        </is>
      </c>
      <c r="I1424" t="n">
        <v>9.800000000000001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s="2" t="inlineStr"/>
    </row>
    <row r="1425" ht="15" customHeight="1">
      <c r="A1425" t="inlineStr">
        <is>
          <t>A 29790-2026</t>
        </is>
      </c>
      <c r="B1425" t="inlineStr">
        <is>
          <t>avverkningsanmälan</t>
        </is>
      </c>
      <c r="C1425" t="inlineStr">
        <is>
          <t>Föryngringsavverkning</t>
        </is>
      </c>
      <c r="D1425" s="1" t="n">
        <v>46205</v>
      </c>
      <c r="E1425" s="1" t="n">
        <v>46307</v>
      </c>
      <c r="F1425" t="inlineStr">
        <is>
          <t>GÄVLEBORGS LÄN</t>
        </is>
      </c>
      <c r="G1425" t="inlineStr">
        <is>
          <t>HUDIKSVALL</t>
        </is>
      </c>
      <c r="I1425" t="n">
        <v>6.2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s="2" t="inlineStr"/>
    </row>
    <row r="1426" ht="15" customHeight="1">
      <c r="A1426" t="inlineStr">
        <is>
          <t>A 29574-2026</t>
        </is>
      </c>
      <c r="B1426" t="inlineStr">
        <is>
          <t>avverkningsanmälan</t>
        </is>
      </c>
      <c r="C1426" t="inlineStr">
        <is>
          <t>Föryngringsavverkning</t>
        </is>
      </c>
      <c r="D1426" s="1" t="n">
        <v>46204</v>
      </c>
      <c r="E1426" s="1" t="n">
        <v>46307</v>
      </c>
      <c r="F1426" t="inlineStr">
        <is>
          <t>GÄVLEBORGS LÄN</t>
        </is>
      </c>
      <c r="G1426" t="inlineStr">
        <is>
          <t>HUDIKSVALL</t>
        </is>
      </c>
      <c r="H1426" t="inlineStr">
        <is>
          <t>Holmen skog AB</t>
        </is>
      </c>
      <c r="I1426" t="n">
        <v>6.5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s="2" t="inlineStr"/>
    </row>
    <row r="1427" ht="15" customHeight="1">
      <c r="A1427" t="inlineStr">
        <is>
          <t>A 29797-2026</t>
        </is>
      </c>
      <c r="B1427" t="inlineStr">
        <is>
          <t>avverkningsanmälan</t>
        </is>
      </c>
      <c r="C1427" t="inlineStr">
        <is>
          <t>Föryngringsavverkning</t>
        </is>
      </c>
      <c r="D1427" s="1" t="n">
        <v>46205</v>
      </c>
      <c r="E1427" s="1" t="n">
        <v>46307</v>
      </c>
      <c r="F1427" t="inlineStr">
        <is>
          <t>GÄVLEBORGS LÄN</t>
        </is>
      </c>
      <c r="G1427" t="inlineStr">
        <is>
          <t>HUDIKSVALL</t>
        </is>
      </c>
      <c r="I1427" t="n">
        <v>1.4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s="2" t="inlineStr"/>
    </row>
    <row r="1428" ht="15" customHeight="1">
      <c r="A1428" t="inlineStr">
        <is>
          <t>A 30348-2026</t>
        </is>
      </c>
      <c r="B1428" t="inlineStr">
        <is>
          <t>avverkningsanmälan</t>
        </is>
      </c>
      <c r="C1428" t="inlineStr">
        <is>
          <t>Föryngringsavverkning</t>
        </is>
      </c>
      <c r="D1428" s="1" t="n">
        <v>46209</v>
      </c>
      <c r="E1428" s="1" t="n">
        <v>46307</v>
      </c>
      <c r="F1428" t="inlineStr">
        <is>
          <t>GÄVLEBORGS LÄN</t>
        </is>
      </c>
      <c r="G1428" t="inlineStr">
        <is>
          <t>HUDIKSVALL</t>
        </is>
      </c>
      <c r="I1428" t="n">
        <v>1.1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s="2" t="inlineStr"/>
    </row>
    <row r="1429" ht="15" customHeight="1">
      <c r="A1429" t="inlineStr">
        <is>
          <t>A 30351-2026</t>
        </is>
      </c>
      <c r="B1429" t="inlineStr">
        <is>
          <t>avverkningsanmälan</t>
        </is>
      </c>
      <c r="C1429" t="inlineStr">
        <is>
          <t>Föryngringsavverkning</t>
        </is>
      </c>
      <c r="D1429" s="1" t="n">
        <v>46209</v>
      </c>
      <c r="E1429" s="1" t="n">
        <v>46307</v>
      </c>
      <c r="F1429" t="inlineStr">
        <is>
          <t>GÄVLEBORGS LÄN</t>
        </is>
      </c>
      <c r="G1429" t="inlineStr">
        <is>
          <t>HUDIKSVALL</t>
        </is>
      </c>
      <c r="I1429" t="n">
        <v>0.6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s="2" t="inlineStr"/>
    </row>
    <row r="1430" ht="15" customHeight="1">
      <c r="A1430" t="inlineStr">
        <is>
          <t>A 30349-2026</t>
        </is>
      </c>
      <c r="B1430" t="inlineStr">
        <is>
          <t>avverkningsanmälan</t>
        </is>
      </c>
      <c r="C1430" t="inlineStr">
        <is>
          <t>Föryngringsavverkning</t>
        </is>
      </c>
      <c r="D1430" s="1" t="n">
        <v>46209</v>
      </c>
      <c r="E1430" s="1" t="n">
        <v>46307</v>
      </c>
      <c r="F1430" t="inlineStr">
        <is>
          <t>GÄVLEBORGS LÄN</t>
        </is>
      </c>
      <c r="G1430" t="inlineStr">
        <is>
          <t>HUDIKSVALL</t>
        </is>
      </c>
      <c r="I1430" t="n">
        <v>0.5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s="2" t="inlineStr"/>
    </row>
    <row r="1431" ht="15" customHeight="1">
      <c r="A1431" t="inlineStr">
        <is>
          <t>A 30345-2026</t>
        </is>
      </c>
      <c r="B1431" t="inlineStr">
        <is>
          <t>avverkningsanmälan</t>
        </is>
      </c>
      <c r="C1431" t="inlineStr">
        <is>
          <t>Föryngringsavverkning</t>
        </is>
      </c>
      <c r="D1431" s="1" t="n">
        <v>46209</v>
      </c>
      <c r="E1431" s="1" t="n">
        <v>46307</v>
      </c>
      <c r="F1431" t="inlineStr">
        <is>
          <t>GÄVLEBORGS LÄN</t>
        </is>
      </c>
      <c r="G1431" t="inlineStr">
        <is>
          <t>HUDIKSVALL</t>
        </is>
      </c>
      <c r="I1431" t="n">
        <v>2.7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s="2" t="inlineStr"/>
    </row>
    <row r="1432" ht="15" customHeight="1">
      <c r="A1432" t="inlineStr">
        <is>
          <t>A 30519-2026</t>
        </is>
      </c>
      <c r="B1432" t="inlineStr">
        <is>
          <t>avverkningsanmälan</t>
        </is>
      </c>
      <c r="C1432" t="inlineStr">
        <is>
          <t>Föryngringsavverkning</t>
        </is>
      </c>
      <c r="D1432" s="1" t="n">
        <v>46210</v>
      </c>
      <c r="E1432" s="1" t="n">
        <v>46307</v>
      </c>
      <c r="F1432" t="inlineStr">
        <is>
          <t>GÄVLEBORGS LÄN</t>
        </is>
      </c>
      <c r="G1432" t="inlineStr">
        <is>
          <t>HUDIKSVALL</t>
        </is>
      </c>
      <c r="I1432" t="n">
        <v>0.6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s="2" t="inlineStr"/>
    </row>
    <row r="1433" ht="15" customHeight="1">
      <c r="A1433" t="inlineStr">
        <is>
          <t>A 30491-2026</t>
        </is>
      </c>
      <c r="B1433" t="inlineStr">
        <is>
          <t>avverkningsanmälan</t>
        </is>
      </c>
      <c r="C1433" t="inlineStr">
        <is>
          <t>Föryngringsavverkning</t>
        </is>
      </c>
      <c r="D1433" s="1" t="n">
        <v>46210</v>
      </c>
      <c r="E1433" s="1" t="n">
        <v>46307</v>
      </c>
      <c r="F1433" t="inlineStr">
        <is>
          <t>GÄVLEBORGS LÄN</t>
        </is>
      </c>
      <c r="G1433" t="inlineStr">
        <is>
          <t>HUDIKSVALL</t>
        </is>
      </c>
      <c r="I1433" t="n">
        <v>0.4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s="2" t="inlineStr"/>
    </row>
    <row r="1434" ht="15" customHeight="1">
      <c r="A1434" t="inlineStr">
        <is>
          <t>A 35769-2026</t>
        </is>
      </c>
      <c r="B1434" t="inlineStr">
        <is>
          <t>avverkningsanmälan</t>
        </is>
      </c>
      <c r="C1434" t="inlineStr">
        <is>
          <t>Föryngringsavverkning</t>
        </is>
      </c>
      <c r="D1434" s="1" t="n">
        <v>46265</v>
      </c>
      <c r="E1434" s="1" t="n">
        <v>46307</v>
      </c>
      <c r="F1434" t="inlineStr">
        <is>
          <t>GÄVLEBORGS LÄN</t>
        </is>
      </c>
      <c r="G1434" t="inlineStr">
        <is>
          <t>HUDIKSVALL</t>
        </is>
      </c>
      <c r="I1434" t="n">
        <v>0.9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s="2" t="inlineStr"/>
    </row>
    <row r="1435" ht="15" customHeight="1">
      <c r="A1435" t="inlineStr">
        <is>
          <t>A 35767-2026</t>
        </is>
      </c>
      <c r="B1435" t="inlineStr">
        <is>
          <t>avverkningsanmälan</t>
        </is>
      </c>
      <c r="C1435" t="inlineStr">
        <is>
          <t>Föryngringsavverkning</t>
        </is>
      </c>
      <c r="D1435" s="1" t="n">
        <v>46265</v>
      </c>
      <c r="E1435" s="1" t="n">
        <v>46307</v>
      </c>
      <c r="F1435" t="inlineStr">
        <is>
          <t>GÄVLEBORGS LÄN</t>
        </is>
      </c>
      <c r="G1435" t="inlineStr">
        <is>
          <t>HUDIKSVALL</t>
        </is>
      </c>
      <c r="I1435" t="n">
        <v>1.4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s="2" t="inlineStr"/>
    </row>
    <row r="1436" ht="15" customHeight="1">
      <c r="A1436" t="inlineStr">
        <is>
          <t>A 7976-2026</t>
        </is>
      </c>
      <c r="B1436" t="inlineStr">
        <is>
          <t>avverkningsanmälan</t>
        </is>
      </c>
      <c r="C1436" t="inlineStr">
        <is>
          <t>Föryngringsavverkning</t>
        </is>
      </c>
      <c r="D1436" s="1" t="n">
        <v>46063</v>
      </c>
      <c r="E1436" s="1" t="n">
        <v>46307</v>
      </c>
      <c r="F1436" t="inlineStr">
        <is>
          <t>GÄVLEBORGS LÄN</t>
        </is>
      </c>
      <c r="G1436" t="inlineStr">
        <is>
          <t>HUDIKSVALL</t>
        </is>
      </c>
      <c r="I1436" t="n">
        <v>1.5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s="2" t="inlineStr"/>
    </row>
    <row r="1437" ht="15" customHeight="1">
      <c r="A1437" t="inlineStr">
        <is>
          <t>A 7652-2026</t>
        </is>
      </c>
      <c r="B1437" t="inlineStr">
        <is>
          <t>avverkningsanmälan</t>
        </is>
      </c>
      <c r="C1437" t="inlineStr">
        <is>
          <t>Föryngringsavverkning</t>
        </is>
      </c>
      <c r="D1437" s="1" t="n">
        <v>46062</v>
      </c>
      <c r="E1437" s="1" t="n">
        <v>46307</v>
      </c>
      <c r="F1437" t="inlineStr">
        <is>
          <t>GÄVLEBORGS LÄN</t>
        </is>
      </c>
      <c r="G1437" t="inlineStr">
        <is>
          <t>HUDIKSVALL</t>
        </is>
      </c>
      <c r="I1437" t="n">
        <v>3.3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s="2" t="inlineStr"/>
    </row>
    <row r="1438" ht="15" customHeight="1">
      <c r="A1438" t="inlineStr">
        <is>
          <t>A 31435-2026</t>
        </is>
      </c>
      <c r="B1438" t="inlineStr">
        <is>
          <t>avverkningsanmälan</t>
        </is>
      </c>
      <c r="C1438" t="inlineStr">
        <is>
          <t>Föryngringsavverkning</t>
        </is>
      </c>
      <c r="D1438" s="1" t="n">
        <v>46220</v>
      </c>
      <c r="E1438" s="1" t="n">
        <v>46307</v>
      </c>
      <c r="F1438" t="inlineStr">
        <is>
          <t>GÄVLEBORGS LÄN</t>
        </is>
      </c>
      <c r="G1438" t="inlineStr">
        <is>
          <t>HUDIKSVALL</t>
        </is>
      </c>
      <c r="I1438" t="n">
        <v>1.5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s="2" t="inlineStr"/>
    </row>
    <row r="1439" ht="15" customHeight="1">
      <c r="A1439" t="inlineStr">
        <is>
          <t>A 36318-2026</t>
        </is>
      </c>
      <c r="B1439" t="inlineStr">
        <is>
          <t>avverkningsanmälan</t>
        </is>
      </c>
      <c r="C1439" t="inlineStr">
        <is>
          <t>Föryngringsavverkning</t>
        </is>
      </c>
      <c r="D1439" s="1" t="n">
        <v>46268</v>
      </c>
      <c r="E1439" s="1" t="n">
        <v>46307</v>
      </c>
      <c r="F1439" t="inlineStr">
        <is>
          <t>GÄVLEBORGS LÄN</t>
        </is>
      </c>
      <c r="G1439" t="inlineStr">
        <is>
          <t>HUDIKSVALL</t>
        </is>
      </c>
      <c r="I1439" t="n">
        <v>2.6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s="2" t="inlineStr"/>
    </row>
    <row r="1440" ht="15" customHeight="1">
      <c r="A1440" t="inlineStr">
        <is>
          <t>A 31662-2026</t>
        </is>
      </c>
      <c r="B1440" t="inlineStr">
        <is>
          <t>avverkningsanmälan</t>
        </is>
      </c>
      <c r="C1440" t="inlineStr">
        <is>
          <t>Föryngringsavverkning</t>
        </is>
      </c>
      <c r="D1440" s="1" t="n">
        <v>46225</v>
      </c>
      <c r="E1440" s="1" t="n">
        <v>46307</v>
      </c>
      <c r="F1440" t="inlineStr">
        <is>
          <t>GÄVLEBORGS LÄN</t>
        </is>
      </c>
      <c r="G1440" t="inlineStr">
        <is>
          <t>HUDIKSVALL</t>
        </is>
      </c>
      <c r="H1440" t="inlineStr">
        <is>
          <t>Holmen skog AB</t>
        </is>
      </c>
      <c r="I1440" t="n">
        <v>12.1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s="2" t="inlineStr"/>
    </row>
    <row r="1441" ht="15" customHeight="1">
      <c r="A1441" t="inlineStr">
        <is>
          <t>A 36357-2026</t>
        </is>
      </c>
      <c r="B1441" t="inlineStr">
        <is>
          <t>avverkningsanmälan</t>
        </is>
      </c>
      <c r="C1441" t="inlineStr">
        <is>
          <t>Föryngringsavverkning</t>
        </is>
      </c>
      <c r="D1441" s="1" t="n">
        <v>46268</v>
      </c>
      <c r="E1441" s="1" t="n">
        <v>46307</v>
      </c>
      <c r="F1441" t="inlineStr">
        <is>
          <t>GÄVLEBORGS LÄN</t>
        </is>
      </c>
      <c r="G1441" t="inlineStr">
        <is>
          <t>HUDIKSVALL</t>
        </is>
      </c>
      <c r="I1441" t="n">
        <v>2.1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s="2" t="inlineStr"/>
    </row>
    <row r="1442" ht="15" customHeight="1">
      <c r="A1442" t="inlineStr">
        <is>
          <t>A 31663-2026</t>
        </is>
      </c>
      <c r="B1442" t="inlineStr">
        <is>
          <t>avverkningsanmälan</t>
        </is>
      </c>
      <c r="C1442" t="inlineStr">
        <is>
          <t>Föryngringsavverkning</t>
        </is>
      </c>
      <c r="D1442" s="1" t="n">
        <v>46225</v>
      </c>
      <c r="E1442" s="1" t="n">
        <v>46307</v>
      </c>
      <c r="F1442" t="inlineStr">
        <is>
          <t>GÄVLEBORGS LÄN</t>
        </is>
      </c>
      <c r="G1442" t="inlineStr">
        <is>
          <t>HUDIKSVALL</t>
        </is>
      </c>
      <c r="H1442" t="inlineStr">
        <is>
          <t>Holmen skog AB</t>
        </is>
      </c>
      <c r="I1442" t="n">
        <v>2.4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s="2" t="inlineStr"/>
    </row>
    <row r="1443" ht="15" customHeight="1">
      <c r="A1443" t="inlineStr">
        <is>
          <t>A 36042-2026</t>
        </is>
      </c>
      <c r="B1443" t="inlineStr">
        <is>
          <t>avverkningsanmälan</t>
        </is>
      </c>
      <c r="C1443" t="inlineStr">
        <is>
          <t>Föryngringsavverkning</t>
        </is>
      </c>
      <c r="D1443" s="1" t="n">
        <v>46267</v>
      </c>
      <c r="E1443" s="1" t="n">
        <v>46307</v>
      </c>
      <c r="F1443" t="inlineStr">
        <is>
          <t>GÄVLEBORGS LÄN</t>
        </is>
      </c>
      <c r="G1443" t="inlineStr">
        <is>
          <t>HUDIKSVALL</t>
        </is>
      </c>
      <c r="I1443" t="n">
        <v>1.2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s="2" t="inlineStr"/>
    </row>
    <row r="1444" ht="15" customHeight="1">
      <c r="A1444" t="inlineStr">
        <is>
          <t>A 31686-2026</t>
        </is>
      </c>
      <c r="B1444" t="inlineStr">
        <is>
          <t>avverkningsanmälan</t>
        </is>
      </c>
      <c r="C1444" t="inlineStr">
        <is>
          <t>Föryngringsavverkning</t>
        </is>
      </c>
      <c r="D1444" s="1" t="n">
        <v>46226</v>
      </c>
      <c r="E1444" s="1" t="n">
        <v>46307</v>
      </c>
      <c r="F1444" t="inlineStr">
        <is>
          <t>GÄVLEBORGS LÄN</t>
        </is>
      </c>
      <c r="G1444" t="inlineStr">
        <is>
          <t>HUDIKSVALL</t>
        </is>
      </c>
      <c r="H1444" t="inlineStr">
        <is>
          <t>Naturvårdsverket</t>
        </is>
      </c>
      <c r="I1444" t="n">
        <v>1.6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s="2" t="inlineStr"/>
    </row>
    <row r="1445" ht="15" customHeight="1">
      <c r="A1445" t="inlineStr">
        <is>
          <t>A 36730-2026</t>
        </is>
      </c>
      <c r="B1445" t="inlineStr">
        <is>
          <t>avverkningsanmälan</t>
        </is>
      </c>
      <c r="C1445" t="inlineStr">
        <is>
          <t>Föryngringsavverkning</t>
        </is>
      </c>
      <c r="D1445" s="1" t="n">
        <v>46272</v>
      </c>
      <c r="E1445" s="1" t="n">
        <v>46307</v>
      </c>
      <c r="F1445" t="inlineStr">
        <is>
          <t>GÄVLEBORGS LÄN</t>
        </is>
      </c>
      <c r="G1445" t="inlineStr">
        <is>
          <t>HUDIKSVALL</t>
        </is>
      </c>
      <c r="I1445" t="n">
        <v>4.2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s="2" t="inlineStr"/>
    </row>
    <row r="1446" ht="15" customHeight="1">
      <c r="A1446" t="inlineStr">
        <is>
          <t>A 36664-2026</t>
        </is>
      </c>
      <c r="B1446" t="inlineStr">
        <is>
          <t>avverkningsanmälan</t>
        </is>
      </c>
      <c r="C1446" t="inlineStr">
        <is>
          <t>Föryngringsavverkning</t>
        </is>
      </c>
      <c r="D1446" s="1" t="n">
        <v>46272</v>
      </c>
      <c r="E1446" s="1" t="n">
        <v>46307</v>
      </c>
      <c r="F1446" t="inlineStr">
        <is>
          <t>GÄVLEBORGS LÄN</t>
        </is>
      </c>
      <c r="G1446" t="inlineStr">
        <is>
          <t>HUDIKSVALL</t>
        </is>
      </c>
      <c r="H1446" t="inlineStr">
        <is>
          <t>Holmen skog AB</t>
        </is>
      </c>
      <c r="I1446" t="n">
        <v>4.3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s="2" t="inlineStr"/>
    </row>
    <row r="1447" ht="15" customHeight="1">
      <c r="A1447" t="inlineStr">
        <is>
          <t>A 37009-2026</t>
        </is>
      </c>
      <c r="B1447" t="inlineStr">
        <is>
          <t>avverkningsanmälan</t>
        </is>
      </c>
      <c r="C1447" t="inlineStr">
        <is>
          <t>Föryngringsavverkning</t>
        </is>
      </c>
      <c r="D1447" s="1" t="n">
        <v>46273</v>
      </c>
      <c r="E1447" s="1" t="n">
        <v>46307</v>
      </c>
      <c r="F1447" t="inlineStr">
        <is>
          <t>GÄVLEBORGS LÄN</t>
        </is>
      </c>
      <c r="G1447" t="inlineStr">
        <is>
          <t>HUDIKSVALL</t>
        </is>
      </c>
      <c r="I1447" t="n">
        <v>1.6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s="2" t="inlineStr"/>
    </row>
    <row r="1448" ht="15" customHeight="1">
      <c r="A1448" t="inlineStr">
        <is>
          <t>A 36894-2026</t>
        </is>
      </c>
      <c r="B1448" t="inlineStr">
        <is>
          <t>avverkningsanmälan</t>
        </is>
      </c>
      <c r="C1448" t="inlineStr">
        <is>
          <t>Föryngringsavverkning</t>
        </is>
      </c>
      <c r="D1448" s="1" t="n">
        <v>46273</v>
      </c>
      <c r="E1448" s="1" t="n">
        <v>46307</v>
      </c>
      <c r="F1448" t="inlineStr">
        <is>
          <t>GÄVLEBORGS LÄN</t>
        </is>
      </c>
      <c r="G1448" t="inlineStr">
        <is>
          <t>HUDIKSVALL</t>
        </is>
      </c>
      <c r="H1448" t="inlineStr">
        <is>
          <t>Holmen skog AB</t>
        </is>
      </c>
      <c r="I1448" t="n">
        <v>3.7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s="2" t="inlineStr"/>
    </row>
    <row r="1449" ht="15" customHeight="1">
      <c r="A1449" t="inlineStr">
        <is>
          <t>A 37154-2026</t>
        </is>
      </c>
      <c r="B1449" t="inlineStr">
        <is>
          <t>avverkningsanmälan</t>
        </is>
      </c>
      <c r="C1449" t="inlineStr">
        <is>
          <t>Föryngringsavverkning</t>
        </is>
      </c>
      <c r="D1449" s="1" t="n">
        <v>46274</v>
      </c>
      <c r="E1449" s="1" t="n">
        <v>46307</v>
      </c>
      <c r="F1449" t="inlineStr">
        <is>
          <t>GÄVLEBORGS LÄN</t>
        </is>
      </c>
      <c r="G1449" t="inlineStr">
        <is>
          <t>HUDIKSVALL</t>
        </is>
      </c>
      <c r="I1449" t="n">
        <v>1.5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s="2" t="inlineStr"/>
    </row>
    <row r="1450" ht="15" customHeight="1">
      <c r="A1450" t="inlineStr">
        <is>
          <t>A 37281-2026</t>
        </is>
      </c>
      <c r="B1450" t="inlineStr">
        <is>
          <t>avverkningsanmälan</t>
        </is>
      </c>
      <c r="C1450" t="inlineStr">
        <is>
          <t>Föryngringsavverkning</t>
        </is>
      </c>
      <c r="D1450" s="1" t="n">
        <v>46274</v>
      </c>
      <c r="E1450" s="1" t="n">
        <v>46307</v>
      </c>
      <c r="F1450" t="inlineStr">
        <is>
          <t>GÄVLEBORGS LÄN</t>
        </is>
      </c>
      <c r="G1450" t="inlineStr">
        <is>
          <t>HUDIKSVALL</t>
        </is>
      </c>
      <c r="H1450" t="inlineStr">
        <is>
          <t>Holmen skog AB</t>
        </is>
      </c>
      <c r="I1450" t="n">
        <v>3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s="2" t="inlineStr"/>
    </row>
    <row r="1451" ht="15" customHeight="1">
      <c r="A1451" t="inlineStr">
        <is>
          <t>A 37637-2026</t>
        </is>
      </c>
      <c r="B1451" t="inlineStr">
        <is>
          <t>avverkningsanmälan</t>
        </is>
      </c>
      <c r="C1451" t="inlineStr">
        <is>
          <t>Föryngringsavverkning</t>
        </is>
      </c>
      <c r="D1451" s="1" t="n">
        <v>46276</v>
      </c>
      <c r="E1451" s="1" t="n">
        <v>46307</v>
      </c>
      <c r="F1451" t="inlineStr">
        <is>
          <t>GÄVLEBORGS LÄN</t>
        </is>
      </c>
      <c r="G1451" t="inlineStr">
        <is>
          <t>HUDIKSVALL</t>
        </is>
      </c>
      <c r="H1451" t="inlineStr">
        <is>
          <t>Sveaskog</t>
        </is>
      </c>
      <c r="I1451" t="n">
        <v>0.8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s="2" t="inlineStr"/>
    </row>
    <row r="1452" ht="15" customHeight="1">
      <c r="A1452" t="inlineStr">
        <is>
          <t>A 32029-2026</t>
        </is>
      </c>
      <c r="B1452" t="inlineStr">
        <is>
          <t>avverkningsanmälan</t>
        </is>
      </c>
      <c r="C1452" t="inlineStr">
        <is>
          <t>Föryngringsavverkning</t>
        </is>
      </c>
      <c r="D1452" s="1" t="n">
        <v>46233</v>
      </c>
      <c r="E1452" s="1" t="n">
        <v>46307</v>
      </c>
      <c r="F1452" t="inlineStr">
        <is>
          <t>GÄVLEBORGS LÄN</t>
        </is>
      </c>
      <c r="G1452" t="inlineStr">
        <is>
          <t>HUDIKSVALL</t>
        </is>
      </c>
      <c r="H1452" t="inlineStr">
        <is>
          <t>Holmen skog AB</t>
        </is>
      </c>
      <c r="I1452" t="n">
        <v>5.6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s="2" t="inlineStr"/>
    </row>
    <row r="1453" ht="15" customHeight="1">
      <c r="A1453" t="inlineStr">
        <is>
          <t>A 32039-2026</t>
        </is>
      </c>
      <c r="B1453" t="inlineStr">
        <is>
          <t>avverkningsanmälan</t>
        </is>
      </c>
      <c r="C1453" t="inlineStr">
        <is>
          <t>Föryngringsavverkning</t>
        </is>
      </c>
      <c r="D1453" s="1" t="n">
        <v>46233</v>
      </c>
      <c r="E1453" s="1" t="n">
        <v>46307</v>
      </c>
      <c r="F1453" t="inlineStr">
        <is>
          <t>GÄVLEBORGS LÄN</t>
        </is>
      </c>
      <c r="G1453" t="inlineStr">
        <is>
          <t>HUDIKSVALL</t>
        </is>
      </c>
      <c r="H1453" t="inlineStr">
        <is>
          <t>Holmen skog AB</t>
        </is>
      </c>
      <c r="I1453" t="n">
        <v>3.2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s="2" t="inlineStr"/>
    </row>
    <row r="1454" ht="15" customHeight="1">
      <c r="A1454" t="inlineStr">
        <is>
          <t>A 37457-2026</t>
        </is>
      </c>
      <c r="B1454" t="inlineStr">
        <is>
          <t>avverkningsanmälan</t>
        </is>
      </c>
      <c r="C1454" t="inlineStr">
        <is>
          <t>Föryngringsavverkning</t>
        </is>
      </c>
      <c r="D1454" s="1" t="n">
        <v>46275</v>
      </c>
      <c r="E1454" s="1" t="n">
        <v>46307</v>
      </c>
      <c r="F1454" t="inlineStr">
        <is>
          <t>GÄVLEBORGS LÄN</t>
        </is>
      </c>
      <c r="G1454" t="inlineStr">
        <is>
          <t>HUDIKSVALL</t>
        </is>
      </c>
      <c r="H1454" t="inlineStr">
        <is>
          <t>Holmen skog AB</t>
        </is>
      </c>
      <c r="I1454" t="n">
        <v>1.3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s="2" t="inlineStr"/>
      <c r="Z1454">
        <f>HYPERLINK("https://klasma.github.io/Logging_2184/knärot/A 37457-2026 karta knärot.png", "A 37457-2026")</f>
        <v/>
      </c>
      <c r="AA1454">
        <f>HYPERLINK("https://klasma.github.io/Logging_2184/klagomål/A 37457-2026 FSC-klagomål.docx", "A 37457-2026")</f>
        <v/>
      </c>
      <c r="AB1454">
        <f>HYPERLINK("https://klasma.github.io/Logging_2184/klagomålsmail/A 37457-2026 FSC-klagomål mail.docx", "A 37457-2026")</f>
        <v/>
      </c>
      <c r="AC1454">
        <f>HYPERLINK("https://klasma.github.io/Logging_2184/tillsyn/A 37457-2026 tillsynsbegäran.docx", "A 37457-2026")</f>
        <v/>
      </c>
      <c r="AD1454">
        <f>HYPERLINK("https://klasma.github.io/Logging_2184/tillsynsmail/A 37457-2026 tillsynsbegäran mail.docx", "A 37457-2026")</f>
        <v/>
      </c>
    </row>
    <row r="1455" ht="15" customHeight="1">
      <c r="A1455" t="inlineStr">
        <is>
          <t>A 32015-2026</t>
        </is>
      </c>
      <c r="B1455" t="inlineStr">
        <is>
          <t>avverkningsanmälan</t>
        </is>
      </c>
      <c r="C1455" t="inlineStr">
        <is>
          <t>Föryngringsavverkning</t>
        </is>
      </c>
      <c r="D1455" s="1" t="n">
        <v>46233</v>
      </c>
      <c r="E1455" s="1" t="n">
        <v>46307</v>
      </c>
      <c r="F1455" t="inlineStr">
        <is>
          <t>GÄVLEBORGS LÄN</t>
        </is>
      </c>
      <c r="G1455" t="inlineStr">
        <is>
          <t>HUDIKSVALL</t>
        </is>
      </c>
      <c r="H1455" t="inlineStr">
        <is>
          <t>Holmen skog AB</t>
        </is>
      </c>
      <c r="I1455" t="n">
        <v>4.3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s="2" t="inlineStr"/>
    </row>
    <row r="1456" ht="15" customHeight="1">
      <c r="A1456" t="inlineStr">
        <is>
          <t>A 37959-2026</t>
        </is>
      </c>
      <c r="B1456" t="inlineStr">
        <is>
          <t>avverkningsanmälan</t>
        </is>
      </c>
      <c r="C1456" t="inlineStr">
        <is>
          <t>Avverkning för annat ändamål</t>
        </is>
      </c>
      <c r="D1456" s="1" t="n">
        <v>46280</v>
      </c>
      <c r="E1456" s="1" t="n">
        <v>46307</v>
      </c>
      <c r="F1456" t="inlineStr">
        <is>
          <t>GÄVLEBORGS LÄN</t>
        </is>
      </c>
      <c r="G1456" t="inlineStr">
        <is>
          <t>HUDIKSVALL</t>
        </is>
      </c>
      <c r="I1456" t="n">
        <v>0.4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s="2" t="inlineStr"/>
    </row>
    <row r="1457" ht="15" customHeight="1">
      <c r="A1457" t="inlineStr">
        <is>
          <t>A 32056-2026</t>
        </is>
      </c>
      <c r="B1457" t="inlineStr">
        <is>
          <t>avverkningsanmälan</t>
        </is>
      </c>
      <c r="C1457" t="inlineStr">
        <is>
          <t>Föryngringsavverkning</t>
        </is>
      </c>
      <c r="D1457" s="1" t="n">
        <v>46233</v>
      </c>
      <c r="E1457" s="1" t="n">
        <v>46307</v>
      </c>
      <c r="F1457" t="inlineStr">
        <is>
          <t>GÄVLEBORGS LÄN</t>
        </is>
      </c>
      <c r="G1457" t="inlineStr">
        <is>
          <t>HUDIKSVALL</t>
        </is>
      </c>
      <c r="H1457" t="inlineStr">
        <is>
          <t>Holmen skog AB</t>
        </is>
      </c>
      <c r="I1457" t="n">
        <v>4.3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s="2" t="inlineStr"/>
    </row>
    <row r="1458" ht="15" customHeight="1">
      <c r="A1458" t="inlineStr">
        <is>
          <t>A 32059-2026</t>
        </is>
      </c>
      <c r="B1458" t="inlineStr">
        <is>
          <t>avverkningsanmälan</t>
        </is>
      </c>
      <c r="C1458" t="inlineStr">
        <is>
          <t>Föryngringsavverkning</t>
        </is>
      </c>
      <c r="D1458" s="1" t="n">
        <v>46233</v>
      </c>
      <c r="E1458" s="1" t="n">
        <v>46307</v>
      </c>
      <c r="F1458" t="inlineStr">
        <is>
          <t>GÄVLEBORGS LÄN</t>
        </is>
      </c>
      <c r="G1458" t="inlineStr">
        <is>
          <t>HUDIKSVALL</t>
        </is>
      </c>
      <c r="H1458" t="inlineStr">
        <is>
          <t>Holmen skog AB</t>
        </is>
      </c>
      <c r="I1458" t="n">
        <v>1.3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s="2" t="inlineStr"/>
    </row>
    <row r="1459" ht="15" customHeight="1">
      <c r="A1459" t="inlineStr">
        <is>
          <t>A 32057-2026</t>
        </is>
      </c>
      <c r="B1459" t="inlineStr">
        <is>
          <t>avverkningsanmälan</t>
        </is>
      </c>
      <c r="C1459" t="inlineStr">
        <is>
          <t>Föryngringsavverkning</t>
        </is>
      </c>
      <c r="D1459" s="1" t="n">
        <v>46233</v>
      </c>
      <c r="E1459" s="1" t="n">
        <v>46307</v>
      </c>
      <c r="F1459" t="inlineStr">
        <is>
          <t>GÄVLEBORGS LÄN</t>
        </is>
      </c>
      <c r="G1459" t="inlineStr">
        <is>
          <t>HUDIKSVALL</t>
        </is>
      </c>
      <c r="H1459" t="inlineStr">
        <is>
          <t>Holmen skog AB</t>
        </is>
      </c>
      <c r="I1459" t="n">
        <v>2.5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s="2" t="inlineStr"/>
    </row>
    <row r="1460" ht="15" customHeight="1">
      <c r="A1460" t="inlineStr">
        <is>
          <t>A 37967-2026</t>
        </is>
      </c>
      <c r="B1460" t="inlineStr">
        <is>
          <t>avverkningsanmälan</t>
        </is>
      </c>
      <c r="C1460" t="inlineStr">
        <is>
          <t>Föryngringsavverkning</t>
        </is>
      </c>
      <c r="D1460" s="1" t="n">
        <v>46280</v>
      </c>
      <c r="E1460" s="1" t="n">
        <v>46307</v>
      </c>
      <c r="F1460" t="inlineStr">
        <is>
          <t>GÄVLEBORGS LÄN</t>
        </is>
      </c>
      <c r="G1460" t="inlineStr">
        <is>
          <t>HUDIKSVALL</t>
        </is>
      </c>
      <c r="I1460" t="n">
        <v>3.9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s="2" t="inlineStr"/>
    </row>
    <row r="1461" ht="15" customHeight="1">
      <c r="A1461" t="inlineStr">
        <is>
          <t>A 38173-2026</t>
        </is>
      </c>
      <c r="B1461" t="inlineStr">
        <is>
          <t>avverkningsanmälan</t>
        </is>
      </c>
      <c r="C1461" t="inlineStr">
        <is>
          <t>Föryngringsavverkning</t>
        </is>
      </c>
      <c r="D1461" s="1" t="n">
        <v>46281</v>
      </c>
      <c r="E1461" s="1" t="n">
        <v>46307</v>
      </c>
      <c r="F1461" t="inlineStr">
        <is>
          <t>GÄVLEBORGS LÄN</t>
        </is>
      </c>
      <c r="G1461" t="inlineStr">
        <is>
          <t>HUDIKSVALL</t>
        </is>
      </c>
      <c r="I1461" t="n">
        <v>17.3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s="2" t="inlineStr"/>
    </row>
    <row r="1462" ht="15" customHeight="1">
      <c r="A1462" t="inlineStr">
        <is>
          <t>A 38388-2026</t>
        </is>
      </c>
      <c r="B1462" t="inlineStr">
        <is>
          <t>avverkningsanmälan</t>
        </is>
      </c>
      <c r="C1462" t="inlineStr">
        <is>
          <t>Föryngringsavverkning</t>
        </is>
      </c>
      <c r="D1462" s="1" t="n">
        <v>46282</v>
      </c>
      <c r="E1462" s="1" t="n">
        <v>46307</v>
      </c>
      <c r="F1462" t="inlineStr">
        <is>
          <t>GÄVLEBORGS LÄN</t>
        </is>
      </c>
      <c r="G1462" t="inlineStr">
        <is>
          <t>HUDIKSVALL</t>
        </is>
      </c>
      <c r="I1462" t="n">
        <v>3.1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s="2" t="inlineStr"/>
    </row>
    <row r="1463" ht="15" customHeight="1">
      <c r="A1463" t="inlineStr">
        <is>
          <t>A 32425-2026</t>
        </is>
      </c>
      <c r="B1463" t="inlineStr">
        <is>
          <t>avverkningsanmälan</t>
        </is>
      </c>
      <c r="C1463" t="inlineStr">
        <is>
          <t>Föryngringsavverkning</t>
        </is>
      </c>
      <c r="D1463" s="1" t="n">
        <v>46238</v>
      </c>
      <c r="E1463" s="1" t="n">
        <v>46307</v>
      </c>
      <c r="F1463" t="inlineStr">
        <is>
          <t>GÄVLEBORGS LÄN</t>
        </is>
      </c>
      <c r="G1463" t="inlineStr">
        <is>
          <t>HUDIKSVALL</t>
        </is>
      </c>
      <c r="I1463" t="n">
        <v>1.7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s="2" t="inlineStr"/>
    </row>
    <row r="1464" ht="15" customHeight="1">
      <c r="A1464" t="inlineStr">
        <is>
          <t>A 32464-2026</t>
        </is>
      </c>
      <c r="B1464" t="inlineStr">
        <is>
          <t>avverkningsanmälan</t>
        </is>
      </c>
      <c r="C1464" t="inlineStr">
        <is>
          <t>Föryngringsavverkning</t>
        </is>
      </c>
      <c r="D1464" s="1" t="n">
        <v>46239</v>
      </c>
      <c r="E1464" s="1" t="n">
        <v>46307</v>
      </c>
      <c r="F1464" t="inlineStr">
        <is>
          <t>GÄVLEBORGS LÄN</t>
        </is>
      </c>
      <c r="G1464" t="inlineStr">
        <is>
          <t>HUDIKSVALL</t>
        </is>
      </c>
      <c r="H1464" t="inlineStr">
        <is>
          <t>Naturvårdsverket</t>
        </is>
      </c>
      <c r="I1464" t="n">
        <v>3.3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s="2" t="inlineStr"/>
    </row>
    <row r="1465" ht="15" customHeight="1">
      <c r="A1465" t="inlineStr">
        <is>
          <t>A 32475-2026</t>
        </is>
      </c>
      <c r="B1465" t="inlineStr">
        <is>
          <t>avverkningsanmälan</t>
        </is>
      </c>
      <c r="C1465" t="inlineStr">
        <is>
          <t>Föryngringsavverkning</t>
        </is>
      </c>
      <c r="D1465" s="1" t="n">
        <v>46239</v>
      </c>
      <c r="E1465" s="1" t="n">
        <v>46307</v>
      </c>
      <c r="F1465" t="inlineStr">
        <is>
          <t>GÄVLEBORGS LÄN</t>
        </is>
      </c>
      <c r="G1465" t="inlineStr">
        <is>
          <t>HUDIKSVALL</t>
        </is>
      </c>
      <c r="I1465" t="n">
        <v>1.1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s="2" t="inlineStr"/>
    </row>
    <row r="1466" ht="15" customHeight="1">
      <c r="A1466" t="inlineStr">
        <is>
          <t>A 6504-2026</t>
        </is>
      </c>
      <c r="B1466" t="inlineStr">
        <is>
          <t>avverkningsanmälan</t>
        </is>
      </c>
      <c r="C1466" t="inlineStr">
        <is>
          <t>Föryngringsavverkning</t>
        </is>
      </c>
      <c r="D1466" s="1" t="n">
        <v>46056</v>
      </c>
      <c r="E1466" s="1" t="n">
        <v>46307</v>
      </c>
      <c r="F1466" t="inlineStr">
        <is>
          <t>GÄVLEBORGS LÄN</t>
        </is>
      </c>
      <c r="G1466" t="inlineStr">
        <is>
          <t>HUDIKSVALL</t>
        </is>
      </c>
      <c r="I1466" t="n">
        <v>9.699999999999999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s="2" t="inlineStr"/>
    </row>
    <row r="1467" ht="15" customHeight="1">
      <c r="A1467" t="inlineStr">
        <is>
          <t>A 38308-2026</t>
        </is>
      </c>
      <c r="B1467" t="inlineStr">
        <is>
          <t>avverkningsanmälan</t>
        </is>
      </c>
      <c r="C1467" t="inlineStr">
        <is>
          <t>Föryngringsavverkning</t>
        </is>
      </c>
      <c r="D1467" s="1" t="n">
        <v>46282</v>
      </c>
      <c r="E1467" s="1" t="n">
        <v>46307</v>
      </c>
      <c r="F1467" t="inlineStr">
        <is>
          <t>GÄVLEBORGS LÄN</t>
        </is>
      </c>
      <c r="G1467" t="inlineStr">
        <is>
          <t>HUDIKSVALL</t>
        </is>
      </c>
      <c r="I1467" t="n">
        <v>3.9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s="2" t="inlineStr"/>
    </row>
    <row r="1468" ht="15" customHeight="1">
      <c r="A1468" t="inlineStr">
        <is>
          <t>A 38447-2026</t>
        </is>
      </c>
      <c r="B1468" t="inlineStr">
        <is>
          <t>avverkningsanmälan</t>
        </is>
      </c>
      <c r="C1468" t="inlineStr">
        <is>
          <t>Föryngringsavverkning</t>
        </is>
      </c>
      <c r="D1468" s="1" t="n">
        <v>46282</v>
      </c>
      <c r="E1468" s="1" t="n">
        <v>46307</v>
      </c>
      <c r="F1468" t="inlineStr">
        <is>
          <t>GÄVLEBORGS LÄN</t>
        </is>
      </c>
      <c r="G1468" t="inlineStr">
        <is>
          <t>HUDIKSVALL</t>
        </is>
      </c>
      <c r="I1468" t="n">
        <v>2.9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s="2" t="inlineStr"/>
    </row>
    <row r="1469" ht="15" customHeight="1">
      <c r="A1469" t="inlineStr">
        <is>
          <t>A 38385-2026</t>
        </is>
      </c>
      <c r="B1469" t="inlineStr">
        <is>
          <t>avverkningsanmälan</t>
        </is>
      </c>
      <c r="C1469" t="inlineStr">
        <is>
          <t>Föryngringsavverkning</t>
        </is>
      </c>
      <c r="D1469" s="1" t="n">
        <v>46282</v>
      </c>
      <c r="E1469" s="1" t="n">
        <v>46307</v>
      </c>
      <c r="F1469" t="inlineStr">
        <is>
          <t>GÄVLEBORGS LÄN</t>
        </is>
      </c>
      <c r="G1469" t="inlineStr">
        <is>
          <t>HUDIKSVALL</t>
        </is>
      </c>
      <c r="I1469" t="n">
        <v>3.8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s="2" t="inlineStr"/>
    </row>
    <row r="1470" ht="15" customHeight="1">
      <c r="A1470" t="inlineStr">
        <is>
          <t>A 38646-2026</t>
        </is>
      </c>
      <c r="B1470" t="inlineStr">
        <is>
          <t>avverkningsanmälan</t>
        </is>
      </c>
      <c r="C1470" t="inlineStr">
        <is>
          <t>Föryngringsavverkning</t>
        </is>
      </c>
      <c r="D1470" s="1" t="n">
        <v>46283</v>
      </c>
      <c r="E1470" s="1" t="n">
        <v>46307</v>
      </c>
      <c r="F1470" t="inlineStr">
        <is>
          <t>GÄVLEBORGS LÄN</t>
        </is>
      </c>
      <c r="G1470" t="inlineStr">
        <is>
          <t>HUDIKSVALL</t>
        </is>
      </c>
      <c r="I1470" t="n">
        <v>2.2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s="2" t="inlineStr"/>
    </row>
    <row r="1471" ht="15" customHeight="1">
      <c r="A1471" t="inlineStr">
        <is>
          <t>A 38443-2026</t>
        </is>
      </c>
      <c r="B1471" t="inlineStr">
        <is>
          <t>avverkningsanmälan</t>
        </is>
      </c>
      <c r="C1471" t="inlineStr">
        <is>
          <t>Föryngringsavverkning</t>
        </is>
      </c>
      <c r="D1471" s="1" t="n">
        <v>46282</v>
      </c>
      <c r="E1471" s="1" t="n">
        <v>46307</v>
      </c>
      <c r="F1471" t="inlineStr">
        <is>
          <t>GÄVLEBORGS LÄN</t>
        </is>
      </c>
      <c r="G1471" t="inlineStr">
        <is>
          <t>HUDIKSVALL</t>
        </is>
      </c>
      <c r="H1471" t="inlineStr">
        <is>
          <t>Sveaskog</t>
        </is>
      </c>
      <c r="I1471" t="n">
        <v>18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s="2" t="inlineStr"/>
    </row>
    <row r="1472" ht="15" customHeight="1">
      <c r="A1472" t="inlineStr">
        <is>
          <t>A 38815-2026</t>
        </is>
      </c>
      <c r="B1472" t="inlineStr">
        <is>
          <t>avverkningsanmälan</t>
        </is>
      </c>
      <c r="C1472" t="inlineStr">
        <is>
          <t>Föryngringsavverkning</t>
        </is>
      </c>
      <c r="D1472" s="1" t="n">
        <v>46286</v>
      </c>
      <c r="E1472" s="1" t="n">
        <v>46307</v>
      </c>
      <c r="F1472" t="inlineStr">
        <is>
          <t>GÄVLEBORGS LÄN</t>
        </is>
      </c>
      <c r="G1472" t="inlineStr">
        <is>
          <t>HUDIKSVALL</t>
        </is>
      </c>
      <c r="I1472" t="n">
        <v>0.6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s="2" t="inlineStr"/>
    </row>
    <row r="1473" ht="15" customHeight="1">
      <c r="A1473" t="inlineStr">
        <is>
          <t>A 32635-2026</t>
        </is>
      </c>
      <c r="B1473" t="inlineStr">
        <is>
          <t>avverkningsanmälan</t>
        </is>
      </c>
      <c r="C1473" t="inlineStr">
        <is>
          <t>Föryngringsavverkning</t>
        </is>
      </c>
      <c r="D1473" s="1" t="n">
        <v>46240</v>
      </c>
      <c r="E1473" s="1" t="n">
        <v>46307</v>
      </c>
      <c r="F1473" t="inlineStr">
        <is>
          <t>GÄVLEBORGS LÄN</t>
        </is>
      </c>
      <c r="G1473" t="inlineStr">
        <is>
          <t>HUDIKSVALL</t>
        </is>
      </c>
      <c r="H1473" t="inlineStr">
        <is>
          <t>Holmen skog AB</t>
        </is>
      </c>
      <c r="I1473" t="n">
        <v>0.8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s="2" t="inlineStr"/>
    </row>
    <row r="1474" ht="15" customHeight="1">
      <c r="A1474" t="inlineStr">
        <is>
          <t>A 38440-2026</t>
        </is>
      </c>
      <c r="B1474" t="inlineStr">
        <is>
          <t>avverkningsanmälan</t>
        </is>
      </c>
      <c r="C1474" t="inlineStr">
        <is>
          <t>Föryngringsavverkning</t>
        </is>
      </c>
      <c r="D1474" s="1" t="n">
        <v>46282</v>
      </c>
      <c r="E1474" s="1" t="n">
        <v>46307</v>
      </c>
      <c r="F1474" t="inlineStr">
        <is>
          <t>GÄVLEBORGS LÄN</t>
        </is>
      </c>
      <c r="G1474" t="inlineStr">
        <is>
          <t>HUDIKSVALL</t>
        </is>
      </c>
      <c r="H1474" t="inlineStr">
        <is>
          <t>Sveaskog</t>
        </is>
      </c>
      <c r="I1474" t="n">
        <v>9.5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s="2" t="inlineStr"/>
    </row>
    <row r="1475" ht="15" customHeight="1">
      <c r="A1475" t="inlineStr">
        <is>
          <t>A 38602-2026</t>
        </is>
      </c>
      <c r="B1475" t="inlineStr">
        <is>
          <t>avverkningsanmälan</t>
        </is>
      </c>
      <c r="C1475" t="inlineStr">
        <is>
          <t>Föryngringsavverkning</t>
        </is>
      </c>
      <c r="D1475" s="1" t="n">
        <v>46283</v>
      </c>
      <c r="E1475" s="1" t="n">
        <v>46307</v>
      </c>
      <c r="F1475" t="inlineStr">
        <is>
          <t>GÄVLEBORGS LÄN</t>
        </is>
      </c>
      <c r="G1475" t="inlineStr">
        <is>
          <t>HUDIKSVALL</t>
        </is>
      </c>
      <c r="H1475" t="inlineStr">
        <is>
          <t>Holmen skog AB</t>
        </is>
      </c>
      <c r="I1475" t="n">
        <v>1.1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s="2" t="inlineStr"/>
    </row>
    <row r="1476" ht="15" customHeight="1">
      <c r="A1476" t="inlineStr">
        <is>
          <t>A 38566-2026</t>
        </is>
      </c>
      <c r="B1476" t="inlineStr">
        <is>
          <t>avverkningsanmälan</t>
        </is>
      </c>
      <c r="C1476" t="inlineStr">
        <is>
          <t>Föryngringsavverkning</t>
        </is>
      </c>
      <c r="D1476" s="1" t="n">
        <v>46283</v>
      </c>
      <c r="E1476" s="1" t="n">
        <v>46307</v>
      </c>
      <c r="F1476" t="inlineStr">
        <is>
          <t>GÄVLEBORGS LÄN</t>
        </is>
      </c>
      <c r="G1476" t="inlineStr">
        <is>
          <t>HUDIKSVALL</t>
        </is>
      </c>
      <c r="H1476" t="inlineStr">
        <is>
          <t>Holmen skog AB</t>
        </is>
      </c>
      <c r="I1476" t="n">
        <v>1.8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s="2" t="inlineStr"/>
    </row>
    <row r="1477" ht="15" customHeight="1">
      <c r="A1477" t="inlineStr">
        <is>
          <t>A 38616-2026</t>
        </is>
      </c>
      <c r="B1477" t="inlineStr">
        <is>
          <t>avverkningsanmälan</t>
        </is>
      </c>
      <c r="C1477" t="inlineStr">
        <is>
          <t>Föryngringsavverkning</t>
        </is>
      </c>
      <c r="D1477" s="1" t="n">
        <v>46283</v>
      </c>
      <c r="E1477" s="1" t="n">
        <v>46307</v>
      </c>
      <c r="F1477" t="inlineStr">
        <is>
          <t>GÄVLEBORGS LÄN</t>
        </is>
      </c>
      <c r="G1477" t="inlineStr">
        <is>
          <t>HUDIKSVALL</t>
        </is>
      </c>
      <c r="I1477" t="n">
        <v>9.9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s="2" t="inlineStr"/>
    </row>
    <row r="1478" ht="15" customHeight="1">
      <c r="A1478" t="inlineStr">
        <is>
          <t>A 21718-2026</t>
        </is>
      </c>
      <c r="B1478" t="inlineStr">
        <is>
          <t>avverkningsanmälan</t>
        </is>
      </c>
      <c r="C1478" t="inlineStr">
        <is>
          <t>Föryngringsavverkning</t>
        </is>
      </c>
      <c r="D1478" s="1" t="n">
        <v>46149</v>
      </c>
      <c r="E1478" s="1" t="n">
        <v>46307</v>
      </c>
      <c r="F1478" t="inlineStr">
        <is>
          <t>GÄVLEBORGS LÄN</t>
        </is>
      </c>
      <c r="G1478" t="inlineStr">
        <is>
          <t>HUDIKSVALL</t>
        </is>
      </c>
      <c r="I1478" t="n">
        <v>1.2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s="2" t="inlineStr"/>
    </row>
    <row r="1479" ht="15" customHeight="1">
      <c r="A1479" t="inlineStr">
        <is>
          <t>A 38946-2026</t>
        </is>
      </c>
      <c r="B1479" t="inlineStr">
        <is>
          <t>avverkningsanmälan</t>
        </is>
      </c>
      <c r="C1479" t="inlineStr">
        <is>
          <t>Föryngringsavverkning</t>
        </is>
      </c>
      <c r="D1479" s="1" t="n">
        <v>46286</v>
      </c>
      <c r="E1479" s="1" t="n">
        <v>46307</v>
      </c>
      <c r="F1479" t="inlineStr">
        <is>
          <t>GÄVLEBORGS LÄN</t>
        </is>
      </c>
      <c r="G1479" t="inlineStr">
        <is>
          <t>HUDIKSVALL</t>
        </is>
      </c>
      <c r="I1479" t="n">
        <v>1.3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s="2" t="inlineStr"/>
    </row>
    <row r="1480" ht="15" customHeight="1">
      <c r="A1480" t="inlineStr">
        <is>
          <t>A 39353-2026</t>
        </is>
      </c>
      <c r="B1480" t="inlineStr">
        <is>
          <t>avverkningsanmälan</t>
        </is>
      </c>
      <c r="C1480" t="inlineStr">
        <is>
          <t>Föryngringsavverkning</t>
        </is>
      </c>
      <c r="D1480" s="1" t="n">
        <v>46288</v>
      </c>
      <c r="E1480" s="1" t="n">
        <v>46307</v>
      </c>
      <c r="F1480" t="inlineStr">
        <is>
          <t>GÄVLEBORGS LÄN</t>
        </is>
      </c>
      <c r="G1480" t="inlineStr">
        <is>
          <t>HUDIKSVALL</t>
        </is>
      </c>
      <c r="H1480" t="inlineStr">
        <is>
          <t>Holmen skog AB</t>
        </is>
      </c>
      <c r="I1480" t="n">
        <v>10.9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s="2" t="inlineStr"/>
    </row>
    <row r="1481" ht="15" customHeight="1">
      <c r="A1481" t="inlineStr">
        <is>
          <t>A 33137-2026</t>
        </is>
      </c>
      <c r="B1481" t="inlineStr">
        <is>
          <t>avverkningsanmälan</t>
        </is>
      </c>
      <c r="C1481" t="inlineStr">
        <is>
          <t>Föryngringsavverkning</t>
        </is>
      </c>
      <c r="D1481" s="1" t="n">
        <v>46245</v>
      </c>
      <c r="E1481" s="1" t="n">
        <v>46307</v>
      </c>
      <c r="F1481" t="inlineStr">
        <is>
          <t>GÄVLEBORGS LÄN</t>
        </is>
      </c>
      <c r="G1481" t="inlineStr">
        <is>
          <t>HUDIKSVALL</t>
        </is>
      </c>
      <c r="I1481" t="n">
        <v>1.9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s="2" t="inlineStr"/>
    </row>
    <row r="1482" ht="15" customHeight="1">
      <c r="A1482" t="inlineStr">
        <is>
          <t>A 28326-2026</t>
        </is>
      </c>
      <c r="B1482" t="inlineStr">
        <is>
          <t>avverkningsanmälan</t>
        </is>
      </c>
      <c r="C1482" t="inlineStr">
        <is>
          <t>Föryngringsavverkning</t>
        </is>
      </c>
      <c r="D1482" s="1" t="n">
        <v>46196</v>
      </c>
      <c r="E1482" s="1" t="n">
        <v>46307</v>
      </c>
      <c r="F1482" t="inlineStr">
        <is>
          <t>GÄVLEBORGS LÄN</t>
        </is>
      </c>
      <c r="G1482" t="inlineStr">
        <is>
          <t>HUDIKSVALL</t>
        </is>
      </c>
      <c r="H1482" t="inlineStr">
        <is>
          <t>Holmen skog AB</t>
        </is>
      </c>
      <c r="I1482" t="n">
        <v>34.6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s="2" t="inlineStr"/>
    </row>
    <row r="1483" ht="15" customHeight="1">
      <c r="A1483" t="inlineStr">
        <is>
          <t>A 25318-2026</t>
        </is>
      </c>
      <c r="B1483" t="inlineStr">
        <is>
          <t>avverkningsanmälan</t>
        </is>
      </c>
      <c r="C1483" t="inlineStr">
        <is>
          <t>Föryngringsavverkning</t>
        </is>
      </c>
      <c r="D1483" s="1" t="n">
        <v>46176</v>
      </c>
      <c r="E1483" s="1" t="n">
        <v>46307</v>
      </c>
      <c r="F1483" t="inlineStr">
        <is>
          <t>GÄVLEBORGS LÄN</t>
        </is>
      </c>
      <c r="G1483" t="inlineStr">
        <is>
          <t>HUDIKSVALL</t>
        </is>
      </c>
      <c r="I1483" t="n">
        <v>6.7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s="2" t="inlineStr"/>
    </row>
    <row r="1484" ht="15" customHeight="1">
      <c r="A1484" t="inlineStr">
        <is>
          <t>A 33313-2026</t>
        </is>
      </c>
      <c r="B1484" t="inlineStr">
        <is>
          <t>avverkningsanmälan</t>
        </is>
      </c>
      <c r="C1484" t="inlineStr">
        <is>
          <t>Föryngringsavverkning</t>
        </is>
      </c>
      <c r="D1484" s="1" t="n">
        <v>46246</v>
      </c>
      <c r="E1484" s="1" t="n">
        <v>46307</v>
      </c>
      <c r="F1484" t="inlineStr">
        <is>
          <t>GÄVLEBORGS LÄN</t>
        </is>
      </c>
      <c r="G1484" t="inlineStr">
        <is>
          <t>HUDIKSVALL</t>
        </is>
      </c>
      <c r="I1484" t="n">
        <v>0.7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s="2" t="inlineStr"/>
    </row>
    <row r="1485" ht="15" customHeight="1">
      <c r="A1485" t="inlineStr">
        <is>
          <t>A 39677-2026</t>
        </is>
      </c>
      <c r="B1485" t="inlineStr">
        <is>
          <t>avverkningsanmälan</t>
        </is>
      </c>
      <c r="C1485" t="inlineStr">
        <is>
          <t>Föryngringsavverkning</t>
        </is>
      </c>
      <c r="D1485" s="1" t="n">
        <v>46289</v>
      </c>
      <c r="E1485" s="1" t="n">
        <v>46307</v>
      </c>
      <c r="F1485" t="inlineStr">
        <is>
          <t>GÄVLEBORGS LÄN</t>
        </is>
      </c>
      <c r="G1485" t="inlineStr">
        <is>
          <t>HUDIKSVALL</t>
        </is>
      </c>
      <c r="I1485" t="n">
        <v>4.5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s="2" t="inlineStr"/>
    </row>
    <row r="1486" ht="15" customHeight="1">
      <c r="A1486" t="inlineStr">
        <is>
          <t>A 33247-2026</t>
        </is>
      </c>
      <c r="B1486" t="inlineStr">
        <is>
          <t>avverkningsanmälan</t>
        </is>
      </c>
      <c r="C1486" t="inlineStr">
        <is>
          <t>Föryngringsavverkning</t>
        </is>
      </c>
      <c r="D1486" s="1" t="n">
        <v>46246</v>
      </c>
      <c r="E1486" s="1" t="n">
        <v>46307</v>
      </c>
      <c r="F1486" t="inlineStr">
        <is>
          <t>GÄVLEBORGS LÄN</t>
        </is>
      </c>
      <c r="G1486" t="inlineStr">
        <is>
          <t>HUDIKSVALL</t>
        </is>
      </c>
      <c r="H1486" t="inlineStr">
        <is>
          <t>Holmen skog AB</t>
        </is>
      </c>
      <c r="I1486" t="n">
        <v>12.3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s="2" t="inlineStr"/>
    </row>
    <row r="1487" ht="15" customHeight="1">
      <c r="A1487" t="inlineStr">
        <is>
          <t>A 39570-2026</t>
        </is>
      </c>
      <c r="B1487" t="inlineStr">
        <is>
          <t>avverkningsanmälan</t>
        </is>
      </c>
      <c r="C1487" t="inlineStr">
        <is>
          <t>Föryngringsavverkning</t>
        </is>
      </c>
      <c r="D1487" s="1" t="n">
        <v>46289</v>
      </c>
      <c r="E1487" s="1" t="n">
        <v>46307</v>
      </c>
      <c r="F1487" t="inlineStr">
        <is>
          <t>GÄVLEBORGS LÄN</t>
        </is>
      </c>
      <c r="G1487" t="inlineStr">
        <is>
          <t>HUDIKSVALL</t>
        </is>
      </c>
      <c r="H1487" t="inlineStr">
        <is>
          <t>Holmen skog AB</t>
        </is>
      </c>
      <c r="I1487" t="n">
        <v>4.5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s="2" t="inlineStr"/>
    </row>
    <row r="1488" ht="15" customHeight="1">
      <c r="A1488" t="inlineStr">
        <is>
          <t>A 33270-2026</t>
        </is>
      </c>
      <c r="B1488" t="inlineStr">
        <is>
          <t>avverkningsanmälan</t>
        </is>
      </c>
      <c r="C1488" t="inlineStr">
        <is>
          <t>Föryngringsavverkning</t>
        </is>
      </c>
      <c r="D1488" s="1" t="n">
        <v>46246</v>
      </c>
      <c r="E1488" s="1" t="n">
        <v>46307</v>
      </c>
      <c r="F1488" t="inlineStr">
        <is>
          <t>GÄVLEBORGS LÄN</t>
        </is>
      </c>
      <c r="G1488" t="inlineStr">
        <is>
          <t>HUDIKSVALL</t>
        </is>
      </c>
      <c r="H1488" t="inlineStr">
        <is>
          <t>Holmen skog AB</t>
        </is>
      </c>
      <c r="I1488" t="n">
        <v>5.3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s="2" t="inlineStr"/>
    </row>
    <row r="1489" ht="15" customHeight="1">
      <c r="A1489" t="inlineStr">
        <is>
          <t>A 33572-2026</t>
        </is>
      </c>
      <c r="B1489" t="inlineStr">
        <is>
          <t>avverkningsanmälan</t>
        </is>
      </c>
      <c r="C1489" t="inlineStr">
        <is>
          <t>Föryngringsavverkning</t>
        </is>
      </c>
      <c r="D1489" s="1" t="n">
        <v>46248</v>
      </c>
      <c r="E1489" s="1" t="n">
        <v>46307</v>
      </c>
      <c r="F1489" t="inlineStr">
        <is>
          <t>GÄVLEBORGS LÄN</t>
        </is>
      </c>
      <c r="G1489" t="inlineStr">
        <is>
          <t>HUDIKSVALL</t>
        </is>
      </c>
      <c r="H1489" t="inlineStr">
        <is>
          <t>Naturvårdsverket</t>
        </is>
      </c>
      <c r="I1489" t="n">
        <v>1.8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s="2" t="inlineStr"/>
    </row>
    <row r="1490" ht="15" customHeight="1">
      <c r="A1490" t="inlineStr">
        <is>
          <t>A 55615-2025</t>
        </is>
      </c>
      <c r="B1490" t="inlineStr">
        <is>
          <t>avverkningsanmälan</t>
        </is>
      </c>
      <c r="C1490" t="inlineStr">
        <is>
          <t>Föryngringsavverkning</t>
        </is>
      </c>
      <c r="D1490" s="1" t="n">
        <v>45971</v>
      </c>
      <c r="E1490" s="1" t="n">
        <v>46307</v>
      </c>
      <c r="F1490" t="inlineStr">
        <is>
          <t>GÄVLEBORGS LÄN</t>
        </is>
      </c>
      <c r="G1490" t="inlineStr">
        <is>
          <t>HUDIKSVALL</t>
        </is>
      </c>
      <c r="I1490" t="n">
        <v>1.9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s="2" t="inlineStr"/>
    </row>
    <row r="1491" ht="15" customHeight="1">
      <c r="A1491" t="inlineStr">
        <is>
          <t>A 24853-2026</t>
        </is>
      </c>
      <c r="B1491" t="inlineStr">
        <is>
          <t>avverkningsanmälan</t>
        </is>
      </c>
      <c r="C1491" t="inlineStr">
        <is>
          <t>Föryngringsavverkning</t>
        </is>
      </c>
      <c r="D1491" s="1" t="n">
        <v>46174</v>
      </c>
      <c r="E1491" s="1" t="n">
        <v>46307</v>
      </c>
      <c r="F1491" t="inlineStr">
        <is>
          <t>GÄVLEBORGS LÄN</t>
        </is>
      </c>
      <c r="G1491" t="inlineStr">
        <is>
          <t>HUDIKSVALL</t>
        </is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s="2" t="inlineStr"/>
    </row>
    <row r="1492" ht="15" customHeight="1">
      <c r="A1492" t="inlineStr">
        <is>
          <t>A 40315-2026</t>
        </is>
      </c>
      <c r="B1492" t="inlineStr">
        <is>
          <t>avverkningsanmälan</t>
        </is>
      </c>
      <c r="C1492" t="inlineStr">
        <is>
          <t>Föryngringsavverkning</t>
        </is>
      </c>
      <c r="D1492" s="1" t="n">
        <v>46294</v>
      </c>
      <c r="E1492" s="1" t="n">
        <v>46307</v>
      </c>
      <c r="F1492" t="inlineStr">
        <is>
          <t>GÄVLEBORGS LÄN</t>
        </is>
      </c>
      <c r="G1492" t="inlineStr">
        <is>
          <t>HUDIKSVALL</t>
        </is>
      </c>
      <c r="I1492" t="n">
        <v>2.2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s="2" t="inlineStr"/>
    </row>
    <row r="1493" ht="15" customHeight="1">
      <c r="A1493" t="inlineStr">
        <is>
          <t>A 33545-2026</t>
        </is>
      </c>
      <c r="B1493" t="inlineStr">
        <is>
          <t>avverkningsanmälan</t>
        </is>
      </c>
      <c r="C1493" t="inlineStr">
        <is>
          <t>Föryngringsavverkning</t>
        </is>
      </c>
      <c r="D1493" s="1" t="n">
        <v>46248</v>
      </c>
      <c r="E1493" s="1" t="n">
        <v>46307</v>
      </c>
      <c r="F1493" t="inlineStr">
        <is>
          <t>GÄVLEBORGS LÄN</t>
        </is>
      </c>
      <c r="G1493" t="inlineStr">
        <is>
          <t>HUDIKSVALL</t>
        </is>
      </c>
      <c r="H1493" t="inlineStr">
        <is>
          <t>Holmen skog AB</t>
        </is>
      </c>
      <c r="I1493" t="n">
        <v>1.2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s="2" t="inlineStr"/>
    </row>
    <row r="1494" ht="15" customHeight="1">
      <c r="A1494" t="inlineStr">
        <is>
          <t>A 34153-2026</t>
        </is>
      </c>
      <c r="B1494" t="inlineStr">
        <is>
          <t>avverkningsanmälan</t>
        </is>
      </c>
      <c r="C1494" t="inlineStr">
        <is>
          <t>Föryngringsavverkning</t>
        </is>
      </c>
      <c r="D1494" s="1" t="n">
        <v>46253</v>
      </c>
      <c r="E1494" s="1" t="n">
        <v>46307</v>
      </c>
      <c r="F1494" t="inlineStr">
        <is>
          <t>GÄVLEBORGS LÄN</t>
        </is>
      </c>
      <c r="G1494" t="inlineStr">
        <is>
          <t>HUDIKSVALL</t>
        </is>
      </c>
      <c r="I1494" t="n">
        <v>0.8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s="2" t="inlineStr"/>
    </row>
    <row r="1495" ht="15" customHeight="1">
      <c r="A1495" t="inlineStr">
        <is>
          <t>A 33970-2026</t>
        </is>
      </c>
      <c r="B1495" t="inlineStr">
        <is>
          <t>avverkningsanmälan</t>
        </is>
      </c>
      <c r="C1495" t="inlineStr">
        <is>
          <t>Föryngringsavverkning</t>
        </is>
      </c>
      <c r="D1495" s="1" t="n">
        <v>46252</v>
      </c>
      <c r="E1495" s="1" t="n">
        <v>46307</v>
      </c>
      <c r="F1495" t="inlineStr">
        <is>
          <t>GÄVLEBORGS LÄN</t>
        </is>
      </c>
      <c r="G1495" t="inlineStr">
        <is>
          <t>HUDIKSVALL</t>
        </is>
      </c>
      <c r="I1495" t="n">
        <v>7.6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s="2" t="inlineStr"/>
    </row>
    <row r="1496" ht="15" customHeight="1">
      <c r="A1496" t="inlineStr">
        <is>
          <t>A 40588-2026</t>
        </is>
      </c>
      <c r="B1496" t="inlineStr">
        <is>
          <t>avverkningsanmälan</t>
        </is>
      </c>
      <c r="C1496" t="inlineStr">
        <is>
          <t>Avverkning för annat ändamål</t>
        </is>
      </c>
      <c r="D1496" s="1" t="n">
        <v>46295</v>
      </c>
      <c r="E1496" s="1" t="n">
        <v>46307</v>
      </c>
      <c r="F1496" t="inlineStr">
        <is>
          <t>GÄVLEBORGS LÄN</t>
        </is>
      </c>
      <c r="G1496" t="inlineStr">
        <is>
          <t>HUDIKSVALL</t>
        </is>
      </c>
      <c r="I1496" t="n">
        <v>3.9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s="2" t="inlineStr"/>
    </row>
    <row r="1497" ht="15" customHeight="1">
      <c r="A1497" t="inlineStr">
        <is>
          <t>A 33826-2026</t>
        </is>
      </c>
      <c r="B1497" t="inlineStr">
        <is>
          <t>avverkningsanmälan</t>
        </is>
      </c>
      <c r="C1497" t="inlineStr">
        <is>
          <t>Föryngringsavverkning</t>
        </is>
      </c>
      <c r="D1497" s="1" t="n">
        <v>46251</v>
      </c>
      <c r="E1497" s="1" t="n">
        <v>46307</v>
      </c>
      <c r="F1497" t="inlineStr">
        <is>
          <t>GÄVLEBORGS LÄN</t>
        </is>
      </c>
      <c r="G1497" t="inlineStr">
        <is>
          <t>HUDIKSVALL</t>
        </is>
      </c>
      <c r="I1497" t="n">
        <v>1.1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s="2" t="inlineStr"/>
    </row>
    <row r="1498" ht="15" customHeight="1">
      <c r="A1498" t="inlineStr">
        <is>
          <t>A 34032-2026</t>
        </is>
      </c>
      <c r="B1498" t="inlineStr">
        <is>
          <t>avverkningsanmälan</t>
        </is>
      </c>
      <c r="C1498" t="inlineStr">
        <is>
          <t>Föryngringsavverkning</t>
        </is>
      </c>
      <c r="D1498" s="1" t="n">
        <v>46252</v>
      </c>
      <c r="E1498" s="1" t="n">
        <v>46307</v>
      </c>
      <c r="F1498" t="inlineStr">
        <is>
          <t>GÄVLEBORGS LÄN</t>
        </is>
      </c>
      <c r="G1498" t="inlineStr">
        <is>
          <t>HUDIKSVALL</t>
        </is>
      </c>
      <c r="I1498" t="n">
        <v>2.3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s="2" t="inlineStr"/>
    </row>
    <row r="1499" ht="15" customHeight="1">
      <c r="A1499" t="inlineStr">
        <is>
          <t>A 33708-2026</t>
        </is>
      </c>
      <c r="B1499" t="inlineStr">
        <is>
          <t>avverkningsanmälan</t>
        </is>
      </c>
      <c r="C1499" t="inlineStr">
        <is>
          <t>Föryngringsavverkning</t>
        </is>
      </c>
      <c r="D1499" s="1" t="n">
        <v>46251</v>
      </c>
      <c r="E1499" s="1" t="n">
        <v>46307</v>
      </c>
      <c r="F1499" t="inlineStr">
        <is>
          <t>GÄVLEBORGS LÄN</t>
        </is>
      </c>
      <c r="G1499" t="inlineStr">
        <is>
          <t>HUDIKSVALL</t>
        </is>
      </c>
      <c r="I1499" t="n">
        <v>3.5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s="2" t="inlineStr"/>
    </row>
    <row r="1500" ht="15" customHeight="1">
      <c r="A1500" t="inlineStr">
        <is>
          <t>A 34034-2026</t>
        </is>
      </c>
      <c r="B1500" t="inlineStr">
        <is>
          <t>avverkningsanmälan</t>
        </is>
      </c>
      <c r="C1500" t="inlineStr">
        <is>
          <t>Föryngringsavverkning</t>
        </is>
      </c>
      <c r="D1500" s="1" t="n">
        <v>46252</v>
      </c>
      <c r="E1500" s="1" t="n">
        <v>46307</v>
      </c>
      <c r="F1500" t="inlineStr">
        <is>
          <t>GÄVLEBORGS LÄN</t>
        </is>
      </c>
      <c r="G1500" t="inlineStr">
        <is>
          <t>HUDIKSVALL</t>
        </is>
      </c>
      <c r="I1500" t="n">
        <v>0.8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s="2" t="inlineStr"/>
    </row>
    <row r="1501" ht="15" customHeight="1">
      <c r="A1501" t="inlineStr">
        <is>
          <t>A 34526-2026</t>
        </is>
      </c>
      <c r="B1501" t="inlineStr">
        <is>
          <t>avverkningsanmälan</t>
        </is>
      </c>
      <c r="C1501" t="inlineStr">
        <is>
          <t>Föryngringsavverkning</t>
        </is>
      </c>
      <c r="D1501" s="1" t="n">
        <v>46255</v>
      </c>
      <c r="E1501" s="1" t="n">
        <v>46307</v>
      </c>
      <c r="F1501" t="inlineStr">
        <is>
          <t>GÄVLEBORGS LÄN</t>
        </is>
      </c>
      <c r="G1501" t="inlineStr">
        <is>
          <t>HUDIKSVALL</t>
        </is>
      </c>
      <c r="I1501" t="n">
        <v>1.1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s="2" t="inlineStr"/>
    </row>
    <row r="1502" ht="15" customHeight="1">
      <c r="A1502" t="inlineStr">
        <is>
          <t>A 16954-2026</t>
        </is>
      </c>
      <c r="B1502" t="inlineStr">
        <is>
          <t>avverkningsanmälan</t>
        </is>
      </c>
      <c r="C1502" t="inlineStr">
        <is>
          <t>Föryngringsavverkning</t>
        </is>
      </c>
      <c r="D1502" s="1" t="n">
        <v>46114</v>
      </c>
      <c r="E1502" s="1" t="n">
        <v>46307</v>
      </c>
      <c r="F1502" t="inlineStr">
        <is>
          <t>GÄVLEBORGS LÄN</t>
        </is>
      </c>
      <c r="G1502" t="inlineStr">
        <is>
          <t>HUDIKSVALL</t>
        </is>
      </c>
      <c r="I1502" t="n">
        <v>4.9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s="2" t="inlineStr"/>
    </row>
    <row r="1503" ht="15" customHeight="1">
      <c r="A1503" t="inlineStr">
        <is>
          <t>A 41149-2026</t>
        </is>
      </c>
      <c r="B1503" t="inlineStr">
        <is>
          <t>avverkningsanmälan</t>
        </is>
      </c>
      <c r="C1503" t="inlineStr">
        <is>
          <t>Föryngringsavverkning</t>
        </is>
      </c>
      <c r="D1503" s="1" t="n">
        <v>46300</v>
      </c>
      <c r="E1503" s="1" t="n">
        <v>46307</v>
      </c>
      <c r="F1503" t="inlineStr">
        <is>
          <t>GÄVLEBORGS LÄN</t>
        </is>
      </c>
      <c r="G1503" t="inlineStr">
        <is>
          <t>HUDIKSVALL</t>
        </is>
      </c>
      <c r="H1503" t="inlineStr">
        <is>
          <t>Holmen skog AB</t>
        </is>
      </c>
      <c r="I1503" t="n">
        <v>1.6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s="2" t="inlineStr"/>
    </row>
    <row r="1504" ht="15" customHeight="1">
      <c r="A1504" t="inlineStr">
        <is>
          <t>A 34528-2026</t>
        </is>
      </c>
      <c r="B1504" t="inlineStr">
        <is>
          <t>avverkningsanmälan</t>
        </is>
      </c>
      <c r="C1504" t="inlineStr">
        <is>
          <t>Föryngringsavverkning</t>
        </is>
      </c>
      <c r="D1504" s="1" t="n">
        <v>46255</v>
      </c>
      <c r="E1504" s="1" t="n">
        <v>46307</v>
      </c>
      <c r="F1504" t="inlineStr">
        <is>
          <t>GÄVLEBORGS LÄN</t>
        </is>
      </c>
      <c r="G1504" t="inlineStr">
        <is>
          <t>HUDIKSVALL</t>
        </is>
      </c>
      <c r="I1504" t="n">
        <v>0.6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s="2" t="inlineStr"/>
    </row>
    <row r="1505" ht="15" customHeight="1">
      <c r="A1505" t="inlineStr">
        <is>
          <t>A 34141-2026</t>
        </is>
      </c>
      <c r="B1505" t="inlineStr">
        <is>
          <t>avverkningsanmälan</t>
        </is>
      </c>
      <c r="C1505" t="inlineStr">
        <is>
          <t>Föryngringsavverkning</t>
        </is>
      </c>
      <c r="D1505" s="1" t="n">
        <v>46253</v>
      </c>
      <c r="E1505" s="1" t="n">
        <v>46307</v>
      </c>
      <c r="F1505" t="inlineStr">
        <is>
          <t>GÄVLEBORGS LÄN</t>
        </is>
      </c>
      <c r="G1505" t="inlineStr">
        <is>
          <t>HUDIKSVALL</t>
        </is>
      </c>
      <c r="H1505" t="inlineStr">
        <is>
          <t>Holmen skog AB</t>
        </is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s="2" t="inlineStr"/>
    </row>
    <row r="1506" ht="15" customHeight="1">
      <c r="A1506" t="inlineStr">
        <is>
          <t>A 14957-2026</t>
        </is>
      </c>
      <c r="B1506" t="inlineStr">
        <is>
          <t>avverkningsanmälan</t>
        </is>
      </c>
      <c r="C1506" t="inlineStr">
        <is>
          <t>Föryngringsavverkning</t>
        </is>
      </c>
      <c r="D1506" s="1" t="n">
        <v>46104</v>
      </c>
      <c r="E1506" s="1" t="n">
        <v>46307</v>
      </c>
      <c r="F1506" t="inlineStr">
        <is>
          <t>GÄVLEBORGS LÄN</t>
        </is>
      </c>
      <c r="G1506" t="inlineStr">
        <is>
          <t>HUDIKSVALL</t>
        </is>
      </c>
      <c r="I1506" t="n">
        <v>1.1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s="2" t="inlineStr"/>
    </row>
    <row r="1507" ht="15" customHeight="1">
      <c r="A1507" t="inlineStr">
        <is>
          <t>A 11776-2026</t>
        </is>
      </c>
      <c r="B1507" t="inlineStr">
        <is>
          <t>avverkningsanmälan</t>
        </is>
      </c>
      <c r="C1507" t="inlineStr">
        <is>
          <t>Föryngringsavverkning</t>
        </is>
      </c>
      <c r="D1507" s="1" t="n">
        <v>46084</v>
      </c>
      <c r="E1507" s="1" t="n">
        <v>46307</v>
      </c>
      <c r="F1507" t="inlineStr">
        <is>
          <t>GÄVLEBORGS LÄN</t>
        </is>
      </c>
      <c r="G1507" t="inlineStr">
        <is>
          <t>HUDIKSVALL</t>
        </is>
      </c>
      <c r="I1507" t="n">
        <v>1.1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s="2" t="inlineStr"/>
    </row>
    <row r="1508" ht="15" customHeight="1">
      <c r="A1508" t="inlineStr">
        <is>
          <t>A 21539-2026</t>
        </is>
      </c>
      <c r="B1508" t="inlineStr">
        <is>
          <t>avverkningsanmälan</t>
        </is>
      </c>
      <c r="C1508" t="inlineStr">
        <is>
          <t>Föryngringsavverkning</t>
        </is>
      </c>
      <c r="D1508" s="1" t="n">
        <v>46148</v>
      </c>
      <c r="E1508" s="1" t="n">
        <v>46307</v>
      </c>
      <c r="F1508" t="inlineStr">
        <is>
          <t>GÄVLEBORGS LÄN</t>
        </is>
      </c>
      <c r="G1508" t="inlineStr">
        <is>
          <t>HUDIKSVALL</t>
        </is>
      </c>
      <c r="I1508" t="n">
        <v>1.2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s="2" t="inlineStr"/>
    </row>
    <row r="1509" ht="15" customHeight="1">
      <c r="A1509" t="inlineStr">
        <is>
          <t>A 26746-2026</t>
        </is>
      </c>
      <c r="B1509" t="inlineStr">
        <is>
          <t>avverkningsanmälan</t>
        </is>
      </c>
      <c r="C1509" t="inlineStr">
        <is>
          <t>Föryngringsavverkning</t>
        </is>
      </c>
      <c r="D1509" s="1" t="n">
        <v>46184</v>
      </c>
      <c r="E1509" s="1" t="n">
        <v>46307</v>
      </c>
      <c r="F1509" t="inlineStr">
        <is>
          <t>GÄVLEBORGS LÄN</t>
        </is>
      </c>
      <c r="G1509" t="inlineStr">
        <is>
          <t>HUDIKSVALL</t>
        </is>
      </c>
      <c r="H1509" t="inlineStr">
        <is>
          <t>Holmen skog AB</t>
        </is>
      </c>
      <c r="I1509" t="n">
        <v>78.5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s="2" t="inlineStr"/>
    </row>
    <row r="1510" ht="15" customHeight="1">
      <c r="A1510" t="inlineStr">
        <is>
          <t>A 34974-2026</t>
        </is>
      </c>
      <c r="B1510" t="inlineStr">
        <is>
          <t>avverkningsanmälan</t>
        </is>
      </c>
      <c r="C1510" t="inlineStr">
        <is>
          <t>Föryngringsavverkning</t>
        </is>
      </c>
      <c r="D1510" s="1" t="n">
        <v>46259</v>
      </c>
      <c r="E1510" s="1" t="n">
        <v>46307</v>
      </c>
      <c r="F1510" t="inlineStr">
        <is>
          <t>GÄVLEBORGS LÄN</t>
        </is>
      </c>
      <c r="G1510" t="inlineStr">
        <is>
          <t>HUDIKSVALL</t>
        </is>
      </c>
      <c r="I1510" t="n">
        <v>0.7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s="2" t="inlineStr"/>
    </row>
    <row r="1511" ht="15" customHeight="1">
      <c r="A1511" t="inlineStr">
        <is>
          <t>A 4491-2026</t>
        </is>
      </c>
      <c r="B1511" t="inlineStr">
        <is>
          <t>avverkningsanmälan</t>
        </is>
      </c>
      <c r="C1511" t="inlineStr">
        <is>
          <t>Föryngringsavverkning</t>
        </is>
      </c>
      <c r="D1511" s="1" t="n">
        <v>46045</v>
      </c>
      <c r="E1511" s="1" t="n">
        <v>46307</v>
      </c>
      <c r="F1511" t="inlineStr">
        <is>
          <t>GÄVLEBORGS LÄN</t>
        </is>
      </c>
      <c r="G1511" t="inlineStr">
        <is>
          <t>HUDIKSVALL</t>
        </is>
      </c>
      <c r="I1511" t="n">
        <v>5.3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s="2" t="inlineStr"/>
    </row>
    <row r="1512" ht="15" customHeight="1">
      <c r="A1512" t="inlineStr">
        <is>
          <t>A 41460-2026</t>
        </is>
      </c>
      <c r="B1512" t="inlineStr">
        <is>
          <t>avverkningsanmälan</t>
        </is>
      </c>
      <c r="C1512" t="inlineStr">
        <is>
          <t>Föryngringsavverkning</t>
        </is>
      </c>
      <c r="D1512" s="1" t="n">
        <v>46301</v>
      </c>
      <c r="E1512" s="1" t="n">
        <v>46307</v>
      </c>
      <c r="F1512" t="inlineStr">
        <is>
          <t>GÄVLEBORGS LÄN</t>
        </is>
      </c>
      <c r="G1512" t="inlineStr">
        <is>
          <t>HUDIKSVALL</t>
        </is>
      </c>
      <c r="I1512" t="n">
        <v>0.8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s="2" t="inlineStr"/>
    </row>
    <row r="1513" ht="15" customHeight="1">
      <c r="A1513" t="inlineStr">
        <is>
          <t>A 41715-2026</t>
        </is>
      </c>
      <c r="B1513" t="inlineStr">
        <is>
          <t>avverkningsanmälan</t>
        </is>
      </c>
      <c r="C1513" t="inlineStr">
        <is>
          <t>Föryngringsavverkning</t>
        </is>
      </c>
      <c r="D1513" s="1" t="n">
        <v>46302</v>
      </c>
      <c r="E1513" s="1" t="n">
        <v>46307</v>
      </c>
      <c r="F1513" t="inlineStr">
        <is>
          <t>GÄVLEBORGS LÄN</t>
        </is>
      </c>
      <c r="G1513" t="inlineStr">
        <is>
          <t>HUDIKSVALL</t>
        </is>
      </c>
      <c r="H1513" t="inlineStr">
        <is>
          <t>Holmen skog AB</t>
        </is>
      </c>
      <c r="I1513" t="n">
        <v>3.9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s="2" t="inlineStr"/>
    </row>
    <row r="1514" ht="15" customHeight="1">
      <c r="A1514" t="inlineStr">
        <is>
          <t>A 9813-2026</t>
        </is>
      </c>
      <c r="B1514" t="inlineStr">
        <is>
          <t>avverkningsanmälan</t>
        </is>
      </c>
      <c r="C1514" t="inlineStr">
        <is>
          <t>Föryngringsavverkning</t>
        </is>
      </c>
      <c r="D1514" s="1" t="n">
        <v>46072</v>
      </c>
      <c r="E1514" s="1" t="n">
        <v>46307</v>
      </c>
      <c r="F1514" t="inlineStr">
        <is>
          <t>GÄVLEBORGS LÄN</t>
        </is>
      </c>
      <c r="G1514" t="inlineStr">
        <is>
          <t>HUDIKSVALL</t>
        </is>
      </c>
      <c r="I1514" t="n">
        <v>3.8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s="2" t="inlineStr"/>
    </row>
    <row r="1515" ht="15" customHeight="1">
      <c r="A1515" t="inlineStr">
        <is>
          <t>A 41660-2026</t>
        </is>
      </c>
      <c r="B1515" t="inlineStr">
        <is>
          <t>avverkningsanmälan</t>
        </is>
      </c>
      <c r="C1515" t="inlineStr">
        <is>
          <t>Föryngringsavverkning</t>
        </is>
      </c>
      <c r="D1515" s="1" t="n">
        <v>46302</v>
      </c>
      <c r="E1515" s="1" t="n">
        <v>46307</v>
      </c>
      <c r="F1515" t="inlineStr">
        <is>
          <t>GÄVLEBORGS LÄN</t>
        </is>
      </c>
      <c r="G1515" t="inlineStr">
        <is>
          <t>HUDIKSVALL</t>
        </is>
      </c>
      <c r="I1515" t="n">
        <v>0.9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s="2" t="inlineStr"/>
    </row>
    <row r="1516" ht="15" customHeight="1">
      <c r="A1516" t="inlineStr">
        <is>
          <t>A 35067-2026</t>
        </is>
      </c>
      <c r="B1516" t="inlineStr">
        <is>
          <t>avverkningsanmälan</t>
        </is>
      </c>
      <c r="C1516" t="inlineStr">
        <is>
          <t>Föryngringsavverkning</t>
        </is>
      </c>
      <c r="D1516" s="1" t="n">
        <v>46259</v>
      </c>
      <c r="E1516" s="1" t="n">
        <v>46307</v>
      </c>
      <c r="F1516" t="inlineStr">
        <is>
          <t>GÄVLEBORGS LÄN</t>
        </is>
      </c>
      <c r="G1516" t="inlineStr">
        <is>
          <t>HUDIKSVALL</t>
        </is>
      </c>
      <c r="I1516" t="n">
        <v>1.9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s="2" t="inlineStr"/>
    </row>
    <row r="1517" ht="15" customHeight="1">
      <c r="A1517" t="inlineStr">
        <is>
          <t>A 41693-2026</t>
        </is>
      </c>
      <c r="B1517" t="inlineStr">
        <is>
          <t>avverkningsanmälan</t>
        </is>
      </c>
      <c r="C1517" t="inlineStr">
        <is>
          <t>Föryngringsavverkning</t>
        </is>
      </c>
      <c r="D1517" s="1" t="n">
        <v>46302</v>
      </c>
      <c r="E1517" s="1" t="n">
        <v>46307</v>
      </c>
      <c r="F1517" t="inlineStr">
        <is>
          <t>GÄVLEBORGS LÄN</t>
        </is>
      </c>
      <c r="G1517" t="inlineStr">
        <is>
          <t>HUDIKSVALL</t>
        </is>
      </c>
      <c r="H1517" t="inlineStr">
        <is>
          <t>Holmen skog AB</t>
        </is>
      </c>
      <c r="I1517" t="n">
        <v>3.3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s="2" t="inlineStr"/>
    </row>
    <row r="1518" ht="15" customHeight="1">
      <c r="A1518" t="inlineStr">
        <is>
          <t>A 34853-2026</t>
        </is>
      </c>
      <c r="B1518" t="inlineStr">
        <is>
          <t>avverkningsanmälan</t>
        </is>
      </c>
      <c r="C1518" t="inlineStr">
        <is>
          <t>Föryngringsavverkning</t>
        </is>
      </c>
      <c r="D1518" s="1" t="n">
        <v>46258</v>
      </c>
      <c r="E1518" s="1" t="n">
        <v>46307</v>
      </c>
      <c r="F1518" t="inlineStr">
        <is>
          <t>GÄVLEBORGS LÄN</t>
        </is>
      </c>
      <c r="G1518" t="inlineStr">
        <is>
          <t>HUDIKSVALL</t>
        </is>
      </c>
      <c r="H1518" t="inlineStr">
        <is>
          <t>Holmen skog AB</t>
        </is>
      </c>
      <c r="I1518" t="n">
        <v>2.1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s="2" t="inlineStr"/>
    </row>
    <row r="1519" ht="15" customHeight="1">
      <c r="A1519" t="inlineStr">
        <is>
          <t>A 41554-2026</t>
        </is>
      </c>
      <c r="B1519" t="inlineStr">
        <is>
          <t>avverkningsanmälan</t>
        </is>
      </c>
      <c r="C1519" t="inlineStr">
        <is>
          <t>Föryngringsavverkning</t>
        </is>
      </c>
      <c r="D1519" s="1" t="n">
        <v>46301</v>
      </c>
      <c r="E1519" s="1" t="n">
        <v>46307</v>
      </c>
      <c r="F1519" t="inlineStr">
        <is>
          <t>GÄVLEBORGS LÄN</t>
        </is>
      </c>
      <c r="G1519" t="inlineStr">
        <is>
          <t>HUDIKSVALL</t>
        </is>
      </c>
      <c r="I1519" t="n">
        <v>2.2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s="2" t="inlineStr"/>
    </row>
    <row r="1520" ht="15" customHeight="1">
      <c r="A1520" t="inlineStr">
        <is>
          <t>A 41323-2026</t>
        </is>
      </c>
      <c r="B1520" t="inlineStr">
        <is>
          <t>avverkningsanmälan</t>
        </is>
      </c>
      <c r="C1520" t="inlineStr">
        <is>
          <t>Föryngringsavverkning</t>
        </is>
      </c>
      <c r="D1520" s="1" t="n">
        <v>46301</v>
      </c>
      <c r="E1520" s="1" t="n">
        <v>46307</v>
      </c>
      <c r="F1520" t="inlineStr">
        <is>
          <t>GÄVLEBORGS LÄN</t>
        </is>
      </c>
      <c r="G1520" t="inlineStr">
        <is>
          <t>HUDIKSVALL</t>
        </is>
      </c>
      <c r="I1520" t="n">
        <v>1.2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s="2" t="inlineStr"/>
    </row>
    <row r="1521" ht="15" customHeight="1">
      <c r="A1521" t="inlineStr">
        <is>
          <t>A 41710-2026</t>
        </is>
      </c>
      <c r="B1521" t="inlineStr">
        <is>
          <t>avverkningsanmälan</t>
        </is>
      </c>
      <c r="C1521" t="inlineStr">
        <is>
          <t>Föryngringsavverkning</t>
        </is>
      </c>
      <c r="D1521" s="1" t="n">
        <v>46302</v>
      </c>
      <c r="E1521" s="1" t="n">
        <v>46307</v>
      </c>
      <c r="F1521" t="inlineStr">
        <is>
          <t>GÄVLEBORGS LÄN</t>
        </is>
      </c>
      <c r="G1521" t="inlineStr">
        <is>
          <t>HUDIKSVALL</t>
        </is>
      </c>
      <c r="H1521" t="inlineStr">
        <is>
          <t>Holmen skog AB</t>
        </is>
      </c>
      <c r="I1521" t="n">
        <v>1.1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s="2" t="inlineStr"/>
    </row>
    <row r="1522" ht="15" customHeight="1">
      <c r="A1522" t="inlineStr">
        <is>
          <t>A 41707-2026</t>
        </is>
      </c>
      <c r="B1522" t="inlineStr">
        <is>
          <t>avverkningsanmälan</t>
        </is>
      </c>
      <c r="C1522" t="inlineStr">
        <is>
          <t>Föryngringsavverkning</t>
        </is>
      </c>
      <c r="D1522" s="1" t="n">
        <v>46302</v>
      </c>
      <c r="E1522" s="1" t="n">
        <v>46307</v>
      </c>
      <c r="F1522" t="inlineStr">
        <is>
          <t>GÄVLEBORGS LÄN</t>
        </is>
      </c>
      <c r="G1522" t="inlineStr">
        <is>
          <t>HUDIKSVALL</t>
        </is>
      </c>
      <c r="H1522" t="inlineStr">
        <is>
          <t>Holmen skog AB</t>
        </is>
      </c>
      <c r="I1522" t="n">
        <v>2.6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s="2" t="inlineStr"/>
    </row>
    <row r="1523" ht="15" customHeight="1">
      <c r="A1523" t="inlineStr">
        <is>
          <t>A 28800-2026</t>
        </is>
      </c>
      <c r="B1523" t="inlineStr">
        <is>
          <t>avverkningsanmälan</t>
        </is>
      </c>
      <c r="C1523" t="inlineStr">
        <is>
          <t>Avverkning för annat ändamål</t>
        </is>
      </c>
      <c r="D1523" s="1" t="n">
        <v>46198</v>
      </c>
      <c r="E1523" s="1" t="n">
        <v>46307</v>
      </c>
      <c r="F1523" t="inlineStr">
        <is>
          <t>GÄVLEBORGS LÄN</t>
        </is>
      </c>
      <c r="G1523" t="inlineStr">
        <is>
          <t>HUDIKSVALL</t>
        </is>
      </c>
      <c r="I1523" t="n">
        <v>2.1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s="2" t="inlineStr"/>
    </row>
    <row r="1524" ht="15" customHeight="1">
      <c r="A1524" t="inlineStr">
        <is>
          <t>A 41378-2026</t>
        </is>
      </c>
      <c r="B1524" t="inlineStr">
        <is>
          <t>avverkningsanmälan</t>
        </is>
      </c>
      <c r="C1524" t="inlineStr">
        <is>
          <t>Föryngringsavverkning</t>
        </is>
      </c>
      <c r="D1524" s="1" t="n">
        <v>46301</v>
      </c>
      <c r="E1524" s="1" t="n">
        <v>46307</v>
      </c>
      <c r="F1524" t="inlineStr">
        <is>
          <t>GÄVLEBORGS LÄN</t>
        </is>
      </c>
      <c r="G1524" t="inlineStr">
        <is>
          <t>HUDIKSVALL</t>
        </is>
      </c>
      <c r="H1524" t="inlineStr">
        <is>
          <t>Holmen skog AB</t>
        </is>
      </c>
      <c r="I1524" t="n">
        <v>4.4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s="2" t="inlineStr"/>
    </row>
    <row r="1525" ht="15" customHeight="1">
      <c r="A1525" t="inlineStr">
        <is>
          <t>A 13390-2026</t>
        </is>
      </c>
      <c r="B1525" t="inlineStr">
        <is>
          <t>avverkningsanmälan</t>
        </is>
      </c>
      <c r="C1525" t="inlineStr">
        <is>
          <t>Föryngringsavverkning</t>
        </is>
      </c>
      <c r="D1525" s="1" t="n">
        <v>46094</v>
      </c>
      <c r="E1525" s="1" t="n">
        <v>46307</v>
      </c>
      <c r="F1525" t="inlineStr">
        <is>
          <t>GÄVLEBORGS LÄN</t>
        </is>
      </c>
      <c r="G1525" t="inlineStr">
        <is>
          <t>HUDIKSVALL</t>
        </is>
      </c>
      <c r="I1525" t="n">
        <v>1.7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s="2" t="inlineStr"/>
    </row>
    <row r="1526" ht="15" customHeight="1">
      <c r="A1526" t="inlineStr">
        <is>
          <t>A 41466-2026</t>
        </is>
      </c>
      <c r="B1526" t="inlineStr">
        <is>
          <t>avverkningsanmälan</t>
        </is>
      </c>
      <c r="C1526" t="inlineStr">
        <is>
          <t>Föryngringsavverkning</t>
        </is>
      </c>
      <c r="D1526" s="1" t="n">
        <v>46301</v>
      </c>
      <c r="E1526" s="1" t="n">
        <v>46307</v>
      </c>
      <c r="F1526" t="inlineStr">
        <is>
          <t>GÄVLEBORGS LÄN</t>
        </is>
      </c>
      <c r="G1526" t="inlineStr">
        <is>
          <t>HUDIKSVALL</t>
        </is>
      </c>
      <c r="I1526" t="n">
        <v>0.5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s="2" t="inlineStr"/>
    </row>
    <row r="1527" ht="15" customHeight="1">
      <c r="A1527" t="inlineStr">
        <is>
          <t>A 24238-2025</t>
        </is>
      </c>
      <c r="B1527" t="inlineStr">
        <is>
          <t>avverkningsanmälan</t>
        </is>
      </c>
      <c r="C1527" t="inlineStr">
        <is>
          <t>Föryngringsavverkning</t>
        </is>
      </c>
      <c r="D1527" s="1" t="n">
        <v>45797</v>
      </c>
      <c r="E1527" s="1" t="n">
        <v>46307</v>
      </c>
      <c r="F1527" t="inlineStr">
        <is>
          <t>GÄVLEBORGS LÄN</t>
        </is>
      </c>
      <c r="G1527" t="inlineStr">
        <is>
          <t>HUDIKSVALL</t>
        </is>
      </c>
      <c r="I1527" t="n">
        <v>0.9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s="2" t="inlineStr"/>
    </row>
    <row r="1528" ht="15" customHeight="1">
      <c r="A1528" t="inlineStr">
        <is>
          <t>A 14530-2026</t>
        </is>
      </c>
      <c r="B1528" t="inlineStr">
        <is>
          <t>avverkningsanmälan</t>
        </is>
      </c>
      <c r="C1528" t="inlineStr">
        <is>
          <t>Föryngringsavverkning</t>
        </is>
      </c>
      <c r="D1528" s="1" t="n">
        <v>46100</v>
      </c>
      <c r="E1528" s="1" t="n">
        <v>46307</v>
      </c>
      <c r="F1528" t="inlineStr">
        <is>
          <t>GÄVLEBORGS LÄN</t>
        </is>
      </c>
      <c r="G1528" t="inlineStr">
        <is>
          <t>HUDIKSVALL</t>
        </is>
      </c>
      <c r="I1528" t="n">
        <v>1.4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s="2" t="inlineStr"/>
    </row>
    <row r="1529" ht="15" customHeight="1">
      <c r="A1529" t="inlineStr">
        <is>
          <t>A 10148-2026</t>
        </is>
      </c>
      <c r="B1529" t="inlineStr">
        <is>
          <t>avverkningsanmälan</t>
        </is>
      </c>
      <c r="C1529" t="inlineStr">
        <is>
          <t>Föryngringsavverkning</t>
        </is>
      </c>
      <c r="D1529" s="1" t="n">
        <v>46076</v>
      </c>
      <c r="E1529" s="1" t="n">
        <v>46307</v>
      </c>
      <c r="F1529" t="inlineStr">
        <is>
          <t>GÄVLEBORGS LÄN</t>
        </is>
      </c>
      <c r="G1529" t="inlineStr">
        <is>
          <t>HUDIKSVALL</t>
        </is>
      </c>
      <c r="I1529" t="n">
        <v>0.3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s="2" t="inlineStr"/>
    </row>
    <row r="1530" ht="15" customHeight="1">
      <c r="A1530" t="inlineStr">
        <is>
          <t>A 41842-2026</t>
        </is>
      </c>
      <c r="B1530" t="inlineStr">
        <is>
          <t>avverkningsanmälan</t>
        </is>
      </c>
      <c r="C1530" t="inlineStr">
        <is>
          <t>Föryngringsavverkning</t>
        </is>
      </c>
      <c r="D1530" s="1" t="n">
        <v>46303</v>
      </c>
      <c r="E1530" s="1" t="n">
        <v>46307</v>
      </c>
      <c r="F1530" t="inlineStr">
        <is>
          <t>GÄVLEBORGS LÄN</t>
        </is>
      </c>
      <c r="G1530" t="inlineStr">
        <is>
          <t>HUDIKSVALL</t>
        </is>
      </c>
      <c r="H1530" t="inlineStr">
        <is>
          <t>Sveaskog</t>
        </is>
      </c>
      <c r="I1530" t="n">
        <v>8.9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s="2" t="inlineStr"/>
    </row>
    <row r="1531" ht="15" customHeight="1">
      <c r="A1531" t="inlineStr">
        <is>
          <t>A 41847-2026</t>
        </is>
      </c>
      <c r="B1531" t="inlineStr">
        <is>
          <t>avverkningsanmälan</t>
        </is>
      </c>
      <c r="C1531" t="inlineStr">
        <is>
          <t>Föryngringsavverkning</t>
        </is>
      </c>
      <c r="D1531" s="1" t="n">
        <v>46303</v>
      </c>
      <c r="E1531" s="1" t="n">
        <v>46307</v>
      </c>
      <c r="F1531" t="inlineStr">
        <is>
          <t>GÄVLEBORGS LÄN</t>
        </is>
      </c>
      <c r="G1531" t="inlineStr">
        <is>
          <t>HUDIKSVALL</t>
        </is>
      </c>
      <c r="I1531" t="n">
        <v>3.6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s="2" t="inlineStr"/>
    </row>
    <row r="1532" ht="15" customHeight="1">
      <c r="A1532" t="inlineStr">
        <is>
          <t>A 42110-2026</t>
        </is>
      </c>
      <c r="B1532" t="inlineStr">
        <is>
          <t>avverkningsanmälan</t>
        </is>
      </c>
      <c r="C1532" t="inlineStr">
        <is>
          <t>Föryngringsavverkning</t>
        </is>
      </c>
      <c r="D1532" s="1" t="n">
        <v>46304</v>
      </c>
      <c r="E1532" s="1" t="n">
        <v>46307</v>
      </c>
      <c r="F1532" t="inlineStr">
        <is>
          <t>GÄVLEBORGS LÄN</t>
        </is>
      </c>
      <c r="G1532" t="inlineStr">
        <is>
          <t>HUDIKSVALL</t>
        </is>
      </c>
      <c r="I1532" t="n">
        <v>0.9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s="2" t="inlineStr"/>
    </row>
    <row r="1533" ht="15" customHeight="1">
      <c r="A1533" t="inlineStr">
        <is>
          <t>A 41860-2026</t>
        </is>
      </c>
      <c r="B1533" t="inlineStr">
        <is>
          <t>avverkningsanmälan</t>
        </is>
      </c>
      <c r="C1533" t="inlineStr">
        <is>
          <t>Föryngringsavverkning</t>
        </is>
      </c>
      <c r="D1533" s="1" t="n">
        <v>46303</v>
      </c>
      <c r="E1533" s="1" t="n">
        <v>46307</v>
      </c>
      <c r="F1533" t="inlineStr">
        <is>
          <t>GÄVLEBORGS LÄN</t>
        </is>
      </c>
      <c r="G1533" t="inlineStr">
        <is>
          <t>HUDIKSVALL</t>
        </is>
      </c>
      <c r="I1533" t="n">
        <v>5.9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s="2" t="inlineStr"/>
    </row>
    <row r="1534" ht="15" customHeight="1">
      <c r="A1534" t="inlineStr">
        <is>
          <t>A 32367-2026</t>
        </is>
      </c>
      <c r="B1534" t="inlineStr">
        <is>
          <t>avverkningsanmälan</t>
        </is>
      </c>
      <c r="C1534" t="inlineStr">
        <is>
          <t>Föryngringsavverkning</t>
        </is>
      </c>
      <c r="D1534" s="1" t="n">
        <v>46238</v>
      </c>
      <c r="E1534" s="1" t="n">
        <v>46307</v>
      </c>
      <c r="F1534" t="inlineStr">
        <is>
          <t>GÄVLEBORGS LÄN</t>
        </is>
      </c>
      <c r="G1534" t="inlineStr">
        <is>
          <t>HUDIKSVALL</t>
        </is>
      </c>
      <c r="I1534" t="n">
        <v>0.8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s="2" t="inlineStr"/>
    </row>
    <row r="1535" ht="15" customHeight="1">
      <c r="A1535" t="inlineStr">
        <is>
          <t>A 35169-2026</t>
        </is>
      </c>
      <c r="B1535" t="inlineStr">
        <is>
          <t>avverkningsanmälan</t>
        </is>
      </c>
      <c r="C1535" t="inlineStr">
        <is>
          <t>Föryngringsavverkning</t>
        </is>
      </c>
      <c r="D1535" s="1" t="n">
        <v>46260</v>
      </c>
      <c r="E1535" s="1" t="n">
        <v>46307</v>
      </c>
      <c r="F1535" t="inlineStr">
        <is>
          <t>GÄVLEBORGS LÄN</t>
        </is>
      </c>
      <c r="G1535" t="inlineStr">
        <is>
          <t>HUDIKSVALL</t>
        </is>
      </c>
      <c r="H1535" t="inlineStr">
        <is>
          <t>Kommuner</t>
        </is>
      </c>
      <c r="I1535" t="n">
        <v>2.8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s="2" t="inlineStr"/>
    </row>
    <row r="1536" ht="15" customHeight="1">
      <c r="A1536" t="inlineStr">
        <is>
          <t>A 22466-2026</t>
        </is>
      </c>
      <c r="B1536" t="inlineStr">
        <is>
          <t>avverkningsanmälan</t>
        </is>
      </c>
      <c r="C1536" t="inlineStr">
        <is>
          <t>Föryngringsavverkning</t>
        </is>
      </c>
      <c r="D1536" s="1" t="n">
        <v>46155</v>
      </c>
      <c r="E1536" s="1" t="n">
        <v>46307</v>
      </c>
      <c r="F1536" t="inlineStr">
        <is>
          <t>GÄVLEBORGS LÄN</t>
        </is>
      </c>
      <c r="G1536" t="inlineStr">
        <is>
          <t>HUDIKSVALL</t>
        </is>
      </c>
      <c r="H1536" t="inlineStr">
        <is>
          <t>Holmen skog AB</t>
        </is>
      </c>
      <c r="I1536" t="n">
        <v>1.8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s="2" t="inlineStr"/>
    </row>
    <row r="1537" ht="15" customHeight="1">
      <c r="A1537" t="inlineStr">
        <is>
          <t>A 35170-2026</t>
        </is>
      </c>
      <c r="B1537" t="inlineStr">
        <is>
          <t>avverkningsanmälan</t>
        </is>
      </c>
      <c r="C1537" t="inlineStr">
        <is>
          <t>Föryngringsavverkning</t>
        </is>
      </c>
      <c r="D1537" s="1" t="n">
        <v>46260</v>
      </c>
      <c r="E1537" s="1" t="n">
        <v>46307</v>
      </c>
      <c r="F1537" t="inlineStr">
        <is>
          <t>GÄVLEBORGS LÄN</t>
        </is>
      </c>
      <c r="G1537" t="inlineStr">
        <is>
          <t>HUDIKSVALL</t>
        </is>
      </c>
      <c r="H1537" t="inlineStr">
        <is>
          <t>Kommuner</t>
        </is>
      </c>
      <c r="I1537" t="n">
        <v>2.6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s="2" t="inlineStr"/>
    </row>
    <row r="1538" ht="15" customHeight="1">
      <c r="A1538" t="inlineStr">
        <is>
          <t>A 59326-2025</t>
        </is>
      </c>
      <c r="B1538" t="inlineStr">
        <is>
          <t>avverkningsanmälan</t>
        </is>
      </c>
      <c r="C1538" t="inlineStr">
        <is>
          <t>Föryngringsavverkning</t>
        </is>
      </c>
      <c r="D1538" s="1" t="n">
        <v>45989</v>
      </c>
      <c r="E1538" s="1" t="n">
        <v>46307</v>
      </c>
      <c r="F1538" t="inlineStr">
        <is>
          <t>GÄVLEBORGS LÄN</t>
        </is>
      </c>
      <c r="G1538" t="inlineStr">
        <is>
          <t>HUDIKSVALL</t>
        </is>
      </c>
      <c r="I1538" t="n">
        <v>5.3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s="2" t="inlineStr"/>
    </row>
    <row r="1539" ht="15" customHeight="1">
      <c r="A1539" t="inlineStr">
        <is>
          <t>S 161-2025</t>
        </is>
      </c>
      <c r="B1539" t="inlineStr">
        <is>
          <t>samrådsanmälan</t>
        </is>
      </c>
      <c r="C1539" t="inlineStr">
        <is>
          <t>Skogsgödsling</t>
        </is>
      </c>
      <c r="D1539" s="1" t="n">
        <v>45670</v>
      </c>
      <c r="E1539" s="1" t="n">
        <v>46307</v>
      </c>
      <c r="F1539" t="inlineStr">
        <is>
          <t>GÄVLEBORGS LÄN</t>
        </is>
      </c>
      <c r="G1539" t="inlineStr">
        <is>
          <t>HUDIKSVALL</t>
        </is>
      </c>
      <c r="H1539" t="inlineStr">
        <is>
          <t>Holmen skog AB</t>
        </is>
      </c>
      <c r="I1539" t="n">
        <v>39.3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s="2" t="inlineStr"/>
    </row>
    <row r="1540" ht="15" customHeight="1">
      <c r="A1540" t="inlineStr">
        <is>
          <t>S 1025-2024</t>
        </is>
      </c>
      <c r="B1540" t="inlineStr">
        <is>
          <t>samrådsanmälan</t>
        </is>
      </c>
      <c r="C1540" t="inlineStr">
        <is>
          <t>Skogsgödsling</t>
        </is>
      </c>
      <c r="D1540" s="1" t="n">
        <v>45387</v>
      </c>
      <c r="E1540" s="1" t="n">
        <v>46307</v>
      </c>
      <c r="F1540" t="inlineStr">
        <is>
          <t>GÄVLEBORGS LÄN</t>
        </is>
      </c>
      <c r="G1540" t="inlineStr">
        <is>
          <t>HUDIKSVALL</t>
        </is>
      </c>
      <c r="H1540" t="inlineStr">
        <is>
          <t>Holmen skog AB</t>
        </is>
      </c>
      <c r="I1540" t="n">
        <v>117.6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s="2" t="inlineStr"/>
    </row>
    <row r="1541" ht="15" customHeight="1">
      <c r="A1541" t="inlineStr">
        <is>
          <t>S 4009-2023</t>
        </is>
      </c>
      <c r="B1541" t="inlineStr">
        <is>
          <t>samrådsanmälan</t>
        </is>
      </c>
      <c r="C1541" t="inlineStr">
        <is>
          <t>Skogsgödsling</t>
        </is>
      </c>
      <c r="D1541" s="1" t="n">
        <v>45237</v>
      </c>
      <c r="E1541" s="1" t="n">
        <v>46307</v>
      </c>
      <c r="F1541" t="inlineStr">
        <is>
          <t>GÄVLEBORGS LÄN</t>
        </is>
      </c>
      <c r="G1541" t="inlineStr">
        <is>
          <t>HUDIKSVALL</t>
        </is>
      </c>
      <c r="H1541" t="inlineStr">
        <is>
          <t>Holmen skog AB</t>
        </is>
      </c>
      <c r="I1541" t="n">
        <v>10.6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s="2" t="inlineStr"/>
    </row>
    <row r="1542" ht="15" customHeight="1">
      <c r="A1542" t="inlineStr">
        <is>
          <t>S 4008-2023</t>
        </is>
      </c>
      <c r="B1542" t="inlineStr">
        <is>
          <t>samrådsanmälan</t>
        </is>
      </c>
      <c r="C1542" t="inlineStr">
        <is>
          <t>Skogsgödsling</t>
        </is>
      </c>
      <c r="D1542" s="1" t="n">
        <v>45237</v>
      </c>
      <c r="E1542" s="1" t="n">
        <v>46307</v>
      </c>
      <c r="F1542" t="inlineStr">
        <is>
          <t>GÄVLEBORGS LÄN</t>
        </is>
      </c>
      <c r="G1542" t="inlineStr">
        <is>
          <t>HUDIKSVALL</t>
        </is>
      </c>
      <c r="H1542" t="inlineStr">
        <is>
          <t>Holmen skog AB</t>
        </is>
      </c>
      <c r="I1542" t="n">
        <v>42.8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s="2" t="inlineStr"/>
    </row>
    <row r="1543" ht="15" customHeight="1">
      <c r="A1543" t="inlineStr">
        <is>
          <t>S 10198-2021</t>
        </is>
      </c>
      <c r="B1543" t="inlineStr">
        <is>
          <t>samrådsanmälan</t>
        </is>
      </c>
      <c r="C1543" t="inlineStr">
        <is>
          <t>Skogsgödsling</t>
        </is>
      </c>
      <c r="D1543" s="1" t="n">
        <v>44543</v>
      </c>
      <c r="E1543" s="1" t="n">
        <v>46307</v>
      </c>
      <c r="F1543" t="inlineStr">
        <is>
          <t>GÄVLEBORGS LÄN</t>
        </is>
      </c>
      <c r="G1543" t="inlineStr">
        <is>
          <t>HUDIKSVALL</t>
        </is>
      </c>
      <c r="I1543" t="n">
        <v>2.8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s="2" t="inlineStr"/>
    </row>
    <row r="1544" ht="15" customHeight="1">
      <c r="A1544" t="inlineStr">
        <is>
          <t>S 5089-2024</t>
        </is>
      </c>
      <c r="B1544" t="inlineStr">
        <is>
          <t>samrådsanmälan</t>
        </is>
      </c>
      <c r="C1544" t="inlineStr">
        <is>
          <t>Skogsgödsling</t>
        </is>
      </c>
      <c r="D1544" s="1" t="n">
        <v>45639</v>
      </c>
      <c r="E1544" s="1" t="n">
        <v>46307</v>
      </c>
      <c r="F1544" t="inlineStr">
        <is>
          <t>GÄVLEBORGS LÄN</t>
        </is>
      </c>
      <c r="G1544" t="inlineStr">
        <is>
          <t>HUDIKSVALL</t>
        </is>
      </c>
      <c r="I1544" t="n">
        <v>17.2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s="2" t="inlineStr"/>
    </row>
    <row r="1545" ht="15" customHeight="1">
      <c r="A1545" t="inlineStr">
        <is>
          <t>S 125-2025</t>
        </is>
      </c>
      <c r="B1545" t="inlineStr">
        <is>
          <t>samrådsanmälan</t>
        </is>
      </c>
      <c r="C1545" t="inlineStr">
        <is>
          <t>Skogsgödsling</t>
        </is>
      </c>
      <c r="D1545" s="1" t="n">
        <v>45670</v>
      </c>
      <c r="E1545" s="1" t="n">
        <v>46307</v>
      </c>
      <c r="F1545" t="inlineStr">
        <is>
          <t>GÄVLEBORGS LÄN</t>
        </is>
      </c>
      <c r="G1545" t="inlineStr">
        <is>
          <t>HUDIKSVALL</t>
        </is>
      </c>
      <c r="H1545" t="inlineStr">
        <is>
          <t>Holmen skog AB</t>
        </is>
      </c>
      <c r="I1545" t="n">
        <v>29.4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s="2" t="inlineStr"/>
    </row>
    <row r="1546" ht="15" customHeight="1">
      <c r="A1546" t="inlineStr">
        <is>
          <t>S 126-2025</t>
        </is>
      </c>
      <c r="B1546" t="inlineStr">
        <is>
          <t>samrådsanmälan</t>
        </is>
      </c>
      <c r="C1546" t="inlineStr">
        <is>
          <t>Skogsgödsling</t>
        </is>
      </c>
      <c r="D1546" s="1" t="n">
        <v>45670</v>
      </c>
      <c r="E1546" s="1" t="n">
        <v>46307</v>
      </c>
      <c r="F1546" t="inlineStr">
        <is>
          <t>GÄVLEBORGS LÄN</t>
        </is>
      </c>
      <c r="G1546" t="inlineStr">
        <is>
          <t>HUDIKSVALL</t>
        </is>
      </c>
      <c r="H1546" t="inlineStr">
        <is>
          <t>Holmen skog AB</t>
        </is>
      </c>
      <c r="I1546" t="n">
        <v>2.1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s="2" t="inlineStr"/>
    </row>
    <row r="1547" ht="15" customHeight="1">
      <c r="A1547" t="inlineStr">
        <is>
          <t>S 4021-2023</t>
        </is>
      </c>
      <c r="B1547" t="inlineStr">
        <is>
          <t>samrådsanmälan</t>
        </is>
      </c>
      <c r="C1547" t="inlineStr">
        <is>
          <t>Skogsgödsling</t>
        </is>
      </c>
      <c r="D1547" s="1" t="n">
        <v>45237</v>
      </c>
      <c r="E1547" s="1" t="n">
        <v>46307</v>
      </c>
      <c r="F1547" t="inlineStr">
        <is>
          <t>GÄVLEBORGS LÄN</t>
        </is>
      </c>
      <c r="G1547" t="inlineStr">
        <is>
          <t>HUDIKSVALL</t>
        </is>
      </c>
      <c r="H1547" t="inlineStr">
        <is>
          <t>Holmen skog AB</t>
        </is>
      </c>
      <c r="I1547" t="n">
        <v>29.1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s="2" t="inlineStr"/>
      <c r="Z1547">
        <f>HYPERLINK("https://klasma.github.io/Logging_2184/knärot/S 4021-2023 karta knärot.png", "S 4021-2023")</f>
        <v/>
      </c>
      <c r="AA1547">
        <f>HYPERLINK("https://klasma.github.io/Logging_2184/klagomål/S 4021-2023 FSC-klagomål.docx", "S 4021-2023")</f>
        <v/>
      </c>
      <c r="AB1547">
        <f>HYPERLINK("https://klasma.github.io/Logging_2184/klagomålsmail/S 4021-2023 FSC-klagomål mail.docx", "S 4021-2023")</f>
        <v/>
      </c>
      <c r="AC1547">
        <f>HYPERLINK("https://klasma.github.io/Logging_2184/tillsyn/S 4021-2023 tillsynsbegäran.docx", "S 4021-2023")</f>
        <v/>
      </c>
      <c r="AD1547">
        <f>HYPERLINK("https://klasma.github.io/Logging_2184/tillsynsmail/S 4021-2023 tillsynsbegäran mail.docx", "S 4021-2023")</f>
        <v/>
      </c>
    </row>
    <row r="1548" ht="15" customHeight="1">
      <c r="A1548" t="inlineStr">
        <is>
          <t>S 130-2025</t>
        </is>
      </c>
      <c r="B1548" t="inlineStr">
        <is>
          <t>samrådsanmälan</t>
        </is>
      </c>
      <c r="C1548" t="inlineStr">
        <is>
          <t>Skogsgödsling</t>
        </is>
      </c>
      <c r="D1548" s="1" t="n">
        <v>45670</v>
      </c>
      <c r="E1548" s="1" t="n">
        <v>46307</v>
      </c>
      <c r="F1548" t="inlineStr">
        <is>
          <t>GÄVLEBORGS LÄN</t>
        </is>
      </c>
      <c r="G1548" t="inlineStr">
        <is>
          <t>HUDIKSVALL</t>
        </is>
      </c>
      <c r="H1548" t="inlineStr">
        <is>
          <t>Holmen skog AB</t>
        </is>
      </c>
      <c r="I1548" t="n">
        <v>18.8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s="2" t="inlineStr"/>
    </row>
    <row r="1549" ht="15" customHeight="1">
      <c r="A1549" t="inlineStr">
        <is>
          <t>S 4013-2023</t>
        </is>
      </c>
      <c r="B1549" t="inlineStr">
        <is>
          <t>samrådsanmälan</t>
        </is>
      </c>
      <c r="C1549" t="inlineStr">
        <is>
          <t>Skogsgödsling</t>
        </is>
      </c>
      <c r="D1549" s="1" t="n">
        <v>45237</v>
      </c>
      <c r="E1549" s="1" t="n">
        <v>46307</v>
      </c>
      <c r="F1549" t="inlineStr">
        <is>
          <t>GÄVLEBORGS LÄN</t>
        </is>
      </c>
      <c r="G1549" t="inlineStr">
        <is>
          <t>HUDIKSVALL</t>
        </is>
      </c>
      <c r="H1549" t="inlineStr">
        <is>
          <t>Holmen skog AB</t>
        </is>
      </c>
      <c r="I1549" t="n">
        <v>7.9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s="2" t="inlineStr"/>
    </row>
    <row r="1550" ht="15" customHeight="1">
      <c r="A1550" t="inlineStr">
        <is>
          <t>S 1023-2024</t>
        </is>
      </c>
      <c r="B1550" t="inlineStr">
        <is>
          <t>samrådsanmälan</t>
        </is>
      </c>
      <c r="C1550" t="inlineStr">
        <is>
          <t>Skogsgödsling</t>
        </is>
      </c>
      <c r="D1550" s="1" t="n">
        <v>45387</v>
      </c>
      <c r="E1550" s="1" t="n">
        <v>46307</v>
      </c>
      <c r="F1550" t="inlineStr">
        <is>
          <t>GÄVLEBORGS LÄN</t>
        </is>
      </c>
      <c r="G1550" t="inlineStr">
        <is>
          <t>HUDIKSVALL</t>
        </is>
      </c>
      <c r="H1550" t="inlineStr">
        <is>
          <t>Holmen skog AB</t>
        </is>
      </c>
      <c r="I1550" t="n">
        <v>153.3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s="2" t="inlineStr"/>
    </row>
    <row r="1551" ht="15" customHeight="1">
      <c r="A1551" t="inlineStr">
        <is>
          <t>S 115-2025</t>
        </is>
      </c>
      <c r="B1551" t="inlineStr">
        <is>
          <t>samrådsanmälan</t>
        </is>
      </c>
      <c r="C1551" t="inlineStr">
        <is>
          <t>Skogsgödsling</t>
        </is>
      </c>
      <c r="D1551" s="1" t="n">
        <v>45670</v>
      </c>
      <c r="E1551" s="1" t="n">
        <v>46307</v>
      </c>
      <c r="F1551" t="inlineStr">
        <is>
          <t>GÄVLEBORGS LÄN</t>
        </is>
      </c>
      <c r="G1551" t="inlineStr">
        <is>
          <t>HUDIKSVALL</t>
        </is>
      </c>
      <c r="H1551" t="inlineStr">
        <is>
          <t>Holmen skog AB</t>
        </is>
      </c>
      <c r="I1551" t="n">
        <v>47.1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s="2" t="inlineStr"/>
    </row>
    <row r="1552" ht="15" customHeight="1">
      <c r="A1552" t="inlineStr">
        <is>
          <t>S 124-2025</t>
        </is>
      </c>
      <c r="B1552" t="inlineStr">
        <is>
          <t>samrådsanmälan</t>
        </is>
      </c>
      <c r="C1552" t="inlineStr">
        <is>
          <t>Skogsgödsling</t>
        </is>
      </c>
      <c r="D1552" s="1" t="n">
        <v>45670</v>
      </c>
      <c r="E1552" s="1" t="n">
        <v>46307</v>
      </c>
      <c r="F1552" t="inlineStr">
        <is>
          <t>GÄVLEBORGS LÄN</t>
        </is>
      </c>
      <c r="G1552" t="inlineStr">
        <is>
          <t>HUDIKSVALL</t>
        </is>
      </c>
      <c r="H1552" t="inlineStr">
        <is>
          <t>Holmen skog AB</t>
        </is>
      </c>
      <c r="I1552" t="n">
        <v>74.09999999999999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s="2" t="inlineStr"/>
    </row>
    <row r="1553" ht="15" customHeight="1">
      <c r="A1553" t="inlineStr">
        <is>
          <t>S 137-2025</t>
        </is>
      </c>
      <c r="B1553" t="inlineStr">
        <is>
          <t>samrådsanmälan</t>
        </is>
      </c>
      <c r="C1553" t="inlineStr">
        <is>
          <t>Skogsgödsling</t>
        </is>
      </c>
      <c r="D1553" s="1" t="n">
        <v>45670</v>
      </c>
      <c r="E1553" s="1" t="n">
        <v>46307</v>
      </c>
      <c r="F1553" t="inlineStr">
        <is>
          <t>GÄVLEBORGS LÄN</t>
        </is>
      </c>
      <c r="G1553" t="inlineStr">
        <is>
          <t>HUDIKSVALL</t>
        </is>
      </c>
      <c r="H1553" t="inlineStr">
        <is>
          <t>Holmen skog AB</t>
        </is>
      </c>
      <c r="I1553" t="n">
        <v>216.9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s="2" t="inlineStr"/>
    </row>
    <row r="1554" ht="15" customHeight="1">
      <c r="A1554" t="inlineStr">
        <is>
          <t>S 118-2025</t>
        </is>
      </c>
      <c r="B1554" t="inlineStr">
        <is>
          <t>samrådsanmälan</t>
        </is>
      </c>
      <c r="C1554" t="inlineStr">
        <is>
          <t>Skogsgödsling</t>
        </is>
      </c>
      <c r="D1554" s="1" t="n">
        <v>45670</v>
      </c>
      <c r="E1554" s="1" t="n">
        <v>46307</v>
      </c>
      <c r="F1554" t="inlineStr">
        <is>
          <t>GÄVLEBORGS LÄN</t>
        </is>
      </c>
      <c r="G1554" t="inlineStr">
        <is>
          <t>HUDIKSVALL</t>
        </is>
      </c>
      <c r="H1554" t="inlineStr">
        <is>
          <t>Holmen skog AB</t>
        </is>
      </c>
      <c r="I1554" t="n">
        <v>103.8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s="2" t="inlineStr"/>
    </row>
    <row r="1555" ht="15" customHeight="1">
      <c r="A1555" t="inlineStr">
        <is>
          <t>S 4017-2023</t>
        </is>
      </c>
      <c r="B1555" t="inlineStr">
        <is>
          <t>samrådsanmälan</t>
        </is>
      </c>
      <c r="C1555" t="inlineStr">
        <is>
          <t>Skogsgödsling</t>
        </is>
      </c>
      <c r="D1555" s="1" t="n">
        <v>45237</v>
      </c>
      <c r="E1555" s="1" t="n">
        <v>46307</v>
      </c>
      <c r="F1555" t="inlineStr">
        <is>
          <t>GÄVLEBORGS LÄN</t>
        </is>
      </c>
      <c r="G1555" t="inlineStr">
        <is>
          <t>HUDIKSVALL</t>
        </is>
      </c>
      <c r="H1555" t="inlineStr">
        <is>
          <t>Holmen skog AB</t>
        </is>
      </c>
      <c r="I1555" t="n">
        <v>99.90000000000001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s="2" t="inlineStr"/>
    </row>
    <row r="1556" ht="15" customHeight="1">
      <c r="A1556" t="inlineStr">
        <is>
          <t>S 109-2025</t>
        </is>
      </c>
      <c r="B1556" t="inlineStr">
        <is>
          <t>samrådsanmälan</t>
        </is>
      </c>
      <c r="C1556" t="inlineStr">
        <is>
          <t>Skogsgödsling</t>
        </is>
      </c>
      <c r="D1556" s="1" t="n">
        <v>45670</v>
      </c>
      <c r="E1556" s="1" t="n">
        <v>46307</v>
      </c>
      <c r="F1556" t="inlineStr">
        <is>
          <t>GÄVLEBORGS LÄN</t>
        </is>
      </c>
      <c r="G1556" t="inlineStr">
        <is>
          <t>HUDIKSVALL</t>
        </is>
      </c>
      <c r="H1556" t="inlineStr">
        <is>
          <t>Holmen skog AB</t>
        </is>
      </c>
      <c r="I1556" t="n">
        <v>24.9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s="2" t="inlineStr"/>
    </row>
    <row r="1557" ht="15" customHeight="1">
      <c r="A1557" t="inlineStr">
        <is>
          <t>S 4011-2023</t>
        </is>
      </c>
      <c r="B1557" t="inlineStr">
        <is>
          <t>samrådsanmälan</t>
        </is>
      </c>
      <c r="C1557" t="inlineStr">
        <is>
          <t>Skogsgödsling</t>
        </is>
      </c>
      <c r="D1557" s="1" t="n">
        <v>45237</v>
      </c>
      <c r="E1557" s="1" t="n">
        <v>46307</v>
      </c>
      <c r="F1557" t="inlineStr">
        <is>
          <t>GÄVLEBORGS LÄN</t>
        </is>
      </c>
      <c r="G1557" t="inlineStr">
        <is>
          <t>HUDIKSVALL</t>
        </is>
      </c>
      <c r="H1557" t="inlineStr">
        <is>
          <t>Holmen skog AB</t>
        </is>
      </c>
      <c r="I1557" t="n">
        <v>97.90000000000001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s="2" t="inlineStr"/>
    </row>
    <row r="1558" ht="15" customHeight="1">
      <c r="A1558" t="inlineStr">
        <is>
          <t>S 123-2025</t>
        </is>
      </c>
      <c r="B1558" t="inlineStr">
        <is>
          <t>samrådsanmälan</t>
        </is>
      </c>
      <c r="C1558" t="inlineStr">
        <is>
          <t>Skogsgödsling</t>
        </is>
      </c>
      <c r="D1558" s="1" t="n">
        <v>45670</v>
      </c>
      <c r="E1558" s="1" t="n">
        <v>46307</v>
      </c>
      <c r="F1558" t="inlineStr">
        <is>
          <t>GÄVLEBORGS LÄN</t>
        </is>
      </c>
      <c r="G1558" t="inlineStr">
        <is>
          <t>HUDIKSVALL</t>
        </is>
      </c>
      <c r="I1558" t="n">
        <v>39.6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s="2" t="inlineStr"/>
    </row>
    <row r="1559" ht="15" customHeight="1">
      <c r="A1559" t="inlineStr">
        <is>
          <t>S 121-2025</t>
        </is>
      </c>
      <c r="B1559" t="inlineStr">
        <is>
          <t>samrådsanmälan</t>
        </is>
      </c>
      <c r="C1559" t="inlineStr">
        <is>
          <t>Skogsgödsling</t>
        </is>
      </c>
      <c r="D1559" s="1" t="n">
        <v>45670</v>
      </c>
      <c r="E1559" s="1" t="n">
        <v>46307</v>
      </c>
      <c r="F1559" t="inlineStr">
        <is>
          <t>GÄVLEBORGS LÄN</t>
        </is>
      </c>
      <c r="G1559" t="inlineStr">
        <is>
          <t>HUDIKSVALL</t>
        </is>
      </c>
      <c r="H1559" t="inlineStr">
        <is>
          <t>Holmen skog AB</t>
        </is>
      </c>
      <c r="I1559" t="n">
        <v>30.5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s="2" t="inlineStr"/>
    </row>
    <row r="1560" ht="15" customHeight="1">
      <c r="A1560" t="inlineStr">
        <is>
          <t>S 373-2023</t>
        </is>
      </c>
      <c r="B1560" t="inlineStr">
        <is>
          <t>samrådsanmälan</t>
        </is>
      </c>
      <c r="C1560" t="inlineStr">
        <is>
          <t>Skogsgödsling</t>
        </is>
      </c>
      <c r="D1560" s="1" t="n">
        <v>44959</v>
      </c>
      <c r="E1560" s="1" t="n">
        <v>46307</v>
      </c>
      <c r="F1560" t="inlineStr">
        <is>
          <t>GÄVLEBORGS LÄN</t>
        </is>
      </c>
      <c r="G1560" t="inlineStr">
        <is>
          <t>HUDIKSVALL</t>
        </is>
      </c>
      <c r="H1560" t="inlineStr">
        <is>
          <t>Holmen skog AB</t>
        </is>
      </c>
      <c r="I1560" t="n">
        <v>256.4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s="2" t="inlineStr"/>
    </row>
    <row r="1561" ht="15" customHeight="1">
      <c r="A1561" t="inlineStr">
        <is>
          <t>S 4016-2023</t>
        </is>
      </c>
      <c r="B1561" t="inlineStr">
        <is>
          <t>samrådsanmälan</t>
        </is>
      </c>
      <c r="C1561" t="inlineStr">
        <is>
          <t>Skogsgödsling</t>
        </is>
      </c>
      <c r="D1561" s="1" t="n">
        <v>45237</v>
      </c>
      <c r="E1561" s="1" t="n">
        <v>46307</v>
      </c>
      <c r="F1561" t="inlineStr">
        <is>
          <t>GÄVLEBORGS LÄN</t>
        </is>
      </c>
      <c r="G1561" t="inlineStr">
        <is>
          <t>HUDIKSVALL</t>
        </is>
      </c>
      <c r="H1561" t="inlineStr">
        <is>
          <t>Holmen skog AB</t>
        </is>
      </c>
      <c r="I1561" t="n">
        <v>172.2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s="2" t="inlineStr"/>
    </row>
    <row r="1562" ht="15" customHeight="1">
      <c r="A1562" t="inlineStr">
        <is>
          <t>S 129-2025</t>
        </is>
      </c>
      <c r="B1562" t="inlineStr">
        <is>
          <t>samrådsanmälan</t>
        </is>
      </c>
      <c r="C1562" t="inlineStr">
        <is>
          <t>Skogsgödsling</t>
        </is>
      </c>
      <c r="D1562" s="1" t="n">
        <v>45670</v>
      </c>
      <c r="E1562" s="1" t="n">
        <v>46307</v>
      </c>
      <c r="F1562" t="inlineStr">
        <is>
          <t>GÄVLEBORGS LÄN</t>
        </is>
      </c>
      <c r="G1562" t="inlineStr">
        <is>
          <t>HUDIKSVALL</t>
        </is>
      </c>
      <c r="H1562" t="inlineStr">
        <is>
          <t>Holmen skog AB</t>
        </is>
      </c>
      <c r="I1562" t="n">
        <v>97.3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s="2" t="inlineStr"/>
    </row>
    <row r="1563" ht="15" customHeight="1">
      <c r="A1563" t="inlineStr">
        <is>
          <t>S 110-2025</t>
        </is>
      </c>
      <c r="B1563" t="inlineStr">
        <is>
          <t>samrådsanmälan</t>
        </is>
      </c>
      <c r="C1563" t="inlineStr">
        <is>
          <t>Skogsgödsling</t>
        </is>
      </c>
      <c r="D1563" s="1" t="n">
        <v>45670</v>
      </c>
      <c r="E1563" s="1" t="n">
        <v>46307</v>
      </c>
      <c r="F1563" t="inlineStr">
        <is>
          <t>GÄVLEBORGS LÄN</t>
        </is>
      </c>
      <c r="G1563" t="inlineStr">
        <is>
          <t>HUDIKSVALL</t>
        </is>
      </c>
      <c r="H1563" t="inlineStr">
        <is>
          <t>Holmen skog AB</t>
        </is>
      </c>
      <c r="I1563" t="n">
        <v>206.1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s="2" t="inlineStr"/>
    </row>
    <row r="1564" ht="15" customHeight="1">
      <c r="A1564" t="inlineStr">
        <is>
          <t>S 1310-2025</t>
        </is>
      </c>
      <c r="B1564" t="inlineStr">
        <is>
          <t>samrådsanmälan</t>
        </is>
      </c>
      <c r="C1564" t="inlineStr">
        <is>
          <t>Annan skogsbruksåtgärd</t>
        </is>
      </c>
      <c r="D1564" s="1" t="n">
        <v>45770</v>
      </c>
      <c r="E1564" s="1" t="n">
        <v>46307</v>
      </c>
      <c r="F1564" t="inlineStr">
        <is>
          <t>GÄVLEBORGS LÄN</t>
        </is>
      </c>
      <c r="G1564" t="inlineStr">
        <is>
          <t>HUDIKSVALL</t>
        </is>
      </c>
      <c r="I1564" t="n">
        <v>4.5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s="2" t="inlineStr"/>
    </row>
    <row r="1565" ht="15" customHeight="1">
      <c r="A1565" t="inlineStr">
        <is>
          <t>S 1899-2025</t>
        </is>
      </c>
      <c r="B1565" t="inlineStr">
        <is>
          <t>samrådsanmälan</t>
        </is>
      </c>
      <c r="C1565" t="inlineStr">
        <is>
          <t>Annan skogsbruksåtgärd</t>
        </is>
      </c>
      <c r="D1565" s="1" t="n">
        <v>45825</v>
      </c>
      <c r="E1565" s="1" t="n">
        <v>46307</v>
      </c>
      <c r="F1565" t="inlineStr">
        <is>
          <t>GÄVLEBORGS LÄN</t>
        </is>
      </c>
      <c r="G1565" t="inlineStr">
        <is>
          <t>HUDIKSVALL</t>
        </is>
      </c>
      <c r="I1565" t="n">
        <v>1.8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s="2" t="inlineStr"/>
    </row>
    <row r="1566" ht="15" customHeight="1">
      <c r="A1566" t="inlineStr">
        <is>
          <t>S 3428-2025</t>
        </is>
      </c>
      <c r="B1566" t="inlineStr">
        <is>
          <t>samrådsanmälan</t>
        </is>
      </c>
      <c r="C1566" t="inlineStr">
        <is>
          <t>Skogsgödsling</t>
        </is>
      </c>
      <c r="D1566" s="1" t="n">
        <v>45995</v>
      </c>
      <c r="E1566" s="1" t="n">
        <v>46307</v>
      </c>
      <c r="F1566" t="inlineStr">
        <is>
          <t>GÄVLEBORGS LÄN</t>
        </is>
      </c>
      <c r="G1566" t="inlineStr">
        <is>
          <t>HUDIKSVALL</t>
        </is>
      </c>
      <c r="H1566" t="inlineStr">
        <is>
          <t>Holmen skog AB</t>
        </is>
      </c>
      <c r="I1566" t="n">
        <v>55.4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s="2" t="inlineStr"/>
    </row>
    <row r="1567" ht="15" customHeight="1">
      <c r="A1567" t="inlineStr">
        <is>
          <t>S 695-2026</t>
        </is>
      </c>
      <c r="B1567" t="inlineStr">
        <is>
          <t>samrådsanmälan</t>
        </is>
      </c>
      <c r="C1567" t="inlineStr">
        <is>
          <t>Skogsgödsling</t>
        </is>
      </c>
      <c r="D1567" s="1" t="n">
        <v>46091</v>
      </c>
      <c r="E1567" s="1" t="n">
        <v>46307</v>
      </c>
      <c r="F1567" t="inlineStr">
        <is>
          <t>GÄVLEBORGS LÄN</t>
        </is>
      </c>
      <c r="G1567" t="inlineStr">
        <is>
          <t>HUDIKSVALL</t>
        </is>
      </c>
      <c r="I1567" t="n">
        <v>12.2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s="2" t="inlineStr"/>
    </row>
    <row r="1568" ht="15" customHeight="1">
      <c r="A1568" t="inlineStr">
        <is>
          <t>S 1968-2026</t>
        </is>
      </c>
      <c r="B1568" t="inlineStr">
        <is>
          <t>samrådsanmälan</t>
        </is>
      </c>
      <c r="C1568" t="inlineStr">
        <is>
          <t>Annan skogsbruksåtgärd</t>
        </is>
      </c>
      <c r="D1568" s="1" t="n">
        <v>46210</v>
      </c>
      <c r="E1568" s="1" t="n">
        <v>46307</v>
      </c>
      <c r="F1568" t="inlineStr">
        <is>
          <t>GÄVLEBORGS LÄN</t>
        </is>
      </c>
      <c r="G1568" t="inlineStr">
        <is>
          <t>HUDIKSVALL</t>
        </is>
      </c>
      <c r="I1568" t="n">
        <v>0.2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s="2" t="inlineStr"/>
    </row>
    <row r="1569" ht="15" customHeight="1">
      <c r="A1569" t="inlineStr">
        <is>
          <t>S 1969-2026</t>
        </is>
      </c>
      <c r="B1569" t="inlineStr">
        <is>
          <t>samrådsanmälan</t>
        </is>
      </c>
      <c r="C1569" t="inlineStr">
        <is>
          <t>Annan skogsbruksåtgärd</t>
        </is>
      </c>
      <c r="D1569" s="1" t="n">
        <v>46210</v>
      </c>
      <c r="E1569" s="1" t="n">
        <v>46307</v>
      </c>
      <c r="F1569" t="inlineStr">
        <is>
          <t>GÄVLEBORGS LÄN</t>
        </is>
      </c>
      <c r="G1569" t="inlineStr">
        <is>
          <t>HUDIKSVALL</t>
        </is>
      </c>
      <c r="I1569" t="n">
        <v>0.1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s="2" t="inlineStr"/>
    </row>
    <row r="1570" ht="15" customHeight="1">
      <c r="A1570" t="inlineStr">
        <is>
          <t>S 1971-2026</t>
        </is>
      </c>
      <c r="B1570" t="inlineStr">
        <is>
          <t>samrådsanmälan</t>
        </is>
      </c>
      <c r="C1570" t="inlineStr">
        <is>
          <t>Annan skogsbruksåtgärd</t>
        </is>
      </c>
      <c r="D1570" s="1" t="n">
        <v>46210</v>
      </c>
      <c r="E1570" s="1" t="n">
        <v>46307</v>
      </c>
      <c r="F1570" t="inlineStr">
        <is>
          <t>GÄVLEBORGS LÄN</t>
        </is>
      </c>
      <c r="G1570" t="inlineStr">
        <is>
          <t>HUDIKSVALL</t>
        </is>
      </c>
      <c r="I1570" t="n">
        <v>1.3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s="2" t="inlineStr"/>
    </row>
    <row r="1571" ht="15" customHeight="1">
      <c r="A1571" t="inlineStr">
        <is>
          <t>S 246-2026</t>
        </is>
      </c>
      <c r="B1571" t="inlineStr">
        <is>
          <t>samrådsanmälan</t>
        </is>
      </c>
      <c r="C1571" t="inlineStr">
        <is>
          <t>Annan skogsbruksåtgärd</t>
        </is>
      </c>
      <c r="D1571" s="1" t="n">
        <v>46050</v>
      </c>
      <c r="E1571" s="1" t="n">
        <v>46307</v>
      </c>
      <c r="F1571" t="inlineStr">
        <is>
          <t>GÄVLEBORGS LÄN</t>
        </is>
      </c>
      <c r="G1571" t="inlineStr">
        <is>
          <t>HUDIKSVALL</t>
        </is>
      </c>
      <c r="I1571" t="n">
        <v>6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s="2" t="inlineStr"/>
    </row>
    <row r="1572">
      <c r="A1572" t="inlineStr">
        <is>
          <t>S 1533-2026</t>
        </is>
      </c>
      <c r="B1572" t="inlineStr">
        <is>
          <t>samrådsanmälan</t>
        </is>
      </c>
      <c r="C1572" t="inlineStr">
        <is>
          <t>Annan skogsbruksåtgärd</t>
        </is>
      </c>
      <c r="D1572" s="1" t="n">
        <v>46164</v>
      </c>
      <c r="E1572" s="1" t="n">
        <v>46307</v>
      </c>
      <c r="F1572" t="inlineStr">
        <is>
          <t>GÄVLEBORGS LÄN</t>
        </is>
      </c>
      <c r="G1572" t="inlineStr">
        <is>
          <t>HUDIKSVALL</t>
        </is>
      </c>
      <c r="I1572" t="n">
        <v>0.7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2026-10-12T02:02:23Z</dcterms:created>
  <dcterms:modified xmlns:dcterms="http://purl.org/dc/terms/" xmlns:xsi="http://www.w3.org/2001/XMLSchema-instance" xsi:type="dcterms:W3CDTF">2026-10-12T02:02:25Z</dcterms:modified>
</cp:coreProperties>
</file>