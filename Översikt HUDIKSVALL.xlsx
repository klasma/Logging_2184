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45744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45744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45744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45744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45744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45744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45744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11</v>
      </c>
      <c r="I8" t="n">
        <v>1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12</v>
      </c>
      <c r="R8" s="2" t="inlineStr">
        <is>
          <t>Grönfink
Hussvala
Stare
Björktrast
Grönsångare
Gulsparv
Mindre hackspett
Rödvingetrast
Spillkråka
Svartvit flugsnappare
Svart trolldruva
Gråkråka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45744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45744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45744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45744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45744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45744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45744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45744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45744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45744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45744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45744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45744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45744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45744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45744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45744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45744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45744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45744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45744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45744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45744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45744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45744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45744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45744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45744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45744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45744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45744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45744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45744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45744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45744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45744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45744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45744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45744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45744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45744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45744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45744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2846-2025</t>
        </is>
      </c>
      <c r="B52" s="1" t="n">
        <v>45677</v>
      </c>
      <c r="C52" s="1" t="n">
        <v>45744</v>
      </c>
      <c r="D52" t="inlineStr">
        <is>
          <t>GÄVLEBORGS LÄN</t>
        </is>
      </c>
      <c r="E52" t="inlineStr">
        <is>
          <t>HUDIKSVALL</t>
        </is>
      </c>
      <c r="G52" t="n">
        <v>2.7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Blanksvart spiklav
Ullticka
Vitplätt</t>
        </is>
      </c>
      <c r="S52">
        <f>HYPERLINK("https://klasma.github.io/Logging_2184/artfynd/A 2846-2025 artfynd.xlsx", "A 2846-2025")</f>
        <v/>
      </c>
      <c r="T52">
        <f>HYPERLINK("https://klasma.github.io/Logging_2184/kartor/A 2846-2025 karta.png", "A 2846-2025")</f>
        <v/>
      </c>
      <c r="V52">
        <f>HYPERLINK("https://klasma.github.io/Logging_2184/klagomål/A 2846-2025 FSC-klagomål.docx", "A 2846-2025")</f>
        <v/>
      </c>
      <c r="W52">
        <f>HYPERLINK("https://klasma.github.io/Logging_2184/klagomålsmail/A 2846-2025 FSC-klagomål mail.docx", "A 2846-2025")</f>
        <v/>
      </c>
      <c r="X52">
        <f>HYPERLINK("https://klasma.github.io/Logging_2184/tillsyn/A 2846-2025 tillsynsbegäran.docx", "A 2846-2025")</f>
        <v/>
      </c>
      <c r="Y52">
        <f>HYPERLINK("https://klasma.github.io/Logging_2184/tillsynsmail/A 2846-2025 tillsynsbegäran mail.docx", "A 2846-2025")</f>
        <v/>
      </c>
    </row>
    <row r="53" ht="15" customHeight="1">
      <c r="A53" t="inlineStr">
        <is>
          <t>A 13640-2025</t>
        </is>
      </c>
      <c r="B53" s="1" t="n">
        <v>45736</v>
      </c>
      <c r="C53" s="1" t="n">
        <v>45744</v>
      </c>
      <c r="D53" t="inlineStr">
        <is>
          <t>GÄVLEBORGS LÄN</t>
        </is>
      </c>
      <c r="E53" t="inlineStr">
        <is>
          <t>HUDIKSVALL</t>
        </is>
      </c>
      <c r="G53" t="n">
        <v>6.9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Fläcknycklar
Nattviol</t>
        </is>
      </c>
      <c r="S53">
        <f>HYPERLINK("https://klasma.github.io/Logging_2184/artfynd/A 13640-2025 artfynd.xlsx", "A 13640-2025")</f>
        <v/>
      </c>
      <c r="T53">
        <f>HYPERLINK("https://klasma.github.io/Logging_2184/kartor/A 13640-2025 karta.png", "A 13640-2025")</f>
        <v/>
      </c>
      <c r="V53">
        <f>HYPERLINK("https://klasma.github.io/Logging_2184/klagomål/A 13640-2025 FSC-klagomål.docx", "A 13640-2025")</f>
        <v/>
      </c>
      <c r="W53">
        <f>HYPERLINK("https://klasma.github.io/Logging_2184/klagomålsmail/A 13640-2025 FSC-klagomål mail.docx", "A 13640-2025")</f>
        <v/>
      </c>
      <c r="X53">
        <f>HYPERLINK("https://klasma.github.io/Logging_2184/tillsyn/A 13640-2025 tillsynsbegäran.docx", "A 13640-2025")</f>
        <v/>
      </c>
      <c r="Y53">
        <f>HYPERLINK("https://klasma.github.io/Logging_2184/tillsynsmail/A 13640-2025 tillsynsbegäran mail.docx", "A 13640-2025")</f>
        <v/>
      </c>
      <c r="Z53">
        <f>HYPERLINK("https://klasma.github.io/Logging_2184/fåglar/A 13640-2025 prioriterade fågelarter.docx", "A 13640-2025")</f>
        <v/>
      </c>
    </row>
    <row r="54" ht="15" customHeight="1">
      <c r="A54" t="inlineStr">
        <is>
          <t>A 33547-2019</t>
        </is>
      </c>
      <c r="B54" s="1" t="n">
        <v>43651</v>
      </c>
      <c r="C54" s="1" t="n">
        <v>45744</v>
      </c>
      <c r="D54" t="inlineStr">
        <is>
          <t>GÄVLEBORGS LÄN</t>
        </is>
      </c>
      <c r="E54" t="inlineStr">
        <is>
          <t>HUDIKSVALL</t>
        </is>
      </c>
      <c r="G54" t="n">
        <v>27.7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kärrhök
Kungsörn</t>
        </is>
      </c>
      <c r="S54">
        <f>HYPERLINK("https://klasma.github.io/Logging_2184/artfynd/A 33547-2019 artfynd.xlsx", "A 33547-2019")</f>
        <v/>
      </c>
      <c r="T54">
        <f>HYPERLINK("https://klasma.github.io/Logging_2184/kartor/A 33547-2019 karta.png", "A 33547-2019")</f>
        <v/>
      </c>
      <c r="V54">
        <f>HYPERLINK("https://klasma.github.io/Logging_2184/klagomål/A 33547-2019 FSC-klagomål.docx", "A 33547-2019")</f>
        <v/>
      </c>
      <c r="W54">
        <f>HYPERLINK("https://klasma.github.io/Logging_2184/klagomålsmail/A 33547-2019 FSC-klagomål mail.docx", "A 33547-2019")</f>
        <v/>
      </c>
      <c r="X54">
        <f>HYPERLINK("https://klasma.github.io/Logging_2184/tillsyn/A 33547-2019 tillsynsbegäran.docx", "A 33547-2019")</f>
        <v/>
      </c>
      <c r="Y54">
        <f>HYPERLINK("https://klasma.github.io/Logging_2184/tillsynsmail/A 33547-2019 tillsynsbegäran mail.docx", "A 33547-2019")</f>
        <v/>
      </c>
      <c r="Z54">
        <f>HYPERLINK("https://klasma.github.io/Logging_2184/fåglar/A 33547-2019 prioriterade fågelarter.docx", "A 33547-2019")</f>
        <v/>
      </c>
    </row>
    <row r="55" ht="15" customHeight="1">
      <c r="A55" t="inlineStr">
        <is>
          <t>A 116-2020</t>
        </is>
      </c>
      <c r="B55" s="1" t="n">
        <v>43832</v>
      </c>
      <c r="C55" s="1" t="n">
        <v>45744</v>
      </c>
      <c r="D55" t="inlineStr">
        <is>
          <t>GÄVLEBORGS LÄN</t>
        </is>
      </c>
      <c r="E55" t="inlineStr">
        <is>
          <t>HUDIKSVALL</t>
        </is>
      </c>
      <c r="G55" t="n">
        <v>7.1</v>
      </c>
      <c r="H55" t="n">
        <v>2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Gråkråka</t>
        </is>
      </c>
      <c r="S55">
        <f>HYPERLINK("https://klasma.github.io/Logging_2184/artfynd/A 116-2020 artfynd.xlsx", "A 116-2020")</f>
        <v/>
      </c>
      <c r="T55">
        <f>HYPERLINK("https://klasma.github.io/Logging_2184/kartor/A 116-2020 karta.png", "A 116-2020")</f>
        <v/>
      </c>
      <c r="V55">
        <f>HYPERLINK("https://klasma.github.io/Logging_2184/klagomål/A 116-2020 FSC-klagomål.docx", "A 116-2020")</f>
        <v/>
      </c>
      <c r="W55">
        <f>HYPERLINK("https://klasma.github.io/Logging_2184/klagomålsmail/A 116-2020 FSC-klagomål mail.docx", "A 116-2020")</f>
        <v/>
      </c>
      <c r="X55">
        <f>HYPERLINK("https://klasma.github.io/Logging_2184/tillsyn/A 116-2020 tillsynsbegäran.docx", "A 116-2020")</f>
        <v/>
      </c>
      <c r="Y55">
        <f>HYPERLINK("https://klasma.github.io/Logging_2184/tillsynsmail/A 116-2020 tillsynsbegäran mail.docx", "A 116-2020")</f>
        <v/>
      </c>
      <c r="Z55">
        <f>HYPERLINK("https://klasma.github.io/Logging_2184/fåglar/A 116-2020 prioriterade fågelarter.docx", "A 116-2020")</f>
        <v/>
      </c>
    </row>
    <row r="56" ht="15" customHeight="1">
      <c r="A56" t="inlineStr">
        <is>
          <t>A 14255-2020</t>
        </is>
      </c>
      <c r="B56" s="1" t="n">
        <v>43907</v>
      </c>
      <c r="C56" s="1" t="n">
        <v>45744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Myggblomster</t>
        </is>
      </c>
      <c r="S56">
        <f>HYPERLINK("https://klasma.github.io/Logging_2184/artfynd/A 14255-2020 artfynd.xlsx", "A 14255-2020")</f>
        <v/>
      </c>
      <c r="T56">
        <f>HYPERLINK("https://klasma.github.io/Logging_2184/kartor/A 14255-2020 karta.png", "A 14255-2020")</f>
        <v/>
      </c>
      <c r="V56">
        <f>HYPERLINK("https://klasma.github.io/Logging_2184/klagomål/A 14255-2020 FSC-klagomål.docx", "A 14255-2020")</f>
        <v/>
      </c>
      <c r="W56">
        <f>HYPERLINK("https://klasma.github.io/Logging_2184/klagomålsmail/A 14255-2020 FSC-klagomål mail.docx", "A 14255-2020")</f>
        <v/>
      </c>
      <c r="X56">
        <f>HYPERLINK("https://klasma.github.io/Logging_2184/tillsyn/A 14255-2020 tillsynsbegäran.docx", "A 14255-2020")</f>
        <v/>
      </c>
      <c r="Y56">
        <f>HYPERLINK("https://klasma.github.io/Logging_2184/tillsynsmail/A 14255-2020 tillsynsbegäran mail.docx", "A 14255-2020")</f>
        <v/>
      </c>
    </row>
    <row r="57" ht="15" customHeight="1">
      <c r="A57" t="inlineStr">
        <is>
          <t>A 35427-2020</t>
        </is>
      </c>
      <c r="B57" s="1" t="n">
        <v>44042</v>
      </c>
      <c r="C57" s="1" t="n">
        <v>45744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HYPERLINK("https://klasma.github.io/Logging_2184/artfynd/A 35427-2020 artfynd.xlsx", "A 35427-2020")</f>
        <v/>
      </c>
      <c r="T57">
        <f>HYPERLINK("https://klasma.github.io/Logging_2184/kartor/A 35427-2020 karta.png", "A 35427-2020")</f>
        <v/>
      </c>
      <c r="V57">
        <f>HYPERLINK("https://klasma.github.io/Logging_2184/klagomål/A 35427-2020 FSC-klagomål.docx", "A 35427-2020")</f>
        <v/>
      </c>
      <c r="W57">
        <f>HYPERLINK("https://klasma.github.io/Logging_2184/klagomålsmail/A 35427-2020 FSC-klagomål mail.docx", "A 35427-2020")</f>
        <v/>
      </c>
      <c r="X57">
        <f>HYPERLINK("https://klasma.github.io/Logging_2184/tillsyn/A 35427-2020 tillsynsbegäran.docx", "A 35427-2020")</f>
        <v/>
      </c>
      <c r="Y57">
        <f>HYPERLINK("https://klasma.github.io/Logging_2184/tillsynsmail/A 35427-2020 tillsynsbegäran mail.docx", "A 35427-2020")</f>
        <v/>
      </c>
    </row>
    <row r="58" ht="15" customHeight="1">
      <c r="A58" t="inlineStr">
        <is>
          <t>A 43503-2020</t>
        </is>
      </c>
      <c r="B58" s="1" t="n">
        <v>44077</v>
      </c>
      <c r="C58" s="1" t="n">
        <v>45744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Garnlav</t>
        </is>
      </c>
      <c r="S58">
        <f>HYPERLINK("https://klasma.github.io/Logging_2184/artfynd/A 43503-2020 artfynd.xlsx", "A 43503-2020")</f>
        <v/>
      </c>
      <c r="T58">
        <f>HYPERLINK("https://klasma.github.io/Logging_2184/kartor/A 43503-2020 karta.png", "A 43503-2020")</f>
        <v/>
      </c>
      <c r="U58">
        <f>HYPERLINK("https://klasma.github.io/Logging_2184/knärot/A 43503-2020 karta knärot.png", "A 43503-2020")</f>
        <v/>
      </c>
      <c r="V58">
        <f>HYPERLINK("https://klasma.github.io/Logging_2184/klagomål/A 43503-2020 FSC-klagomål.docx", "A 43503-2020")</f>
        <v/>
      </c>
      <c r="W58">
        <f>HYPERLINK("https://klasma.github.io/Logging_2184/klagomålsmail/A 43503-2020 FSC-klagomål mail.docx", "A 43503-2020")</f>
        <v/>
      </c>
      <c r="X58">
        <f>HYPERLINK("https://klasma.github.io/Logging_2184/tillsyn/A 43503-2020 tillsynsbegäran.docx", "A 43503-2020")</f>
        <v/>
      </c>
      <c r="Y58">
        <f>HYPERLINK("https://klasma.github.io/Logging_2184/tillsynsmail/A 43503-2020 tillsynsbegäran mail.docx", "A 43503-2020")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45744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29206-2022</t>
        </is>
      </c>
      <c r="B60" s="1" t="n">
        <v>44750</v>
      </c>
      <c r="C60" s="1" t="n">
        <v>45744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Revlummer</t>
        </is>
      </c>
      <c r="S60">
        <f>HYPERLINK("https://klasma.github.io/Logging_2184/artfynd/A 29206-2022 artfynd.xlsx", "A 29206-2022")</f>
        <v/>
      </c>
      <c r="T60">
        <f>HYPERLINK("https://klasma.github.io/Logging_2184/kartor/A 29206-2022 karta.png", "A 29206-2022")</f>
        <v/>
      </c>
      <c r="V60">
        <f>HYPERLINK("https://klasma.github.io/Logging_2184/klagomål/A 29206-2022 FSC-klagomål.docx", "A 29206-2022")</f>
        <v/>
      </c>
      <c r="W60">
        <f>HYPERLINK("https://klasma.github.io/Logging_2184/klagomålsmail/A 29206-2022 FSC-klagomål mail.docx", "A 29206-2022")</f>
        <v/>
      </c>
      <c r="X60">
        <f>HYPERLINK("https://klasma.github.io/Logging_2184/tillsyn/A 29206-2022 tillsynsbegäran.docx", "A 29206-2022")</f>
        <v/>
      </c>
      <c r="Y60">
        <f>HYPERLINK("https://klasma.github.io/Logging_2184/tillsynsmail/A 29206-2022 tillsynsbegäran mail.docx", "A 29206-2022")</f>
        <v/>
      </c>
    </row>
    <row r="61" ht="15" customHeight="1">
      <c r="A61" t="inlineStr">
        <is>
          <t>A 42203-2022</t>
        </is>
      </c>
      <c r="B61" s="1" t="n">
        <v>44830</v>
      </c>
      <c r="C61" s="1" t="n">
        <v>45744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HYPERLINK("https://klasma.github.io/Logging_2184/artfynd/A 42203-2022 artfynd.xlsx", "A 42203-2022")</f>
        <v/>
      </c>
      <c r="T61">
        <f>HYPERLINK("https://klasma.github.io/Logging_2184/kartor/A 42203-2022 karta.png", "A 42203-2022")</f>
        <v/>
      </c>
      <c r="V61">
        <f>HYPERLINK("https://klasma.github.io/Logging_2184/klagomål/A 42203-2022 FSC-klagomål.docx", "A 42203-2022")</f>
        <v/>
      </c>
      <c r="W61">
        <f>HYPERLINK("https://klasma.github.io/Logging_2184/klagomålsmail/A 42203-2022 FSC-klagomål mail.docx", "A 42203-2022")</f>
        <v/>
      </c>
      <c r="X61">
        <f>HYPERLINK("https://klasma.github.io/Logging_2184/tillsyn/A 42203-2022 tillsynsbegäran.docx", "A 42203-2022")</f>
        <v/>
      </c>
      <c r="Y61">
        <f>HYPERLINK("https://klasma.github.io/Logging_2184/tillsynsmail/A 42203-2022 tillsynsbegäran mail.docx", "A 42203-2022")</f>
        <v/>
      </c>
    </row>
    <row r="62" ht="15" customHeight="1">
      <c r="A62" t="inlineStr">
        <is>
          <t>A 23838-2023</t>
        </is>
      </c>
      <c r="B62" s="1" t="n">
        <v>45078</v>
      </c>
      <c r="C62" s="1" t="n">
        <v>45744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Stor aspticka</t>
        </is>
      </c>
      <c r="S62">
        <f>HYPERLINK("https://klasma.github.io/Logging_2184/artfynd/A 23838-2023 artfynd.xlsx", "A 23838-2023")</f>
        <v/>
      </c>
      <c r="T62">
        <f>HYPERLINK("https://klasma.github.io/Logging_2184/kartor/A 23838-2023 karta.png", "A 23838-2023")</f>
        <v/>
      </c>
      <c r="V62">
        <f>HYPERLINK("https://klasma.github.io/Logging_2184/klagomål/A 23838-2023 FSC-klagomål.docx", "A 23838-2023")</f>
        <v/>
      </c>
      <c r="W62">
        <f>HYPERLINK("https://klasma.github.io/Logging_2184/klagomålsmail/A 23838-2023 FSC-klagomål mail.docx", "A 23838-2023")</f>
        <v/>
      </c>
      <c r="X62">
        <f>HYPERLINK("https://klasma.github.io/Logging_2184/tillsyn/A 23838-2023 tillsynsbegäran.docx", "A 23838-2023")</f>
        <v/>
      </c>
      <c r="Y62">
        <f>HYPERLINK("https://klasma.github.io/Logging_2184/tillsynsmail/A 23838-2023 tillsynsbegäran mail.docx", "A 23838-2023")</f>
        <v/>
      </c>
    </row>
    <row r="63" ht="15" customHeight="1">
      <c r="A63" t="inlineStr">
        <is>
          <t>A 45876-2023</t>
        </is>
      </c>
      <c r="B63" s="1" t="n">
        <v>45195</v>
      </c>
      <c r="C63" s="1" t="n">
        <v>45744</v>
      </c>
      <c r="D63" t="inlineStr">
        <is>
          <t>GÄVLEBORGS LÄN</t>
        </is>
      </c>
      <c r="E63" t="inlineStr">
        <is>
          <t>HUDIKSVALL</t>
        </is>
      </c>
      <c r="G63" t="n">
        <v>3.9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HYPERLINK("https://klasma.github.io/Logging_2184/artfynd/A 45876-2023 artfynd.xlsx", "A 45876-2023")</f>
        <v/>
      </c>
      <c r="T63">
        <f>HYPERLINK("https://klasma.github.io/Logging_2184/kartor/A 45876-2023 karta.png", "A 45876-2023")</f>
        <v/>
      </c>
      <c r="V63">
        <f>HYPERLINK("https://klasma.github.io/Logging_2184/klagomål/A 45876-2023 FSC-klagomål.docx", "A 45876-2023")</f>
        <v/>
      </c>
      <c r="W63">
        <f>HYPERLINK("https://klasma.github.io/Logging_2184/klagomålsmail/A 45876-2023 FSC-klagomål mail.docx", "A 45876-2023")</f>
        <v/>
      </c>
      <c r="X63">
        <f>HYPERLINK("https://klasma.github.io/Logging_2184/tillsyn/A 45876-2023 tillsynsbegäran.docx", "A 45876-2023")</f>
        <v/>
      </c>
      <c r="Y63">
        <f>HYPERLINK("https://klasma.github.io/Logging_2184/tillsynsmail/A 45876-2023 tillsynsbegäran mail.docx", "A 45876-2023")</f>
        <v/>
      </c>
    </row>
    <row r="64" ht="15" customHeight="1">
      <c r="A64" t="inlineStr">
        <is>
          <t>A 7322-2024</t>
        </is>
      </c>
      <c r="B64" s="1" t="n">
        <v>45345</v>
      </c>
      <c r="C64" s="1" t="n">
        <v>45744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Kolflarnlav</t>
        </is>
      </c>
      <c r="S64">
        <f>HYPERLINK("https://klasma.github.io/Logging_2184/artfynd/A 7322-2024 artfynd.xlsx", "A 7322-2024")</f>
        <v/>
      </c>
      <c r="T64">
        <f>HYPERLINK("https://klasma.github.io/Logging_2184/kartor/A 7322-2024 karta.png", "A 7322-2024")</f>
        <v/>
      </c>
      <c r="V64">
        <f>HYPERLINK("https://klasma.github.io/Logging_2184/klagomål/A 7322-2024 FSC-klagomål.docx", "A 7322-2024")</f>
        <v/>
      </c>
      <c r="W64">
        <f>HYPERLINK("https://klasma.github.io/Logging_2184/klagomålsmail/A 7322-2024 FSC-klagomål mail.docx", "A 7322-2024")</f>
        <v/>
      </c>
      <c r="X64">
        <f>HYPERLINK("https://klasma.github.io/Logging_2184/tillsyn/A 7322-2024 tillsynsbegäran.docx", "A 7322-2024")</f>
        <v/>
      </c>
      <c r="Y64">
        <f>HYPERLINK("https://klasma.github.io/Logging_2184/tillsynsmail/A 7322-2024 tillsynsbegäran mail.docx", "A 7322-2024")</f>
        <v/>
      </c>
    </row>
    <row r="65" ht="15" customHeight="1">
      <c r="A65" t="inlineStr">
        <is>
          <t>A 33608-2024</t>
        </is>
      </c>
      <c r="B65" s="1" t="n">
        <v>45520</v>
      </c>
      <c r="C65" s="1" t="n">
        <v>45744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19.7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Garnlav</t>
        </is>
      </c>
      <c r="S65">
        <f>HYPERLINK("https://klasma.github.io/Logging_2184/artfynd/A 33608-2024 artfynd.xlsx", "A 33608-2024")</f>
        <v/>
      </c>
      <c r="T65">
        <f>HYPERLINK("https://klasma.github.io/Logging_2184/kartor/A 33608-2024 karta.png", "A 33608-2024")</f>
        <v/>
      </c>
      <c r="U65">
        <f>HYPERLINK("https://klasma.github.io/Logging_2184/knärot/A 33608-2024 karta knärot.png", "A 33608-2024")</f>
        <v/>
      </c>
      <c r="V65">
        <f>HYPERLINK("https://klasma.github.io/Logging_2184/klagomål/A 33608-2024 FSC-klagomål.docx", "A 33608-2024")</f>
        <v/>
      </c>
      <c r="W65">
        <f>HYPERLINK("https://klasma.github.io/Logging_2184/klagomålsmail/A 33608-2024 FSC-klagomål mail.docx", "A 33608-2024")</f>
        <v/>
      </c>
      <c r="X65">
        <f>HYPERLINK("https://klasma.github.io/Logging_2184/tillsyn/A 33608-2024 tillsynsbegäran.docx", "A 33608-2024")</f>
        <v/>
      </c>
      <c r="Y65">
        <f>HYPERLINK("https://klasma.github.io/Logging_2184/tillsynsmail/A 33608-2024 tillsynsbegäran mail.docx", "A 33608-2024")</f>
        <v/>
      </c>
    </row>
    <row r="66" ht="15" customHeight="1">
      <c r="A66" t="inlineStr">
        <is>
          <t>A 42624-2024</t>
        </is>
      </c>
      <c r="B66" s="1" t="n">
        <v>45565</v>
      </c>
      <c r="C66" s="1" t="n">
        <v>45744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Vedflikmossa
Violettgrå tagellav</t>
        </is>
      </c>
      <c r="S66">
        <f>HYPERLINK("https://klasma.github.io/Logging_2184/artfynd/A 42624-2024 artfynd.xlsx", "A 42624-2024")</f>
        <v/>
      </c>
      <c r="T66">
        <f>HYPERLINK("https://klasma.github.io/Logging_2184/kartor/A 42624-2024 karta.png", "A 42624-2024")</f>
        <v/>
      </c>
      <c r="V66">
        <f>HYPERLINK("https://klasma.github.io/Logging_2184/klagomål/A 42624-2024 FSC-klagomål.docx", "A 42624-2024")</f>
        <v/>
      </c>
      <c r="W66">
        <f>HYPERLINK("https://klasma.github.io/Logging_2184/klagomålsmail/A 42624-2024 FSC-klagomål mail.docx", "A 42624-2024")</f>
        <v/>
      </c>
      <c r="X66">
        <f>HYPERLINK("https://klasma.github.io/Logging_2184/tillsyn/A 42624-2024 tillsynsbegäran.docx", "A 42624-2024")</f>
        <v/>
      </c>
      <c r="Y66">
        <f>HYPERLINK("https://klasma.github.io/Logging_2184/tillsynsmail/A 42624-2024 tillsynsbegäran mail.docx", "A 42624-2024")</f>
        <v/>
      </c>
    </row>
    <row r="67" ht="15" customHeight="1">
      <c r="A67" t="inlineStr">
        <is>
          <t>A 47367-2024</t>
        </is>
      </c>
      <c r="B67" s="1" t="n">
        <v>45587</v>
      </c>
      <c r="C67" s="1" t="n">
        <v>45744</v>
      </c>
      <c r="D67" t="inlineStr">
        <is>
          <t>GÄVLEBORGS LÄN</t>
        </is>
      </c>
      <c r="E67" t="inlineStr">
        <is>
          <t>HUDIKSVALL</t>
        </is>
      </c>
      <c r="G67" t="n">
        <v>4.3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Grönvit nattviol
Revlummer</t>
        </is>
      </c>
      <c r="S67">
        <f>HYPERLINK("https://klasma.github.io/Logging_2184/artfynd/A 47367-2024 artfynd.xlsx", "A 47367-2024")</f>
        <v/>
      </c>
      <c r="T67">
        <f>HYPERLINK("https://klasma.github.io/Logging_2184/kartor/A 47367-2024 karta.png", "A 47367-2024")</f>
        <v/>
      </c>
      <c r="V67">
        <f>HYPERLINK("https://klasma.github.io/Logging_2184/klagomål/A 47367-2024 FSC-klagomål.docx", "A 47367-2024")</f>
        <v/>
      </c>
      <c r="W67">
        <f>HYPERLINK("https://klasma.github.io/Logging_2184/klagomålsmail/A 47367-2024 FSC-klagomål mail.docx", "A 47367-2024")</f>
        <v/>
      </c>
      <c r="X67">
        <f>HYPERLINK("https://klasma.github.io/Logging_2184/tillsyn/A 47367-2024 tillsynsbegäran.docx", "A 47367-2024")</f>
        <v/>
      </c>
      <c r="Y67">
        <f>HYPERLINK("https://klasma.github.io/Logging_2184/tillsynsmail/A 47367-2024 tillsynsbegäran mail.docx", "A 47367-2024")</f>
        <v/>
      </c>
    </row>
    <row r="68" ht="15" customHeight="1">
      <c r="A68" t="inlineStr">
        <is>
          <t>A 58326-2024</t>
        </is>
      </c>
      <c r="B68" s="1" t="n">
        <v>45632</v>
      </c>
      <c r="C68" s="1" t="n">
        <v>45744</v>
      </c>
      <c r="D68" t="inlineStr">
        <is>
          <t>GÄVLEBORGS LÄN</t>
        </is>
      </c>
      <c r="E68" t="inlineStr">
        <is>
          <t>HUDIKSVALL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HYPERLINK("https://klasma.github.io/Logging_2184/artfynd/A 58326-2024 artfynd.xlsx", "A 58326-2024")</f>
        <v/>
      </c>
      <c r="T68">
        <f>HYPERLINK("https://klasma.github.io/Logging_2184/kartor/A 58326-2024 karta.png", "A 58326-2024")</f>
        <v/>
      </c>
      <c r="U68">
        <f>HYPERLINK("https://klasma.github.io/Logging_2184/knärot/A 58326-2024 karta knärot.png", "A 58326-2024")</f>
        <v/>
      </c>
      <c r="V68">
        <f>HYPERLINK("https://klasma.github.io/Logging_2184/klagomål/A 58326-2024 FSC-klagomål.docx", "A 58326-2024")</f>
        <v/>
      </c>
      <c r="W68">
        <f>HYPERLINK("https://klasma.github.io/Logging_2184/klagomålsmail/A 58326-2024 FSC-klagomål mail.docx", "A 58326-2024")</f>
        <v/>
      </c>
      <c r="X68">
        <f>HYPERLINK("https://klasma.github.io/Logging_2184/tillsyn/A 58326-2024 tillsynsbegäran.docx", "A 58326-2024")</f>
        <v/>
      </c>
      <c r="Y68">
        <f>HYPERLINK("https://klasma.github.io/Logging_2184/tillsynsmail/A 58326-2024 tillsynsbegäran mail.docx", "A 58326-2024")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45744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45744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45744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45744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45744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45744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45744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45744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45744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45744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45744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45744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45744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45744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45744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45744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45744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45744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45744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45744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45744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45744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45744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45744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45744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45744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45744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45744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45744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45744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45744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45744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45744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45744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45744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45744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45744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45744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45744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45744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45744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45744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45744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45744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45744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45744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45744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45744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45744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45744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45744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45744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45744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45744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45744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45744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45744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45744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45744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45744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45744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45744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45744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45744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45744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45744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45744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45744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45744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45744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45744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45744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45744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45744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45744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45744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45744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45744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45744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45744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45744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45744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45744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45744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45744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45744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45744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45744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45744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45744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45744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45744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45744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45744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45744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45744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45744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45744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45744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45744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45744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45744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45744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45744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45744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45744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45744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45744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45744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45744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45744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45744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45744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45744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45744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45744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45744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45744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45744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45744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45744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45744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45744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45744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45744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45744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45744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45744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45744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45744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45744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45744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45744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45744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45744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45744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45744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45744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45744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45744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45744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45744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45744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45744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45744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45744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45744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45744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45744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45744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45744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45744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45744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45744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45744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45744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45744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45744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45744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45744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45744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45744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45744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45744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45744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45744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45744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45744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45744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45744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45744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45744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45744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45744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45744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45744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45744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45744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45744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45744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45744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45744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45744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45744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45744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45744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45744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45744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45744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45744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45744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45744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45744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45744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45744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45744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45744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45744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45744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45744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45744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45744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45744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45744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45744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45744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45744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45744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45744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45744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45744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45744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45744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45744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45744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45744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45744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45744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45744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45744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45744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45744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45744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45744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45744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45744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45744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45744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45744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45744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45744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45744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45744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45744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45744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45744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45744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45744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45744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45744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45744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45744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45744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45744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45744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45744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45744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45744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45744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45744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45744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45744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45744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45744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45744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45744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45744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45744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45744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45744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45744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45744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45744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45744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45744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45744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45744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45744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45744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45744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45744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45744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45744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45744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45744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45744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45744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45744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45744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45744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45744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45744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45744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45744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45744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45744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45744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45744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45744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45744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45744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45744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45744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45744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45744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45744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45744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45744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45744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45744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45744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45744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45744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45744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45744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45744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45744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45744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45744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45744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45744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45744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45744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45744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45744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45744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45744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45744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45744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45744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45744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45744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45744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45744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45744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45744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45744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45744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45744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45744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45744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45744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45744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45744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45744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45744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45744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45744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45744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45744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45744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45744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45744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45744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45744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45744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45744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45744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45744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45744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45744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45744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45744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45744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45744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45744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45744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45744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45744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45744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45744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45744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45744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45744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45744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45744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45744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45744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45744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45744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45744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45744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45744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45744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45744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45744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45744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45744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45744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45744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45744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45744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45744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45744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45744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45744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45744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45744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45744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45744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45744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45744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45744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45744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45744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45744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45744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45744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45744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45744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45744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45744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45744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45744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45744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45744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45744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45744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45744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45744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45744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45744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45744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45744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45744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45744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45744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45744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45744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45744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45744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45744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45744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45744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45744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45744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45744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45744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45744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45744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45744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45744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45744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45744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45744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45744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45744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45744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45744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45744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45744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45744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45744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45744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45744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45744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45744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45744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45744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45744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45744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45744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45744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45744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45744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45744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45744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45744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45744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45744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45744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45744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45744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45744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45744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45744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45744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45744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45744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45744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45744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45744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45744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45744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45744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45744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45744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45744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45744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45744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45744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45744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45744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45744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45744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45744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45744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45744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45744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45744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45744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45744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45744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45744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45744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45744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45744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45744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45744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45744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45744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45744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45744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45744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45744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45744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45744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45744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45744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45744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45744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45744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45744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45744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45744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45744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45744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45744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45744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45744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45744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45744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45744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45744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45744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45744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45744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45744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45744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45744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45744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45744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45744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45744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45744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45744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45744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45744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45744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45744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45744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45744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45744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45744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45744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45744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45744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45744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45744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45744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45744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45744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45744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45744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45744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45744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45744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45744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45744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45744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45744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45744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45744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45744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45744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45744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45744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45744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45744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45744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45744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45744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45744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45744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45744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45744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45744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45744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45744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45744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45744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45744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45744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45744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45744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45744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45744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45744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45744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45744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45744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45744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45744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45744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45744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45744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45744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45744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45744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45744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45744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45744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45744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45744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45744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45744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45744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45744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45744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45744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45744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45744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45744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45744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45744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45744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45744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45744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45744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45744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45744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45744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45744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45744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45744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45744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45744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45744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45744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45744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45744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45744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45744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45744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45744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45744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45744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45744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45744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45744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45744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45744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45744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45744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45744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45744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45744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45744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45744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45744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45744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45744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45744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45744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45744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45744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45744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45744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45744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45744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45744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45744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45744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45744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45744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45744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45744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45744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45744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45744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45744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45744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45744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45744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45744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45744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45744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45744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45744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45744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45744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45744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45744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45744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45744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45744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45744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45744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45744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45744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45744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45744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45744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45744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45744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45744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45744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45744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45744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45744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45744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45744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45744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45744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45744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45744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45744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45744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45744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45744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45744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45744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45744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45744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45744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45744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45744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45744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45744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45744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45744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45744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45744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45744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45744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45744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45744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45744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45744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45744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45744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45744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45744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45744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45744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45744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45744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45744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45744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45744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45744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45744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45744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45744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45744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45744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45744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45744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45744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45744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45744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45744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45744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45744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45744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45744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45744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45744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45744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45744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45744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45744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45744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45744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45744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45744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45744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45744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45744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45744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45744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45744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45744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45744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45744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45744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45744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45744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45744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45744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45744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45744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45744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45744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45744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45744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45744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45744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45744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45744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45744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45744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45744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45744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45744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45744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45744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45744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45744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45744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45744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45744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45744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45744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45744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45744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45744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45744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45744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45744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45744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45744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45744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45744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45744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45744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45744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45744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45744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45744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45744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45744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45744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45744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45744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45744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45744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45744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45744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45744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45744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45744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45744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45744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45744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45744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45744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45744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45744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45744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45744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45744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45744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45744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45744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45744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45744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45744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45744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45744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45744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45744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45744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45744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45744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45744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45744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45744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45744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45744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45744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45744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45744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45744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45744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45744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45744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45744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45744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45744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45744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45744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45744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45744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45744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45744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45744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45744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45744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45744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45744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45744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45744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45744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45744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45744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45744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45744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45744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45744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45744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45744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45744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45744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45744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45744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45744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45744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45744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45744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45744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45744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45744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45744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45744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45744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45744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45744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45744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45744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45744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45744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45744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45744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45744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45744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45744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45744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45744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45744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45744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45744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45744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45744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45744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45744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45744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45744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45744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45744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45744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45744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45744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45744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45744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45744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45744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45744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45744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45744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45744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45744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45744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45744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45744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45744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45744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45744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45744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45744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45744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45744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45744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45744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45744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45744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45744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45744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45744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45744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45744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45744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45744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45744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45744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45744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45744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45744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45744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45744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45744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45744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45744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45744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45744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45744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45744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45744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45744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45744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45744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45744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45744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45744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45744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45744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45744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45744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45744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45744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45744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45744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45744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45744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45744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45744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45744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45744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45744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45744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45744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45744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45744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45744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45744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45744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45744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45744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45744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45744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45744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45744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45744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45744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45744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45744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45744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45744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45744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45744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45744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45744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45744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45744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45744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45744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45744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45744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45744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45744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45744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45744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45744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45744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45744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45744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45744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45744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45744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45744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45744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45744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45744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45744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45744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45744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45744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45744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45744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45744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45744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45744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45744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45744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45744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45744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45744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45744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45744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45744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45744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45744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45744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45744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45744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45744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45744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45744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45744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45744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45744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45744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45744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45744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45744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45744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45744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45744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45744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45744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45744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45744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45744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45744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45744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45744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45744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45744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45744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45744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45744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45744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45744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45744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45744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45744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45744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45744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45744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45744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45744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45744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45744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45744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45744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45744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45744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45744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45744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45744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45744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45744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45744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45744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45744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45744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45744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45744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45744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45744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45744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45744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45744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45744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45744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45744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45744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45744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45744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45744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45744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45744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45744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45744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45744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45744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45744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45744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45744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45744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45744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45744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45744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45744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45744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45744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45744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45744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45744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45744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45744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45744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45744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45744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45744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45744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45744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45744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45744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45744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45744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45744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45744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45744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45744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45744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45744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45744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45744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45744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45744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45744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45744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45744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45744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45744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45744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45744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45744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45744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45744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45744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45744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45744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45744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45744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45744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45744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45744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45744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45744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45744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45744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45744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45744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45744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45744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45744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45744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45744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45744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45744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45744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45744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45744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45744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45744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45744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45744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45744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45744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45744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45744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45744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45744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45744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45744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45744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45744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45744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45744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45744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45744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45744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45744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45744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45744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45744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45744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45744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45744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45744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45744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45744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45744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45744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45744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45744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45744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45744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45744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45744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45744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45744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45744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45744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45744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45744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45744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45744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45744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45744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45744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45744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45744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45744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45744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45744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45744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45744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45744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45744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45744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45744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45744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45744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45744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45744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45744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45744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45744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45744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45744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45744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45744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45744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45744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45744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45744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45744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45744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45744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45744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45744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45744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45744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45744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45744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45744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45744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45744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45744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45744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45744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45744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45744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45744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45744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45744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45744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45744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45744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45744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45744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45744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45744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45744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45744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45744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45744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45744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45744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45744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45744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45744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45744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45744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45744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45744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45744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45744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45744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45744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45744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45744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45744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45744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45744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45744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45744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45744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45744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45744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45744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45744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45744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45744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45744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45744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45744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45744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45744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45744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45744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45744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45744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45744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45744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45744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45744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45744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45744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45744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45744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45744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45744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45744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45744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45744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45744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45744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45744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45744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45744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45744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45744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45744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45744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45744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45744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45744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45744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45744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45744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45744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45744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45744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45744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45744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45744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45744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45744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45744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45744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45744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45744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45744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45744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45744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45744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45744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45744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45744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45744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45744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45744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45744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45744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45744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45744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45744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45744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45744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45744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45744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45744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45744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45744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45744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45744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45744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45744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45744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45744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45744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45744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45744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45744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45744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45744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45744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45744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45744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45744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45744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45744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45744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45744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45744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45744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45744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45744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45744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45744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45744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45744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45744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45744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45744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45744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45744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45744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45744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45744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45744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45744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45744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45744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45744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45744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45744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45744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45744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45744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45744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45744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45744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45744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45744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45744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45744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45744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45744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45744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45744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45744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45744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45744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45744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45744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45744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45744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45744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45744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45744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45744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45744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45744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45744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45744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45744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45744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45744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45744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45744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45744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45744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45744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45744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45744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45744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45744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45744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45744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45744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45744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45744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45744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45744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45744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45744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45744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45744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45744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45744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45744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45744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45744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45744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45744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45744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45744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45744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45744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45744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45744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45744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45744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45744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45744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45744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45744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45744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45744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45744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45744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45744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45744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45744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45744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45744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45744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45744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45744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45744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45744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45744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45744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45744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45744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45744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45744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45744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45744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45744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45744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45744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45744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45744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45744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45744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45744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45744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45744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45744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45744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45744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45744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45744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45744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45744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45744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45744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45744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45744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45744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45744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45744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45744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45744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45744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45744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45744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45744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45744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45744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45744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45744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45744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45744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45744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45744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45744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45744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45744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45744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45744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45744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45744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45744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45744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45744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45744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45744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45744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45744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45744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45744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45744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45744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45744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45744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45744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45744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45744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45744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45744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45744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45744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45744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45744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45744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45744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45744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45744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45744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45744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45744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45744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45744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45744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45744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45744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45744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45744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45744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45744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45744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45744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45744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45744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45744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45744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45744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45744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45744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45744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45744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45744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45744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45744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45744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45744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45744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45744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45744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45744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45744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45744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45744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45744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45744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45744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45744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45744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45744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45744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45744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45744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45744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45744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45744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45744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45744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45744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45744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45744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45744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45744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45744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45744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45744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45744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45744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45744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45744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45744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45744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45744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45744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45744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45744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45744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45744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45744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45744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45744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45744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45744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45744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45744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45744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45744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45744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45744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45744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45744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45744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45744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45744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45744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45744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45744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45744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45744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45744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45744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45744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45744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45744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45744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45744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45744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45744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45744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45744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45744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45744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45744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45744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45744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45744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45744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45744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45744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45744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45744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45744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45744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45744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45744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45744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45744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45744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45744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45744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45744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45744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45744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45744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45744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45744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45744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45744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45744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45744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45744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45744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45744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45744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45744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45744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45744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45744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45744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45744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45744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45744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45744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45744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45744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45744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45744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45744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45744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45744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45744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45744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45744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45744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45744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45744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45744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45744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45744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45744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45744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45744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45744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45744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45744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45744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45744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45744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45744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45744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45744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45744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45744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45744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45744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45744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45744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45744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45744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45744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45744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45744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45744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45744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45744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45744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45744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45744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45744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45744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45744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45744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45744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45744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45744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45744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45744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45744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45744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45744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45744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45744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45744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45744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45744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45744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45744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45744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45744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45744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45744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45744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45744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45744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45744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45744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45744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45744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45744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45744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45744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45744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45744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45744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45744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45744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45744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45744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45744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45744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45744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45744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45744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45744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45744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45744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45744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45744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45744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45744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45744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45744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45744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45744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45744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45744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45744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45744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45744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45744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45744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45744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45744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45744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45744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45744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45744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45744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45744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45744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45744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45744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45744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45744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45744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45744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45744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45744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45744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45744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45744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45744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45744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45744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45744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45744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45744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45744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45744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45744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45744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45744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45744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45744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45744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45744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45744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45744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45744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45744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45744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45744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45744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45744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45744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45744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45744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45744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45744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45744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45744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45744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45744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45744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45744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45744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45744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45744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45744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45744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45744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45744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45744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45744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45744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45744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45744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45744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45744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45744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45744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45744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45744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45744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45744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45744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45744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45744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45744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45744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45744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45744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45744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45744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45744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45744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45744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45744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45744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45744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45744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45744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45744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45744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45744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45744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45744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45744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45744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45744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45744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45744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45744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45744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45744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45744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45744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45744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45744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45744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45744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45744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45744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45744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45744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45744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45744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45744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45744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45744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45744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45744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45744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45744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45744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45744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45744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45744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45744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45744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45744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45744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45744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45744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45744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45744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45744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45744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45744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45744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45744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45744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45744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45744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45744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45744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45744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45744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45744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45744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45744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45744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45744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45744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45744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45744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45744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45744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45744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45744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45744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45744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45744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45744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45744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45744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45744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45744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45744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45744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45744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45744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45744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45744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45744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45744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45744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45744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45744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45744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45744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45744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45744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45744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45744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45744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45744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45744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45744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45744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45744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45744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45744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45744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45744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45744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45744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45744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45744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45744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45744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45744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45744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45744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45744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45744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45744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45744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45744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45744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45744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45744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45744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45744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45744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45744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45744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45744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45744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45744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45744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45744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45744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45744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45744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45744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45744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45744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45744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45744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45744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45744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45744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45744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45744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45744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45744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45744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45744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45744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45744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45744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45744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45744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45744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45744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45744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45744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45744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45744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45744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45744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45744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45744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45744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45744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45744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45744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45744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45744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45744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45744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45744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45744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45744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45744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45744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45744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45744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45744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45744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45744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45744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45744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45744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45744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9392-2025</t>
        </is>
      </c>
      <c r="B2211" s="1" t="n">
        <v>45715</v>
      </c>
      <c r="C2211" s="1" t="n">
        <v>45744</v>
      </c>
      <c r="D2211" t="inlineStr">
        <is>
          <t>GÄVLEBORGS LÄN</t>
        </is>
      </c>
      <c r="E2211" t="inlineStr">
        <is>
          <t>HUDIKSVALL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9453-2025</t>
        </is>
      </c>
      <c r="B2212" s="1" t="n">
        <v>45715</v>
      </c>
      <c r="C2212" s="1" t="n">
        <v>45744</v>
      </c>
      <c r="D2212" t="inlineStr">
        <is>
          <t>GÄVLEBORGS LÄN</t>
        </is>
      </c>
      <c r="E2212" t="inlineStr">
        <is>
          <t>HUDIKSVALL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9462-2025</t>
        </is>
      </c>
      <c r="B2213" s="1" t="n">
        <v>45715</v>
      </c>
      <c r="C2213" s="1" t="n">
        <v>45744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9477-2025</t>
        </is>
      </c>
      <c r="B2214" s="1" t="n">
        <v>45715</v>
      </c>
      <c r="C2214" s="1" t="n">
        <v>45744</v>
      </c>
      <c r="D2214" t="inlineStr">
        <is>
          <t>GÄVLEBORGS LÄN</t>
        </is>
      </c>
      <c r="E2214" t="inlineStr">
        <is>
          <t>HUDIKSVALL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9546-2025</t>
        </is>
      </c>
      <c r="B2215" s="1" t="n">
        <v>45715</v>
      </c>
      <c r="C2215" s="1" t="n">
        <v>45744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29.4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9601-2025</t>
        </is>
      </c>
      <c r="B2216" s="1" t="n">
        <v>45715</v>
      </c>
      <c r="C2216" s="1" t="n">
        <v>45744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55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9482-2025</t>
        </is>
      </c>
      <c r="B2217" s="1" t="n">
        <v>45715</v>
      </c>
      <c r="C2217" s="1" t="n">
        <v>45744</v>
      </c>
      <c r="D2217" t="inlineStr">
        <is>
          <t>GÄVLEBORGS LÄN</t>
        </is>
      </c>
      <c r="E2217" t="inlineStr">
        <is>
          <t>HUDIKSVALL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9563-2025</t>
        </is>
      </c>
      <c r="B2218" s="1" t="n">
        <v>45715</v>
      </c>
      <c r="C2218" s="1" t="n">
        <v>45744</v>
      </c>
      <c r="D2218" t="inlineStr">
        <is>
          <t>GÄVLEBORGS LÄN</t>
        </is>
      </c>
      <c r="E2218" t="inlineStr">
        <is>
          <t>HUDIKSVALL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9589-2025</t>
        </is>
      </c>
      <c r="B2219" s="1" t="n">
        <v>45715</v>
      </c>
      <c r="C2219" s="1" t="n">
        <v>45744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45744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45744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45744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9918-2025</t>
        </is>
      </c>
      <c r="B2223" s="1" t="n">
        <v>45717</v>
      </c>
      <c r="C2223" s="1" t="n">
        <v>45744</v>
      </c>
      <c r="D2223" t="inlineStr">
        <is>
          <t>GÄVLEBORGS LÄN</t>
        </is>
      </c>
      <c r="E2223" t="inlineStr">
        <is>
          <t>HUDIKSVALL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9989-2025</t>
        </is>
      </c>
      <c r="B2224" s="1" t="n">
        <v>45719</v>
      </c>
      <c r="C2224" s="1" t="n">
        <v>45744</v>
      </c>
      <c r="D2224" t="inlineStr">
        <is>
          <t>GÄVLEBORGS LÄN</t>
        </is>
      </c>
      <c r="E2224" t="inlineStr">
        <is>
          <t>HUDIKSVALL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45744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10159-2025</t>
        </is>
      </c>
      <c r="B2226" s="1" t="n">
        <v>45719</v>
      </c>
      <c r="C2226" s="1" t="n">
        <v>45744</v>
      </c>
      <c r="D2226" t="inlineStr">
        <is>
          <t>GÄVLEBORGS LÄN</t>
        </is>
      </c>
      <c r="E2226" t="inlineStr">
        <is>
          <t>HUDIKSVALL</t>
        </is>
      </c>
      <c r="F2226" t="inlineStr">
        <is>
          <t>Kommuner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45744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10427-2025</t>
        </is>
      </c>
      <c r="B2228" s="1" t="n">
        <v>45720</v>
      </c>
      <c r="C2228" s="1" t="n">
        <v>45744</v>
      </c>
      <c r="D2228" t="inlineStr">
        <is>
          <t>GÄVLEBORGS LÄN</t>
        </is>
      </c>
      <c r="E2228" t="inlineStr">
        <is>
          <t>HUDIKSVALL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45744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10537-2025</t>
        </is>
      </c>
      <c r="B2230" s="1" t="n">
        <v>45721</v>
      </c>
      <c r="C2230" s="1" t="n">
        <v>45744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45744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45744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10994-2025</t>
        </is>
      </c>
      <c r="B2233" s="1" t="n">
        <v>45723</v>
      </c>
      <c r="C2233" s="1" t="n">
        <v>45744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11017-2025</t>
        </is>
      </c>
      <c r="B2234" s="1" t="n">
        <v>45723</v>
      </c>
      <c r="C2234" s="1" t="n">
        <v>45744</v>
      </c>
      <c r="D2234" t="inlineStr">
        <is>
          <t>GÄVLEBORGS LÄN</t>
        </is>
      </c>
      <c r="E2234" t="inlineStr">
        <is>
          <t>HUDIKSVALL</t>
        </is>
      </c>
      <c r="G2234" t="n">
        <v>6.8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11093-2025</t>
        </is>
      </c>
      <c r="B2235" s="1" t="n">
        <v>45723</v>
      </c>
      <c r="C2235" s="1" t="n">
        <v>45744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6.1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45744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45744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45744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45744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13663-2025</t>
        </is>
      </c>
      <c r="B2240" s="1" t="n">
        <v>45736</v>
      </c>
      <c r="C2240" s="1" t="n">
        <v>45744</v>
      </c>
      <c r="D2240" t="inlineStr">
        <is>
          <t>GÄVLEBORGS LÄN</t>
        </is>
      </c>
      <c r="E2240" t="inlineStr">
        <is>
          <t>HUDIKSVALL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13603-2025</t>
        </is>
      </c>
      <c r="B2241" s="1" t="n">
        <v>45736</v>
      </c>
      <c r="C2241" s="1" t="n">
        <v>45744</v>
      </c>
      <c r="D2241" t="inlineStr">
        <is>
          <t>GÄVLEBORGS LÄN</t>
        </is>
      </c>
      <c r="E2241" t="inlineStr">
        <is>
          <t>HUDIKSVALL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45744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45744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14081-2025</t>
        </is>
      </c>
      <c r="B2244" s="1" t="n">
        <v>45740</v>
      </c>
      <c r="C2244" s="1" t="n">
        <v>45744</v>
      </c>
      <c r="D2244" t="inlineStr">
        <is>
          <t>GÄVLEBORGS LÄN</t>
        </is>
      </c>
      <c r="E2244" t="inlineStr">
        <is>
          <t>HUDIKSVALL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14098-2025</t>
        </is>
      </c>
      <c r="B2245" s="1" t="n">
        <v>45740</v>
      </c>
      <c r="C2245" s="1" t="n">
        <v>45744</v>
      </c>
      <c r="D2245" t="inlineStr">
        <is>
          <t>GÄVLEBORGS LÄN</t>
        </is>
      </c>
      <c r="E2245" t="inlineStr">
        <is>
          <t>HUDIKSVALL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14088-2025</t>
        </is>
      </c>
      <c r="B2246" s="1" t="n">
        <v>45740</v>
      </c>
      <c r="C2246" s="1" t="n">
        <v>45744</v>
      </c>
      <c r="D2246" t="inlineStr">
        <is>
          <t>GÄVLEBORGS LÄN</t>
        </is>
      </c>
      <c r="E2246" t="inlineStr">
        <is>
          <t>HUDIKSVALL</t>
        </is>
      </c>
      <c r="G2246" t="n">
        <v>12.8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45744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45744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45744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>
      <c r="A2250" t="inlineStr">
        <is>
          <t>A 14840-2025</t>
        </is>
      </c>
      <c r="B2250" s="1" t="n">
        <v>45743</v>
      </c>
      <c r="C2250" s="1" t="n">
        <v>45744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2025-03-28T18:20:06Z</dcterms:created>
  <dcterms:modified xmlns:dcterms="http://purl.org/dc/terms/" xmlns:xsi="http://www.w3.org/2001/XMLSchema-instance" xsi:type="dcterms:W3CDTF">2025-03-28T18:20:08Z</dcterms:modified>
</cp:coreProperties>
</file>