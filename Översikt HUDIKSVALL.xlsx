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45742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45742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45742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45742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45742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45742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60212-2022</t>
        </is>
      </c>
      <c r="B8" s="1" t="n">
        <v>44910</v>
      </c>
      <c r="C8" s="1" t="n">
        <v>45742</v>
      </c>
      <c r="D8" t="inlineStr">
        <is>
          <t>GÄVLEBORGS LÄN</t>
        </is>
      </c>
      <c r="E8" t="inlineStr">
        <is>
          <t>HUDIKSVALL</t>
        </is>
      </c>
      <c r="G8" t="n">
        <v>10.6</v>
      </c>
      <c r="H8" t="n">
        <v>11</v>
      </c>
      <c r="I8" t="n">
        <v>1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n">
        <v>10</v>
      </c>
      <c r="P8" t="n">
        <v>3</v>
      </c>
      <c r="Q8" t="n">
        <v>12</v>
      </c>
      <c r="R8" s="2" t="inlineStr">
        <is>
          <t>Grönfink
Hussvala
Stare
Björktrast
Grönsångare
Gulsparv
Mindre hackspett
Rödvingetrast
Spillkråka
Svartvit flugsnappare
Svart trolldruva
Gråkråka</t>
        </is>
      </c>
      <c r="S8">
        <f>HYPERLINK("https://klasma.github.io/Logging_2184/artfynd/A 60212-2022 artfynd.xlsx", "A 60212-2022")</f>
        <v/>
      </c>
      <c r="T8">
        <f>HYPERLINK("https://klasma.github.io/Logging_2184/kartor/A 60212-2022 karta.png", "A 60212-2022")</f>
        <v/>
      </c>
      <c r="V8">
        <f>HYPERLINK("https://klasma.github.io/Logging_2184/klagomål/A 60212-2022 FSC-klagomål.docx", "A 60212-2022")</f>
        <v/>
      </c>
      <c r="W8">
        <f>HYPERLINK("https://klasma.github.io/Logging_2184/klagomålsmail/A 60212-2022 FSC-klagomål mail.docx", "A 60212-2022")</f>
        <v/>
      </c>
      <c r="X8">
        <f>HYPERLINK("https://klasma.github.io/Logging_2184/tillsyn/A 60212-2022 tillsynsbegäran.docx", "A 60212-2022")</f>
        <v/>
      </c>
      <c r="Y8">
        <f>HYPERLINK("https://klasma.github.io/Logging_2184/tillsynsmail/A 60212-2022 tillsynsbegäran mail.docx", "A 60212-2022")</f>
        <v/>
      </c>
      <c r="Z8">
        <f>HYPERLINK("https://klasma.github.io/Logging_2184/fåglar/A 60212-2022 prioriterade fågelarter.docx", "A 60212-2022")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45742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45742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45742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45742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45742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45742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45742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45742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45742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45742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45742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45742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45742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45742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45742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45742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45742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45742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45742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68600-2020</t>
        </is>
      </c>
      <c r="B28" s="1" t="n">
        <v>44186</v>
      </c>
      <c r="C28" s="1" t="n">
        <v>45742</v>
      </c>
      <c r="D28" t="inlineStr">
        <is>
          <t>GÄVLEBORGS LÄN</t>
        </is>
      </c>
      <c r="E28" t="inlineStr">
        <is>
          <t>HUDIKSVALL</t>
        </is>
      </c>
      <c r="F28" t="inlineStr">
        <is>
          <t>Kommuner</t>
        </is>
      </c>
      <c r="G28" t="n">
        <v>4.6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Sprickporing
Garnlav
Grönsångare
Rosenticka
Ullticka</t>
        </is>
      </c>
      <c r="S28">
        <f>HYPERLINK("https://klasma.github.io/Logging_2184/artfynd/A 68600-2020 artfynd.xlsx", "A 68600-2020")</f>
        <v/>
      </c>
      <c r="T28">
        <f>HYPERLINK("https://klasma.github.io/Logging_2184/kartor/A 68600-2020 karta.png", "A 68600-2020")</f>
        <v/>
      </c>
      <c r="V28">
        <f>HYPERLINK("https://klasma.github.io/Logging_2184/klagomål/A 68600-2020 FSC-klagomål.docx", "A 68600-2020")</f>
        <v/>
      </c>
      <c r="W28">
        <f>HYPERLINK("https://klasma.github.io/Logging_2184/klagomålsmail/A 68600-2020 FSC-klagomål mail.docx", "A 68600-2020")</f>
        <v/>
      </c>
      <c r="X28">
        <f>HYPERLINK("https://klasma.github.io/Logging_2184/tillsyn/A 68600-2020 tillsynsbegäran.docx", "A 68600-2020")</f>
        <v/>
      </c>
      <c r="Y28">
        <f>HYPERLINK("https://klasma.github.io/Logging_2184/tillsynsmail/A 68600-2020 tillsynsbegäran mail.docx", "A 68600-2020")</f>
        <v/>
      </c>
      <c r="Z28">
        <f>HYPERLINK("https://klasma.github.io/Logging_2184/fåglar/A 68600-2020 prioriterade fågelarter.docx", "A 68600-2020")</f>
        <v/>
      </c>
    </row>
    <row r="29" ht="15" customHeight="1">
      <c r="A29" t="inlineStr">
        <is>
          <t>A 49036-2021</t>
        </is>
      </c>
      <c r="B29" s="1" t="n">
        <v>44453</v>
      </c>
      <c r="C29" s="1" t="n">
        <v>45742</v>
      </c>
      <c r="D29" t="inlineStr">
        <is>
          <t>GÄVLEBORGS LÄN</t>
        </is>
      </c>
      <c r="E29" t="inlineStr">
        <is>
          <t>HUDIKSVALL</t>
        </is>
      </c>
      <c r="G29" t="n">
        <v>11.7</v>
      </c>
      <c r="H29" t="n">
        <v>0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Granticka
Ullticka
Violettgrå tagellav
Kattfotslav
Vedticka</t>
        </is>
      </c>
      <c r="S29">
        <f>HYPERLINK("https://klasma.github.io/Logging_2184/artfynd/A 49036-2021 artfynd.xlsx", "A 49036-2021")</f>
        <v/>
      </c>
      <c r="T29">
        <f>HYPERLINK("https://klasma.github.io/Logging_2184/kartor/A 49036-2021 karta.png", "A 49036-2021")</f>
        <v/>
      </c>
      <c r="V29">
        <f>HYPERLINK("https://klasma.github.io/Logging_2184/klagomål/A 49036-2021 FSC-klagomål.docx", "A 49036-2021")</f>
        <v/>
      </c>
      <c r="W29">
        <f>HYPERLINK("https://klasma.github.io/Logging_2184/klagomålsmail/A 49036-2021 FSC-klagomål mail.docx", "A 49036-2021")</f>
        <v/>
      </c>
      <c r="X29">
        <f>HYPERLINK("https://klasma.github.io/Logging_2184/tillsyn/A 49036-2021 tillsynsbegäran.docx", "A 49036-2021")</f>
        <v/>
      </c>
      <c r="Y29">
        <f>HYPERLINK("https://klasma.github.io/Logging_2184/tillsynsmail/A 49036-2021 tillsynsbegäran mail.docx", "A 49036-2021")</f>
        <v/>
      </c>
    </row>
    <row r="30" ht="15" customHeight="1">
      <c r="A30" t="inlineStr">
        <is>
          <t>A 7229-2022</t>
        </is>
      </c>
      <c r="B30" s="1" t="n">
        <v>44606</v>
      </c>
      <c r="C30" s="1" t="n">
        <v>45742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Ullticka
Violettgrå tagellav
Bronshjon
Vedticka
Revlummer</t>
        </is>
      </c>
      <c r="S30">
        <f>HYPERLINK("https://klasma.github.io/Logging_2184/artfynd/A 7229-2022 artfynd.xlsx", "A 7229-2022")</f>
        <v/>
      </c>
      <c r="T30">
        <f>HYPERLINK("https://klasma.github.io/Logging_2184/kartor/A 7229-2022 karta.png", "A 7229-2022")</f>
        <v/>
      </c>
      <c r="V30">
        <f>HYPERLINK("https://klasma.github.io/Logging_2184/klagomål/A 7229-2022 FSC-klagomål.docx", "A 7229-2022")</f>
        <v/>
      </c>
      <c r="W30">
        <f>HYPERLINK("https://klasma.github.io/Logging_2184/klagomålsmail/A 7229-2022 FSC-klagomål mail.docx", "A 7229-2022")</f>
        <v/>
      </c>
      <c r="X30">
        <f>HYPERLINK("https://klasma.github.io/Logging_2184/tillsyn/A 7229-2022 tillsynsbegäran.docx", "A 7229-2022")</f>
        <v/>
      </c>
      <c r="Y30">
        <f>HYPERLINK("https://klasma.github.io/Logging_2184/tillsynsmail/A 7229-2022 tillsynsbegäran mail.docx", "A 7229-2022")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45742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45742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45742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45742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45742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45742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45742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45742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45742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45742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45742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45742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45742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45742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45742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45742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45742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45742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45742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25648-2024</t>
        </is>
      </c>
      <c r="B50" s="1" t="n">
        <v>45463</v>
      </c>
      <c r="C50" s="1" t="n">
        <v>45742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4.7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Vedskivlav</t>
        </is>
      </c>
      <c r="S50">
        <f>HYPERLINK("https://klasma.github.io/Logging_2184/artfynd/A 25648-2024 artfynd.xlsx", "A 25648-2024")</f>
        <v/>
      </c>
      <c r="T50">
        <f>HYPERLINK("https://klasma.github.io/Logging_2184/kartor/A 25648-2024 karta.png", "A 25648-2024")</f>
        <v/>
      </c>
      <c r="V50">
        <f>HYPERLINK("https://klasma.github.io/Logging_2184/klagomål/A 25648-2024 FSC-klagomål.docx", "A 25648-2024")</f>
        <v/>
      </c>
      <c r="W50">
        <f>HYPERLINK("https://klasma.github.io/Logging_2184/klagomålsmail/A 25648-2024 FSC-klagomål mail.docx", "A 25648-2024")</f>
        <v/>
      </c>
      <c r="X50">
        <f>HYPERLINK("https://klasma.github.io/Logging_2184/tillsyn/A 25648-2024 tillsynsbegäran.docx", "A 25648-2024")</f>
        <v/>
      </c>
      <c r="Y50">
        <f>HYPERLINK("https://klasma.github.io/Logging_2184/tillsynsmail/A 25648-2024 tillsynsbegäran mail.docx", "A 25648-2024")</f>
        <v/>
      </c>
      <c r="Z50">
        <f>HYPERLINK("https://klasma.github.io/Logging_2184/fåglar/A 25648-2024 prioriterade fågelarter.docx", "A 25648-2024")</f>
        <v/>
      </c>
    </row>
    <row r="51" ht="15" customHeight="1">
      <c r="A51" t="inlineStr">
        <is>
          <t>A 28268-2024</t>
        </is>
      </c>
      <c r="B51" s="1" t="n">
        <v>45477</v>
      </c>
      <c r="C51" s="1" t="n">
        <v>45742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Korallblylav
Skinnlav</t>
        </is>
      </c>
      <c r="S51">
        <f>HYPERLINK("https://klasma.github.io/Logging_2184/artfynd/A 28268-2024 artfynd.xlsx", "A 28268-2024")</f>
        <v/>
      </c>
      <c r="T51">
        <f>HYPERLINK("https://klasma.github.io/Logging_2184/kartor/A 28268-2024 karta.png", "A 28268-2024")</f>
        <v/>
      </c>
      <c r="V51">
        <f>HYPERLINK("https://klasma.github.io/Logging_2184/klagomål/A 28268-2024 FSC-klagomål.docx", "A 28268-2024")</f>
        <v/>
      </c>
      <c r="W51">
        <f>HYPERLINK("https://klasma.github.io/Logging_2184/klagomålsmail/A 28268-2024 FSC-klagomål mail.docx", "A 28268-2024")</f>
        <v/>
      </c>
      <c r="X51">
        <f>HYPERLINK("https://klasma.github.io/Logging_2184/tillsyn/A 28268-2024 tillsynsbegäran.docx", "A 28268-2024")</f>
        <v/>
      </c>
      <c r="Y51">
        <f>HYPERLINK("https://klasma.github.io/Logging_2184/tillsynsmail/A 28268-2024 tillsynsbegäran mail.docx", "A 28268-2024")</f>
        <v/>
      </c>
    </row>
    <row r="52" ht="15" customHeight="1">
      <c r="A52" t="inlineStr">
        <is>
          <t>A 2846-2025</t>
        </is>
      </c>
      <c r="B52" s="1" t="n">
        <v>45677</v>
      </c>
      <c r="C52" s="1" t="n">
        <v>45742</v>
      </c>
      <c r="D52" t="inlineStr">
        <is>
          <t>GÄVLEBORGS LÄN</t>
        </is>
      </c>
      <c r="E52" t="inlineStr">
        <is>
          <t>HUDIKSVALL</t>
        </is>
      </c>
      <c r="G52" t="n">
        <v>2.7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Blanksvart spiklav
Ullticka
Vitplätt</t>
        </is>
      </c>
      <c r="S52">
        <f>HYPERLINK("https://klasma.github.io/Logging_2184/artfynd/A 2846-2025 artfynd.xlsx", "A 2846-2025")</f>
        <v/>
      </c>
      <c r="T52">
        <f>HYPERLINK("https://klasma.github.io/Logging_2184/kartor/A 2846-2025 karta.png", "A 2846-2025")</f>
        <v/>
      </c>
      <c r="V52">
        <f>HYPERLINK("https://klasma.github.io/Logging_2184/klagomål/A 2846-2025 FSC-klagomål.docx", "A 2846-2025")</f>
        <v/>
      </c>
      <c r="W52">
        <f>HYPERLINK("https://klasma.github.io/Logging_2184/klagomålsmail/A 2846-2025 FSC-klagomål mail.docx", "A 2846-2025")</f>
        <v/>
      </c>
      <c r="X52">
        <f>HYPERLINK("https://klasma.github.io/Logging_2184/tillsyn/A 2846-2025 tillsynsbegäran.docx", "A 2846-2025")</f>
        <v/>
      </c>
      <c r="Y52">
        <f>HYPERLINK("https://klasma.github.io/Logging_2184/tillsynsmail/A 2846-2025 tillsynsbegäran mail.docx", "A 2846-2025")</f>
        <v/>
      </c>
    </row>
    <row r="53" ht="15" customHeight="1">
      <c r="A53" t="inlineStr">
        <is>
          <t>A 13640-2025</t>
        </is>
      </c>
      <c r="B53" s="1" t="n">
        <v>45736</v>
      </c>
      <c r="C53" s="1" t="n">
        <v>45742</v>
      </c>
      <c r="D53" t="inlineStr">
        <is>
          <t>GÄVLEBORGS LÄN</t>
        </is>
      </c>
      <c r="E53" t="inlineStr">
        <is>
          <t>HUDIKSVALL</t>
        </is>
      </c>
      <c r="G53" t="n">
        <v>6.9</v>
      </c>
      <c r="H53" t="n">
        <v>3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Spillkråka
Fläcknycklar
Nattviol</t>
        </is>
      </c>
      <c r="S53">
        <f>HYPERLINK("https://klasma.github.io/Logging_2184/artfynd/A 13640-2025 artfynd.xlsx", "A 13640-2025")</f>
        <v/>
      </c>
      <c r="T53">
        <f>HYPERLINK("https://klasma.github.io/Logging_2184/kartor/A 13640-2025 karta.png", "A 13640-2025")</f>
        <v/>
      </c>
      <c r="V53">
        <f>HYPERLINK("https://klasma.github.io/Logging_2184/klagomål/A 13640-2025 FSC-klagomål.docx", "A 13640-2025")</f>
        <v/>
      </c>
      <c r="W53">
        <f>HYPERLINK("https://klasma.github.io/Logging_2184/klagomålsmail/A 13640-2025 FSC-klagomål mail.docx", "A 13640-2025")</f>
        <v/>
      </c>
      <c r="X53">
        <f>HYPERLINK("https://klasma.github.io/Logging_2184/tillsyn/A 13640-2025 tillsynsbegäran.docx", "A 13640-2025")</f>
        <v/>
      </c>
      <c r="Y53">
        <f>HYPERLINK("https://klasma.github.io/Logging_2184/tillsynsmail/A 13640-2025 tillsynsbegäran mail.docx", "A 13640-2025")</f>
        <v/>
      </c>
      <c r="Z53">
        <f>HYPERLINK("https://klasma.github.io/Logging_2184/fåglar/A 13640-2025 prioriterade fågelarter.docx", "A 13640-2025")</f>
        <v/>
      </c>
    </row>
    <row r="54" ht="15" customHeight="1">
      <c r="A54" t="inlineStr">
        <is>
          <t>A 33547-2019</t>
        </is>
      </c>
      <c r="B54" s="1" t="n">
        <v>43651</v>
      </c>
      <c r="C54" s="1" t="n">
        <v>45742</v>
      </c>
      <c r="D54" t="inlineStr">
        <is>
          <t>GÄVLEBORGS LÄN</t>
        </is>
      </c>
      <c r="E54" t="inlineStr">
        <is>
          <t>HUDIKSVALL</t>
        </is>
      </c>
      <c r="G54" t="n">
        <v>27.7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Blå kärrhök
Kungsörn</t>
        </is>
      </c>
      <c r="S54">
        <f>HYPERLINK("https://klasma.github.io/Logging_2184/artfynd/A 33547-2019 artfynd.xlsx", "A 33547-2019")</f>
        <v/>
      </c>
      <c r="T54">
        <f>HYPERLINK("https://klasma.github.io/Logging_2184/kartor/A 33547-2019 karta.png", "A 33547-2019")</f>
        <v/>
      </c>
      <c r="V54">
        <f>HYPERLINK("https://klasma.github.io/Logging_2184/klagomål/A 33547-2019 FSC-klagomål.docx", "A 33547-2019")</f>
        <v/>
      </c>
      <c r="W54">
        <f>HYPERLINK("https://klasma.github.io/Logging_2184/klagomålsmail/A 33547-2019 FSC-klagomål mail.docx", "A 33547-2019")</f>
        <v/>
      </c>
      <c r="X54">
        <f>HYPERLINK("https://klasma.github.io/Logging_2184/tillsyn/A 33547-2019 tillsynsbegäran.docx", "A 33547-2019")</f>
        <v/>
      </c>
      <c r="Y54">
        <f>HYPERLINK("https://klasma.github.io/Logging_2184/tillsynsmail/A 33547-2019 tillsynsbegäran mail.docx", "A 33547-2019")</f>
        <v/>
      </c>
      <c r="Z54">
        <f>HYPERLINK("https://klasma.github.io/Logging_2184/fåglar/A 33547-2019 prioriterade fågelarter.docx", "A 33547-2019")</f>
        <v/>
      </c>
    </row>
    <row r="55" ht="15" customHeight="1">
      <c r="A55" t="inlineStr">
        <is>
          <t>A 116-2020</t>
        </is>
      </c>
      <c r="B55" s="1" t="n">
        <v>43832</v>
      </c>
      <c r="C55" s="1" t="n">
        <v>45742</v>
      </c>
      <c r="D55" t="inlineStr">
        <is>
          <t>GÄVLEBORGS LÄN</t>
        </is>
      </c>
      <c r="E55" t="inlineStr">
        <is>
          <t>HUDIKSVALL</t>
        </is>
      </c>
      <c r="G55" t="n">
        <v>7.1</v>
      </c>
      <c r="H55" t="n">
        <v>2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Gråkråka</t>
        </is>
      </c>
      <c r="S55">
        <f>HYPERLINK("https://klasma.github.io/Logging_2184/artfynd/A 116-2020 artfynd.xlsx", "A 116-2020")</f>
        <v/>
      </c>
      <c r="T55">
        <f>HYPERLINK("https://klasma.github.io/Logging_2184/kartor/A 116-2020 karta.png", "A 116-2020")</f>
        <v/>
      </c>
      <c r="V55">
        <f>HYPERLINK("https://klasma.github.io/Logging_2184/klagomål/A 116-2020 FSC-klagomål.docx", "A 116-2020")</f>
        <v/>
      </c>
      <c r="W55">
        <f>HYPERLINK("https://klasma.github.io/Logging_2184/klagomålsmail/A 116-2020 FSC-klagomål mail.docx", "A 116-2020")</f>
        <v/>
      </c>
      <c r="X55">
        <f>HYPERLINK("https://klasma.github.io/Logging_2184/tillsyn/A 116-2020 tillsynsbegäran.docx", "A 116-2020")</f>
        <v/>
      </c>
      <c r="Y55">
        <f>HYPERLINK("https://klasma.github.io/Logging_2184/tillsynsmail/A 116-2020 tillsynsbegäran mail.docx", "A 116-2020")</f>
        <v/>
      </c>
      <c r="Z55">
        <f>HYPERLINK("https://klasma.github.io/Logging_2184/fåglar/A 116-2020 prioriterade fågelarter.docx", "A 116-2020")</f>
        <v/>
      </c>
    </row>
    <row r="56" ht="15" customHeight="1">
      <c r="A56" t="inlineStr">
        <is>
          <t>A 14255-2020</t>
        </is>
      </c>
      <c r="B56" s="1" t="n">
        <v>43907</v>
      </c>
      <c r="C56" s="1" t="n">
        <v>45742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Myggblomster</t>
        </is>
      </c>
      <c r="S56">
        <f>HYPERLINK("https://klasma.github.io/Logging_2184/artfynd/A 14255-2020 artfynd.xlsx", "A 14255-2020")</f>
        <v/>
      </c>
      <c r="T56">
        <f>HYPERLINK("https://klasma.github.io/Logging_2184/kartor/A 14255-2020 karta.png", "A 14255-2020")</f>
        <v/>
      </c>
      <c r="V56">
        <f>HYPERLINK("https://klasma.github.io/Logging_2184/klagomål/A 14255-2020 FSC-klagomål.docx", "A 14255-2020")</f>
        <v/>
      </c>
      <c r="W56">
        <f>HYPERLINK("https://klasma.github.io/Logging_2184/klagomålsmail/A 14255-2020 FSC-klagomål mail.docx", "A 14255-2020")</f>
        <v/>
      </c>
      <c r="X56">
        <f>HYPERLINK("https://klasma.github.io/Logging_2184/tillsyn/A 14255-2020 tillsynsbegäran.docx", "A 14255-2020")</f>
        <v/>
      </c>
      <c r="Y56">
        <f>HYPERLINK("https://klasma.github.io/Logging_2184/tillsynsmail/A 14255-2020 tillsynsbegäran mail.docx", "A 14255-2020")</f>
        <v/>
      </c>
    </row>
    <row r="57" ht="15" customHeight="1">
      <c r="A57" t="inlineStr">
        <is>
          <t>A 35427-2020</t>
        </is>
      </c>
      <c r="B57" s="1" t="n">
        <v>44042</v>
      </c>
      <c r="C57" s="1" t="n">
        <v>45742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HYPERLINK("https://klasma.github.io/Logging_2184/artfynd/A 35427-2020 artfynd.xlsx", "A 35427-2020")</f>
        <v/>
      </c>
      <c r="T57">
        <f>HYPERLINK("https://klasma.github.io/Logging_2184/kartor/A 35427-2020 karta.png", "A 35427-2020")</f>
        <v/>
      </c>
      <c r="V57">
        <f>HYPERLINK("https://klasma.github.io/Logging_2184/klagomål/A 35427-2020 FSC-klagomål.docx", "A 35427-2020")</f>
        <v/>
      </c>
      <c r="W57">
        <f>HYPERLINK("https://klasma.github.io/Logging_2184/klagomålsmail/A 35427-2020 FSC-klagomål mail.docx", "A 35427-2020")</f>
        <v/>
      </c>
      <c r="X57">
        <f>HYPERLINK("https://klasma.github.io/Logging_2184/tillsyn/A 35427-2020 tillsynsbegäran.docx", "A 35427-2020")</f>
        <v/>
      </c>
      <c r="Y57">
        <f>HYPERLINK("https://klasma.github.io/Logging_2184/tillsynsmail/A 35427-2020 tillsynsbegäran mail.docx", "A 35427-2020")</f>
        <v/>
      </c>
    </row>
    <row r="58" ht="15" customHeight="1">
      <c r="A58" t="inlineStr">
        <is>
          <t>A 43503-2020</t>
        </is>
      </c>
      <c r="B58" s="1" t="n">
        <v>44077</v>
      </c>
      <c r="C58" s="1" t="n">
        <v>45742</v>
      </c>
      <c r="D58" t="inlineStr">
        <is>
          <t>GÄVLEBORGS LÄN</t>
        </is>
      </c>
      <c r="E58" t="inlineStr">
        <is>
          <t>HUDIKSVALL</t>
        </is>
      </c>
      <c r="G58" t="n">
        <v>3.3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Garnlav</t>
        </is>
      </c>
      <c r="S58">
        <f>HYPERLINK("https://klasma.github.io/Logging_2184/artfynd/A 43503-2020 artfynd.xlsx", "A 43503-2020")</f>
        <v/>
      </c>
      <c r="T58">
        <f>HYPERLINK("https://klasma.github.io/Logging_2184/kartor/A 43503-2020 karta.png", "A 43503-2020")</f>
        <v/>
      </c>
      <c r="U58">
        <f>HYPERLINK("https://klasma.github.io/Logging_2184/knärot/A 43503-2020 karta knärot.png", "A 43503-2020")</f>
        <v/>
      </c>
      <c r="V58">
        <f>HYPERLINK("https://klasma.github.io/Logging_2184/klagomål/A 43503-2020 FSC-klagomål.docx", "A 43503-2020")</f>
        <v/>
      </c>
      <c r="W58">
        <f>HYPERLINK("https://klasma.github.io/Logging_2184/klagomålsmail/A 43503-2020 FSC-klagomål mail.docx", "A 43503-2020")</f>
        <v/>
      </c>
      <c r="X58">
        <f>HYPERLINK("https://klasma.github.io/Logging_2184/tillsyn/A 43503-2020 tillsynsbegäran.docx", "A 43503-2020")</f>
        <v/>
      </c>
      <c r="Y58">
        <f>HYPERLINK("https://klasma.github.io/Logging_2184/tillsynsmail/A 43503-2020 tillsynsbegäran mail.docx", "A 43503-2020")</f>
        <v/>
      </c>
    </row>
    <row r="59" ht="15" customHeight="1">
      <c r="A59" t="inlineStr">
        <is>
          <t>A 39528-2021</t>
        </is>
      </c>
      <c r="B59" s="1" t="n">
        <v>44415</v>
      </c>
      <c r="C59" s="1" t="n">
        <v>45742</v>
      </c>
      <c r="D59" t="inlineStr">
        <is>
          <t>GÄVLEBORGS LÄN</t>
        </is>
      </c>
      <c r="E59" t="inlineStr">
        <is>
          <t>HUDIKSVALL</t>
        </is>
      </c>
      <c r="G59" t="n">
        <v>5.2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Stuplav</t>
        </is>
      </c>
      <c r="S59">
        <f>HYPERLINK("https://klasma.github.io/Logging_2184/artfynd/A 39528-2021 artfynd.xlsx", "A 39528-2021")</f>
        <v/>
      </c>
      <c r="T59">
        <f>HYPERLINK("https://klasma.github.io/Logging_2184/kartor/A 39528-2021 karta.png", "A 39528-2021")</f>
        <v/>
      </c>
      <c r="U59">
        <f>HYPERLINK("https://klasma.github.io/Logging_2184/knärot/A 39528-2021 karta knärot.png", "A 39528-2021")</f>
        <v/>
      </c>
      <c r="V59">
        <f>HYPERLINK("https://klasma.github.io/Logging_2184/klagomål/A 39528-2021 FSC-klagomål.docx", "A 39528-2021")</f>
        <v/>
      </c>
      <c r="W59">
        <f>HYPERLINK("https://klasma.github.io/Logging_2184/klagomålsmail/A 39528-2021 FSC-klagomål mail.docx", "A 39528-2021")</f>
        <v/>
      </c>
      <c r="X59">
        <f>HYPERLINK("https://klasma.github.io/Logging_2184/tillsyn/A 39528-2021 tillsynsbegäran.docx", "A 39528-2021")</f>
        <v/>
      </c>
      <c r="Y59">
        <f>HYPERLINK("https://klasma.github.io/Logging_2184/tillsynsmail/A 39528-2021 tillsynsbegäran mail.docx", "A 39528-2021")</f>
        <v/>
      </c>
    </row>
    <row r="60" ht="15" customHeight="1">
      <c r="A60" t="inlineStr">
        <is>
          <t>A 29206-2022</t>
        </is>
      </c>
      <c r="B60" s="1" t="n">
        <v>44750</v>
      </c>
      <c r="C60" s="1" t="n">
        <v>45742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Revlummer</t>
        </is>
      </c>
      <c r="S60">
        <f>HYPERLINK("https://klasma.github.io/Logging_2184/artfynd/A 29206-2022 artfynd.xlsx", "A 29206-2022")</f>
        <v/>
      </c>
      <c r="T60">
        <f>HYPERLINK("https://klasma.github.io/Logging_2184/kartor/A 29206-2022 karta.png", "A 29206-2022")</f>
        <v/>
      </c>
      <c r="V60">
        <f>HYPERLINK("https://klasma.github.io/Logging_2184/klagomål/A 29206-2022 FSC-klagomål.docx", "A 29206-2022")</f>
        <v/>
      </c>
      <c r="W60">
        <f>HYPERLINK("https://klasma.github.io/Logging_2184/klagomålsmail/A 29206-2022 FSC-klagomål mail.docx", "A 29206-2022")</f>
        <v/>
      </c>
      <c r="X60">
        <f>HYPERLINK("https://klasma.github.io/Logging_2184/tillsyn/A 29206-2022 tillsynsbegäran.docx", "A 29206-2022")</f>
        <v/>
      </c>
      <c r="Y60">
        <f>HYPERLINK("https://klasma.github.io/Logging_2184/tillsynsmail/A 29206-2022 tillsynsbegäran mail.docx", "A 29206-2022")</f>
        <v/>
      </c>
    </row>
    <row r="61" ht="15" customHeight="1">
      <c r="A61" t="inlineStr">
        <is>
          <t>A 42203-2022</t>
        </is>
      </c>
      <c r="B61" s="1" t="n">
        <v>44830</v>
      </c>
      <c r="C61" s="1" t="n">
        <v>45742</v>
      </c>
      <c r="D61" t="inlineStr">
        <is>
          <t>GÄVLEBORGS LÄN</t>
        </is>
      </c>
      <c r="E61" t="inlineStr">
        <is>
          <t>HUDIKSVALL</t>
        </is>
      </c>
      <c r="G61" t="n">
        <v>2.3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HYPERLINK("https://klasma.github.io/Logging_2184/artfynd/A 42203-2022 artfynd.xlsx", "A 42203-2022")</f>
        <v/>
      </c>
      <c r="T61">
        <f>HYPERLINK("https://klasma.github.io/Logging_2184/kartor/A 42203-2022 karta.png", "A 42203-2022")</f>
        <v/>
      </c>
      <c r="V61">
        <f>HYPERLINK("https://klasma.github.io/Logging_2184/klagomål/A 42203-2022 FSC-klagomål.docx", "A 42203-2022")</f>
        <v/>
      </c>
      <c r="W61">
        <f>HYPERLINK("https://klasma.github.io/Logging_2184/klagomålsmail/A 42203-2022 FSC-klagomål mail.docx", "A 42203-2022")</f>
        <v/>
      </c>
      <c r="X61">
        <f>HYPERLINK("https://klasma.github.io/Logging_2184/tillsyn/A 42203-2022 tillsynsbegäran.docx", "A 42203-2022")</f>
        <v/>
      </c>
      <c r="Y61">
        <f>HYPERLINK("https://klasma.github.io/Logging_2184/tillsynsmail/A 42203-2022 tillsynsbegäran mail.docx", "A 42203-2022")</f>
        <v/>
      </c>
    </row>
    <row r="62" ht="15" customHeight="1">
      <c r="A62" t="inlineStr">
        <is>
          <t>A 23838-2023</t>
        </is>
      </c>
      <c r="B62" s="1" t="n">
        <v>45078</v>
      </c>
      <c r="C62" s="1" t="n">
        <v>45742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Skinnlav
Stor aspticka</t>
        </is>
      </c>
      <c r="S62">
        <f>HYPERLINK("https://klasma.github.io/Logging_2184/artfynd/A 23838-2023 artfynd.xlsx", "A 23838-2023")</f>
        <v/>
      </c>
      <c r="T62">
        <f>HYPERLINK("https://klasma.github.io/Logging_2184/kartor/A 23838-2023 karta.png", "A 23838-2023")</f>
        <v/>
      </c>
      <c r="V62">
        <f>HYPERLINK("https://klasma.github.io/Logging_2184/klagomål/A 23838-2023 FSC-klagomål.docx", "A 23838-2023")</f>
        <v/>
      </c>
      <c r="W62">
        <f>HYPERLINK("https://klasma.github.io/Logging_2184/klagomålsmail/A 23838-2023 FSC-klagomål mail.docx", "A 23838-2023")</f>
        <v/>
      </c>
      <c r="X62">
        <f>HYPERLINK("https://klasma.github.io/Logging_2184/tillsyn/A 23838-2023 tillsynsbegäran.docx", "A 23838-2023")</f>
        <v/>
      </c>
      <c r="Y62">
        <f>HYPERLINK("https://klasma.github.io/Logging_2184/tillsynsmail/A 23838-2023 tillsynsbegäran mail.docx", "A 23838-2023")</f>
        <v/>
      </c>
    </row>
    <row r="63" ht="15" customHeight="1">
      <c r="A63" t="inlineStr">
        <is>
          <t>A 45876-2023</t>
        </is>
      </c>
      <c r="B63" s="1" t="n">
        <v>45195</v>
      </c>
      <c r="C63" s="1" t="n">
        <v>45742</v>
      </c>
      <c r="D63" t="inlineStr">
        <is>
          <t>GÄVLEBORGS LÄN</t>
        </is>
      </c>
      <c r="E63" t="inlineStr">
        <is>
          <t>HUDIKSVALL</t>
        </is>
      </c>
      <c r="G63" t="n">
        <v>3.9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Blåsippa
Revlummer</t>
        </is>
      </c>
      <c r="S63">
        <f>HYPERLINK("https://klasma.github.io/Logging_2184/artfynd/A 45876-2023 artfynd.xlsx", "A 45876-2023")</f>
        <v/>
      </c>
      <c r="T63">
        <f>HYPERLINK("https://klasma.github.io/Logging_2184/kartor/A 45876-2023 karta.png", "A 45876-2023")</f>
        <v/>
      </c>
      <c r="V63">
        <f>HYPERLINK("https://klasma.github.io/Logging_2184/klagomål/A 45876-2023 FSC-klagomål.docx", "A 45876-2023")</f>
        <v/>
      </c>
      <c r="W63">
        <f>HYPERLINK("https://klasma.github.io/Logging_2184/klagomålsmail/A 45876-2023 FSC-klagomål mail.docx", "A 45876-2023")</f>
        <v/>
      </c>
      <c r="X63">
        <f>HYPERLINK("https://klasma.github.io/Logging_2184/tillsyn/A 45876-2023 tillsynsbegäran.docx", "A 45876-2023")</f>
        <v/>
      </c>
      <c r="Y63">
        <f>HYPERLINK("https://klasma.github.io/Logging_2184/tillsynsmail/A 45876-2023 tillsynsbegäran mail.docx", "A 45876-2023")</f>
        <v/>
      </c>
    </row>
    <row r="64" ht="15" customHeight="1">
      <c r="A64" t="inlineStr">
        <is>
          <t>A 7322-2024</t>
        </is>
      </c>
      <c r="B64" s="1" t="n">
        <v>45345</v>
      </c>
      <c r="C64" s="1" t="n">
        <v>45742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Kolflarnlav</t>
        </is>
      </c>
      <c r="S64">
        <f>HYPERLINK("https://klasma.github.io/Logging_2184/artfynd/A 7322-2024 artfynd.xlsx", "A 7322-2024")</f>
        <v/>
      </c>
      <c r="T64">
        <f>HYPERLINK("https://klasma.github.io/Logging_2184/kartor/A 7322-2024 karta.png", "A 7322-2024")</f>
        <v/>
      </c>
      <c r="V64">
        <f>HYPERLINK("https://klasma.github.io/Logging_2184/klagomål/A 7322-2024 FSC-klagomål.docx", "A 7322-2024")</f>
        <v/>
      </c>
      <c r="W64">
        <f>HYPERLINK("https://klasma.github.io/Logging_2184/klagomålsmail/A 7322-2024 FSC-klagomål mail.docx", "A 7322-2024")</f>
        <v/>
      </c>
      <c r="X64">
        <f>HYPERLINK("https://klasma.github.io/Logging_2184/tillsyn/A 7322-2024 tillsynsbegäran.docx", "A 7322-2024")</f>
        <v/>
      </c>
      <c r="Y64">
        <f>HYPERLINK("https://klasma.github.io/Logging_2184/tillsynsmail/A 7322-2024 tillsynsbegäran mail.docx", "A 7322-2024")</f>
        <v/>
      </c>
    </row>
    <row r="65" ht="15" customHeight="1">
      <c r="A65" t="inlineStr">
        <is>
          <t>A 33608-2024</t>
        </is>
      </c>
      <c r="B65" s="1" t="n">
        <v>45520</v>
      </c>
      <c r="C65" s="1" t="n">
        <v>45742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19.7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Garnlav</t>
        </is>
      </c>
      <c r="S65">
        <f>HYPERLINK("https://klasma.github.io/Logging_2184/artfynd/A 33608-2024 artfynd.xlsx", "A 33608-2024")</f>
        <v/>
      </c>
      <c r="T65">
        <f>HYPERLINK("https://klasma.github.io/Logging_2184/kartor/A 33608-2024 karta.png", "A 33608-2024")</f>
        <v/>
      </c>
      <c r="U65">
        <f>HYPERLINK("https://klasma.github.io/Logging_2184/knärot/A 33608-2024 karta knärot.png", "A 33608-2024")</f>
        <v/>
      </c>
      <c r="V65">
        <f>HYPERLINK("https://klasma.github.io/Logging_2184/klagomål/A 33608-2024 FSC-klagomål.docx", "A 33608-2024")</f>
        <v/>
      </c>
      <c r="W65">
        <f>HYPERLINK("https://klasma.github.io/Logging_2184/klagomålsmail/A 33608-2024 FSC-klagomål mail.docx", "A 33608-2024")</f>
        <v/>
      </c>
      <c r="X65">
        <f>HYPERLINK("https://klasma.github.io/Logging_2184/tillsyn/A 33608-2024 tillsynsbegäran.docx", "A 33608-2024")</f>
        <v/>
      </c>
      <c r="Y65">
        <f>HYPERLINK("https://klasma.github.io/Logging_2184/tillsynsmail/A 33608-2024 tillsynsbegäran mail.docx", "A 33608-2024")</f>
        <v/>
      </c>
    </row>
    <row r="66" ht="15" customHeight="1">
      <c r="A66" t="inlineStr">
        <is>
          <t>A 42624-2024</t>
        </is>
      </c>
      <c r="B66" s="1" t="n">
        <v>45565</v>
      </c>
      <c r="C66" s="1" t="n">
        <v>45742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Vedflikmossa
Violettgrå tagellav</t>
        </is>
      </c>
      <c r="S66">
        <f>HYPERLINK("https://klasma.github.io/Logging_2184/artfynd/A 42624-2024 artfynd.xlsx", "A 42624-2024")</f>
        <v/>
      </c>
      <c r="T66">
        <f>HYPERLINK("https://klasma.github.io/Logging_2184/kartor/A 42624-2024 karta.png", "A 42624-2024")</f>
        <v/>
      </c>
      <c r="V66">
        <f>HYPERLINK("https://klasma.github.io/Logging_2184/klagomål/A 42624-2024 FSC-klagomål.docx", "A 42624-2024")</f>
        <v/>
      </c>
      <c r="W66">
        <f>HYPERLINK("https://klasma.github.io/Logging_2184/klagomålsmail/A 42624-2024 FSC-klagomål mail.docx", "A 42624-2024")</f>
        <v/>
      </c>
      <c r="X66">
        <f>HYPERLINK("https://klasma.github.io/Logging_2184/tillsyn/A 42624-2024 tillsynsbegäran.docx", "A 42624-2024")</f>
        <v/>
      </c>
      <c r="Y66">
        <f>HYPERLINK("https://klasma.github.io/Logging_2184/tillsynsmail/A 42624-2024 tillsynsbegäran mail.docx", "A 42624-2024")</f>
        <v/>
      </c>
    </row>
    <row r="67" ht="15" customHeight="1">
      <c r="A67" t="inlineStr">
        <is>
          <t>A 47367-2024</t>
        </is>
      </c>
      <c r="B67" s="1" t="n">
        <v>45587</v>
      </c>
      <c r="C67" s="1" t="n">
        <v>45742</v>
      </c>
      <c r="D67" t="inlineStr">
        <is>
          <t>GÄVLEBORGS LÄN</t>
        </is>
      </c>
      <c r="E67" t="inlineStr">
        <is>
          <t>HUDIKSVALL</t>
        </is>
      </c>
      <c r="G67" t="n">
        <v>4.3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Grönvit nattviol
Revlummer</t>
        </is>
      </c>
      <c r="S67">
        <f>HYPERLINK("https://klasma.github.io/Logging_2184/artfynd/A 47367-2024 artfynd.xlsx", "A 47367-2024")</f>
        <v/>
      </c>
      <c r="T67">
        <f>HYPERLINK("https://klasma.github.io/Logging_2184/kartor/A 47367-2024 karta.png", "A 47367-2024")</f>
        <v/>
      </c>
      <c r="V67">
        <f>HYPERLINK("https://klasma.github.io/Logging_2184/klagomål/A 47367-2024 FSC-klagomål.docx", "A 47367-2024")</f>
        <v/>
      </c>
      <c r="W67">
        <f>HYPERLINK("https://klasma.github.io/Logging_2184/klagomålsmail/A 47367-2024 FSC-klagomål mail.docx", "A 47367-2024")</f>
        <v/>
      </c>
      <c r="X67">
        <f>HYPERLINK("https://klasma.github.io/Logging_2184/tillsyn/A 47367-2024 tillsynsbegäran.docx", "A 47367-2024")</f>
        <v/>
      </c>
      <c r="Y67">
        <f>HYPERLINK("https://klasma.github.io/Logging_2184/tillsynsmail/A 47367-2024 tillsynsbegäran mail.docx", "A 47367-2024")</f>
        <v/>
      </c>
    </row>
    <row r="68" ht="15" customHeight="1">
      <c r="A68" t="inlineStr">
        <is>
          <t>A 58326-2024</t>
        </is>
      </c>
      <c r="B68" s="1" t="n">
        <v>45632</v>
      </c>
      <c r="C68" s="1" t="n">
        <v>45742</v>
      </c>
      <c r="D68" t="inlineStr">
        <is>
          <t>GÄVLEBORGS LÄN</t>
        </is>
      </c>
      <c r="E68" t="inlineStr">
        <is>
          <t>HUDIKSVALL</t>
        </is>
      </c>
      <c r="G68" t="n">
        <v>1.7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HYPERLINK("https://klasma.github.io/Logging_2184/artfynd/A 58326-2024 artfynd.xlsx", "A 58326-2024")</f>
        <v/>
      </c>
      <c r="T68">
        <f>HYPERLINK("https://klasma.github.io/Logging_2184/kartor/A 58326-2024 karta.png", "A 58326-2024")</f>
        <v/>
      </c>
      <c r="U68">
        <f>HYPERLINK("https://klasma.github.io/Logging_2184/knärot/A 58326-2024 karta knärot.png", "A 58326-2024")</f>
        <v/>
      </c>
      <c r="V68">
        <f>HYPERLINK("https://klasma.github.io/Logging_2184/klagomål/A 58326-2024 FSC-klagomål.docx", "A 58326-2024")</f>
        <v/>
      </c>
      <c r="W68">
        <f>HYPERLINK("https://klasma.github.io/Logging_2184/klagomålsmail/A 58326-2024 FSC-klagomål mail.docx", "A 58326-2024")</f>
        <v/>
      </c>
      <c r="X68">
        <f>HYPERLINK("https://klasma.github.io/Logging_2184/tillsyn/A 58326-2024 tillsynsbegäran.docx", "A 58326-2024")</f>
        <v/>
      </c>
      <c r="Y68">
        <f>HYPERLINK("https://klasma.github.io/Logging_2184/tillsynsmail/A 58326-2024 tillsynsbegäran mail.docx", "A 58326-2024")</f>
        <v/>
      </c>
    </row>
    <row r="69" ht="15" customHeight="1">
      <c r="A69" t="inlineStr">
        <is>
          <t>A 28268-2019</t>
        </is>
      </c>
      <c r="B69" s="1" t="n">
        <v>43623</v>
      </c>
      <c r="C69" s="1" t="n">
        <v>45742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HYPERLINK("https://klasma.github.io/Logging_2184/artfynd/A 28268-2019 artfynd.xlsx", "A 28268-2019")</f>
        <v/>
      </c>
      <c r="T69">
        <f>HYPERLINK("https://klasma.github.io/Logging_2184/kartor/A 28268-2019 karta.png", "A 28268-2019")</f>
        <v/>
      </c>
      <c r="V69">
        <f>HYPERLINK("https://klasma.github.io/Logging_2184/klagomål/A 28268-2019 FSC-klagomål.docx", "A 28268-2019")</f>
        <v/>
      </c>
      <c r="W69">
        <f>HYPERLINK("https://klasma.github.io/Logging_2184/klagomålsmail/A 28268-2019 FSC-klagomål mail.docx", "A 28268-2019")</f>
        <v/>
      </c>
      <c r="X69">
        <f>HYPERLINK("https://klasma.github.io/Logging_2184/tillsyn/A 28268-2019 tillsynsbegäran.docx", "A 28268-2019")</f>
        <v/>
      </c>
      <c r="Y69">
        <f>HYPERLINK("https://klasma.github.io/Logging_2184/tillsynsmail/A 28268-2019 tillsynsbegäran mail.docx", "A 28268-2019")</f>
        <v/>
      </c>
    </row>
    <row r="70" ht="15" customHeight="1">
      <c r="A70" t="inlineStr">
        <is>
          <t>A 48604-2019</t>
        </is>
      </c>
      <c r="B70" s="1" t="n">
        <v>43727</v>
      </c>
      <c r="C70" s="1" t="n">
        <v>45742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HYPERLINK("https://klasma.github.io/Logging_2184/artfynd/A 48604-2019 artfynd.xlsx", "A 48604-2019")</f>
        <v/>
      </c>
      <c r="T70">
        <f>HYPERLINK("https://klasma.github.io/Logging_2184/kartor/A 48604-2019 karta.png", "A 48604-2019")</f>
        <v/>
      </c>
      <c r="V70">
        <f>HYPERLINK("https://klasma.github.io/Logging_2184/klagomål/A 48604-2019 FSC-klagomål.docx", "A 48604-2019")</f>
        <v/>
      </c>
      <c r="W70">
        <f>HYPERLINK("https://klasma.github.io/Logging_2184/klagomålsmail/A 48604-2019 FSC-klagomål mail.docx", "A 48604-2019")</f>
        <v/>
      </c>
      <c r="X70">
        <f>HYPERLINK("https://klasma.github.io/Logging_2184/tillsyn/A 48604-2019 tillsynsbegäran.docx", "A 48604-2019")</f>
        <v/>
      </c>
      <c r="Y70">
        <f>HYPERLINK("https://klasma.github.io/Logging_2184/tillsynsmail/A 48604-2019 tillsynsbegäran mail.docx", "A 48604-2019")</f>
        <v/>
      </c>
      <c r="Z70">
        <f>HYPERLINK("https://klasma.github.io/Logging_2184/fåglar/A 48604-2019 prioriterade fågelarter.docx", "A 48604-2019")</f>
        <v/>
      </c>
    </row>
    <row r="71" ht="15" customHeight="1">
      <c r="A71" t="inlineStr">
        <is>
          <t>A 1597-2020</t>
        </is>
      </c>
      <c r="B71" s="1" t="n">
        <v>43844</v>
      </c>
      <c r="C71" s="1" t="n">
        <v>45742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16.6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HYPERLINK("https://klasma.github.io/Logging_2184/artfynd/A 1597-2020 artfynd.xlsx", "A 1597-2020")</f>
        <v/>
      </c>
      <c r="T71">
        <f>HYPERLINK("https://klasma.github.io/Logging_2184/kartor/A 1597-2020 karta.png", "A 1597-2020")</f>
        <v/>
      </c>
      <c r="V71">
        <f>HYPERLINK("https://klasma.github.io/Logging_2184/klagomål/A 1597-2020 FSC-klagomål.docx", "A 1597-2020")</f>
        <v/>
      </c>
      <c r="W71">
        <f>HYPERLINK("https://klasma.github.io/Logging_2184/klagomålsmail/A 1597-2020 FSC-klagomål mail.docx", "A 1597-2020")</f>
        <v/>
      </c>
      <c r="X71">
        <f>HYPERLINK("https://klasma.github.io/Logging_2184/tillsyn/A 1597-2020 tillsynsbegäran.docx", "A 1597-2020")</f>
        <v/>
      </c>
      <c r="Y71">
        <f>HYPERLINK("https://klasma.github.io/Logging_2184/tillsynsmail/A 1597-2020 tillsynsbegäran mail.docx", "A 1597-2020")</f>
        <v/>
      </c>
      <c r="Z71">
        <f>HYPERLINK("https://klasma.github.io/Logging_2184/fåglar/A 1597-2020 prioriterade fågelarter.docx", "A 1597-2020")</f>
        <v/>
      </c>
    </row>
    <row r="72" ht="15" customHeight="1">
      <c r="A72" t="inlineStr">
        <is>
          <t>A 14362-2020</t>
        </is>
      </c>
      <c r="B72" s="1" t="n">
        <v>43908</v>
      </c>
      <c r="C72" s="1" t="n">
        <v>45742</v>
      </c>
      <c r="D72" t="inlineStr">
        <is>
          <t>GÄVLEBORGS LÄN</t>
        </is>
      </c>
      <c r="E72" t="inlineStr">
        <is>
          <t>HUDIKSVALL</t>
        </is>
      </c>
      <c r="F72" t="inlineStr">
        <is>
          <t>Kommuner</t>
        </is>
      </c>
      <c r="G72" t="n">
        <v>2.7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Fiskmås</t>
        </is>
      </c>
      <c r="S72">
        <f>HYPERLINK("https://klasma.github.io/Logging_2184/artfynd/A 14362-2020 artfynd.xlsx", "A 14362-2020")</f>
        <v/>
      </c>
      <c r="T72">
        <f>HYPERLINK("https://klasma.github.io/Logging_2184/kartor/A 14362-2020 karta.png", "A 14362-2020")</f>
        <v/>
      </c>
      <c r="V72">
        <f>HYPERLINK("https://klasma.github.io/Logging_2184/klagomål/A 14362-2020 FSC-klagomål.docx", "A 14362-2020")</f>
        <v/>
      </c>
      <c r="W72">
        <f>HYPERLINK("https://klasma.github.io/Logging_2184/klagomålsmail/A 14362-2020 FSC-klagomål mail.docx", "A 14362-2020")</f>
        <v/>
      </c>
      <c r="X72">
        <f>HYPERLINK("https://klasma.github.io/Logging_2184/tillsyn/A 14362-2020 tillsynsbegäran.docx", "A 14362-2020")</f>
        <v/>
      </c>
      <c r="Y72">
        <f>HYPERLINK("https://klasma.github.io/Logging_2184/tillsynsmail/A 14362-2020 tillsynsbegäran mail.docx", "A 14362-2020")</f>
        <v/>
      </c>
    </row>
    <row r="73" ht="15" customHeight="1">
      <c r="A73" t="inlineStr">
        <is>
          <t>A 16382-2020</t>
        </is>
      </c>
      <c r="B73" s="1" t="n">
        <v>43917</v>
      </c>
      <c r="C73" s="1" t="n">
        <v>45742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Fjällvråk</t>
        </is>
      </c>
      <c r="S73">
        <f>HYPERLINK("https://klasma.github.io/Logging_2184/artfynd/A 16382-2020 artfynd.xlsx", "A 16382-2020")</f>
        <v/>
      </c>
      <c r="T73">
        <f>HYPERLINK("https://klasma.github.io/Logging_2184/kartor/A 16382-2020 karta.png", "A 16382-2020")</f>
        <v/>
      </c>
      <c r="V73">
        <f>HYPERLINK("https://klasma.github.io/Logging_2184/klagomål/A 16382-2020 FSC-klagomål.docx", "A 16382-2020")</f>
        <v/>
      </c>
      <c r="W73">
        <f>HYPERLINK("https://klasma.github.io/Logging_2184/klagomålsmail/A 16382-2020 FSC-klagomål mail.docx", "A 16382-2020")</f>
        <v/>
      </c>
      <c r="X73">
        <f>HYPERLINK("https://klasma.github.io/Logging_2184/tillsyn/A 16382-2020 tillsynsbegäran.docx", "A 16382-2020")</f>
        <v/>
      </c>
      <c r="Y73">
        <f>HYPERLINK("https://klasma.github.io/Logging_2184/tillsynsmail/A 16382-2020 tillsynsbegäran mail.docx", "A 16382-2020")</f>
        <v/>
      </c>
      <c r="Z73">
        <f>HYPERLINK("https://klasma.github.io/Logging_2184/fåglar/A 16382-2020 prioriterade fågelarter.docx", "A 16382-2020")</f>
        <v/>
      </c>
    </row>
    <row r="74" ht="15" customHeight="1">
      <c r="A74" t="inlineStr">
        <is>
          <t>A 30137-2020</t>
        </is>
      </c>
      <c r="B74" s="1" t="n">
        <v>44007</v>
      </c>
      <c r="C74" s="1" t="n">
        <v>45742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Rosenticka</t>
        </is>
      </c>
      <c r="S74">
        <f>HYPERLINK("https://klasma.github.io/Logging_2184/artfynd/A 30137-2020 artfynd.xlsx", "A 30137-2020")</f>
        <v/>
      </c>
      <c r="T74">
        <f>HYPERLINK("https://klasma.github.io/Logging_2184/kartor/A 30137-2020 karta.png", "A 30137-2020")</f>
        <v/>
      </c>
      <c r="V74">
        <f>HYPERLINK("https://klasma.github.io/Logging_2184/klagomål/A 30137-2020 FSC-klagomål.docx", "A 30137-2020")</f>
        <v/>
      </c>
      <c r="W74">
        <f>HYPERLINK("https://klasma.github.io/Logging_2184/klagomålsmail/A 30137-2020 FSC-klagomål mail.docx", "A 30137-2020")</f>
        <v/>
      </c>
      <c r="X74">
        <f>HYPERLINK("https://klasma.github.io/Logging_2184/tillsyn/A 30137-2020 tillsynsbegäran.docx", "A 30137-2020")</f>
        <v/>
      </c>
      <c r="Y74">
        <f>HYPERLINK("https://klasma.github.io/Logging_2184/tillsynsmail/A 30137-2020 tillsynsbegäran mail.docx", "A 30137-2020")</f>
        <v/>
      </c>
    </row>
    <row r="75" ht="15" customHeight="1">
      <c r="A75" t="inlineStr">
        <is>
          <t>A 56543-2020</t>
        </is>
      </c>
      <c r="B75" s="1" t="n">
        <v>44137</v>
      </c>
      <c r="C75" s="1" t="n">
        <v>45742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HYPERLINK("https://klasma.github.io/Logging_2184/artfynd/A 56543-2020 artfynd.xlsx", "A 56543-2020")</f>
        <v/>
      </c>
      <c r="T75">
        <f>HYPERLINK("https://klasma.github.io/Logging_2184/kartor/A 56543-2020 karta.png", "A 56543-2020")</f>
        <v/>
      </c>
      <c r="V75">
        <f>HYPERLINK("https://klasma.github.io/Logging_2184/klagomål/A 56543-2020 FSC-klagomål.docx", "A 56543-2020")</f>
        <v/>
      </c>
      <c r="W75">
        <f>HYPERLINK("https://klasma.github.io/Logging_2184/klagomålsmail/A 56543-2020 FSC-klagomål mail.docx", "A 56543-2020")</f>
        <v/>
      </c>
      <c r="X75">
        <f>HYPERLINK("https://klasma.github.io/Logging_2184/tillsyn/A 56543-2020 tillsynsbegäran.docx", "A 56543-2020")</f>
        <v/>
      </c>
      <c r="Y75">
        <f>HYPERLINK("https://klasma.github.io/Logging_2184/tillsynsmail/A 56543-2020 tillsynsbegäran mail.docx", "A 56543-2020")</f>
        <v/>
      </c>
    </row>
    <row r="76" ht="15" customHeight="1">
      <c r="A76" t="inlineStr">
        <is>
          <t>A 65637-2020</t>
        </is>
      </c>
      <c r="B76" s="1" t="n">
        <v>44174</v>
      </c>
      <c r="C76" s="1" t="n">
        <v>45742</v>
      </c>
      <c r="D76" t="inlineStr">
        <is>
          <t>GÄVLEBORGS LÄN</t>
        </is>
      </c>
      <c r="E76" t="inlineStr">
        <is>
          <t>HUDIKSVALL</t>
        </is>
      </c>
      <c r="F76" t="inlineStr">
        <is>
          <t>Sveaskog</t>
        </is>
      </c>
      <c r="G76" t="n">
        <v>4.8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Vippfibbla</t>
        </is>
      </c>
      <c r="S76">
        <f>HYPERLINK("https://klasma.github.io/Logging_2184/artfynd/A 65637-2020 artfynd.xlsx", "A 65637-2020")</f>
        <v/>
      </c>
      <c r="T76">
        <f>HYPERLINK("https://klasma.github.io/Logging_2184/kartor/A 65637-2020 karta.png", "A 65637-2020")</f>
        <v/>
      </c>
      <c r="V76">
        <f>HYPERLINK("https://klasma.github.io/Logging_2184/klagomål/A 65637-2020 FSC-klagomål.docx", "A 65637-2020")</f>
        <v/>
      </c>
      <c r="W76">
        <f>HYPERLINK("https://klasma.github.io/Logging_2184/klagomålsmail/A 65637-2020 FSC-klagomål mail.docx", "A 65637-2020")</f>
        <v/>
      </c>
      <c r="X76">
        <f>HYPERLINK("https://klasma.github.io/Logging_2184/tillsyn/A 65637-2020 tillsynsbegäran.docx", "A 65637-2020")</f>
        <v/>
      </c>
      <c r="Y76">
        <f>HYPERLINK("https://klasma.github.io/Logging_2184/tillsynsmail/A 65637-2020 tillsynsbegäran mail.docx", "A 65637-2020")</f>
        <v/>
      </c>
    </row>
    <row r="77" ht="15" customHeight="1">
      <c r="A77" t="inlineStr">
        <is>
          <t>A 29691-2021</t>
        </is>
      </c>
      <c r="B77" s="1" t="n">
        <v>44362</v>
      </c>
      <c r="C77" s="1" t="n">
        <v>45742</v>
      </c>
      <c r="D77" t="inlineStr">
        <is>
          <t>GÄVLEBORGS LÄN</t>
        </is>
      </c>
      <c r="E77" t="inlineStr">
        <is>
          <t>HUDIKSVALL</t>
        </is>
      </c>
      <c r="G77" t="n">
        <v>1.3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Tallgråticka</t>
        </is>
      </c>
      <c r="S77">
        <f>HYPERLINK("https://klasma.github.io/Logging_2184/artfynd/A 29691-2021 artfynd.xlsx", "A 29691-2021")</f>
        <v/>
      </c>
      <c r="T77">
        <f>HYPERLINK("https://klasma.github.io/Logging_2184/kartor/A 29691-2021 karta.png", "A 29691-2021")</f>
        <v/>
      </c>
      <c r="V77">
        <f>HYPERLINK("https://klasma.github.io/Logging_2184/klagomål/A 29691-2021 FSC-klagomål.docx", "A 29691-2021")</f>
        <v/>
      </c>
      <c r="W77">
        <f>HYPERLINK("https://klasma.github.io/Logging_2184/klagomålsmail/A 29691-2021 FSC-klagomål mail.docx", "A 29691-2021")</f>
        <v/>
      </c>
      <c r="X77">
        <f>HYPERLINK("https://klasma.github.io/Logging_2184/tillsyn/A 29691-2021 tillsynsbegäran.docx", "A 29691-2021")</f>
        <v/>
      </c>
      <c r="Y77">
        <f>HYPERLINK("https://klasma.github.io/Logging_2184/tillsynsmail/A 29691-2021 tillsynsbegäran mail.docx", "A 29691-2021")</f>
        <v/>
      </c>
    </row>
    <row r="78" ht="15" customHeight="1">
      <c r="A78" t="inlineStr">
        <is>
          <t>A 32817-2021</t>
        </is>
      </c>
      <c r="B78" s="1" t="n">
        <v>44375</v>
      </c>
      <c r="C78" s="1" t="n">
        <v>45742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Bollvitmossa</t>
        </is>
      </c>
      <c r="S78">
        <f>HYPERLINK("https://klasma.github.io/Logging_2184/artfynd/A 32817-2021 artfynd.xlsx", "A 32817-2021")</f>
        <v/>
      </c>
      <c r="T78">
        <f>HYPERLINK("https://klasma.github.io/Logging_2184/kartor/A 32817-2021 karta.png", "A 32817-2021")</f>
        <v/>
      </c>
      <c r="V78">
        <f>HYPERLINK("https://klasma.github.io/Logging_2184/klagomål/A 32817-2021 FSC-klagomål.docx", "A 32817-2021")</f>
        <v/>
      </c>
      <c r="W78">
        <f>HYPERLINK("https://klasma.github.io/Logging_2184/klagomålsmail/A 32817-2021 FSC-klagomål mail.docx", "A 32817-2021")</f>
        <v/>
      </c>
      <c r="X78">
        <f>HYPERLINK("https://klasma.github.io/Logging_2184/tillsyn/A 32817-2021 tillsynsbegäran.docx", "A 32817-2021")</f>
        <v/>
      </c>
      <c r="Y78">
        <f>HYPERLINK("https://klasma.github.io/Logging_2184/tillsynsmail/A 32817-2021 tillsynsbegäran mail.docx", "A 32817-2021")</f>
        <v/>
      </c>
    </row>
    <row r="79" ht="15" customHeight="1">
      <c r="A79" t="inlineStr">
        <is>
          <t>A 68162-2021</t>
        </is>
      </c>
      <c r="B79" s="1" t="n">
        <v>44526</v>
      </c>
      <c r="C79" s="1" t="n">
        <v>45742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Större vattensalamander</t>
        </is>
      </c>
      <c r="S79">
        <f>HYPERLINK("https://klasma.github.io/Logging_2184/artfynd/A 68162-2021 artfynd.xlsx", "A 68162-2021")</f>
        <v/>
      </c>
      <c r="T79">
        <f>HYPERLINK("https://klasma.github.io/Logging_2184/kartor/A 68162-2021 karta.png", "A 68162-2021")</f>
        <v/>
      </c>
      <c r="V79">
        <f>HYPERLINK("https://klasma.github.io/Logging_2184/klagomål/A 68162-2021 FSC-klagomål.docx", "A 68162-2021")</f>
        <v/>
      </c>
      <c r="W79">
        <f>HYPERLINK("https://klasma.github.io/Logging_2184/klagomålsmail/A 68162-2021 FSC-klagomål mail.docx", "A 68162-2021")</f>
        <v/>
      </c>
      <c r="X79">
        <f>HYPERLINK("https://klasma.github.io/Logging_2184/tillsyn/A 68162-2021 tillsynsbegäran.docx", "A 68162-2021")</f>
        <v/>
      </c>
      <c r="Y79">
        <f>HYPERLINK("https://klasma.github.io/Logging_2184/tillsynsmail/A 68162-2021 tillsynsbegäran mail.docx", "A 68162-2021")</f>
        <v/>
      </c>
    </row>
    <row r="80" ht="15" customHeight="1">
      <c r="A80" t="inlineStr">
        <is>
          <t>A 71122-2021</t>
        </is>
      </c>
      <c r="B80" s="1" t="n">
        <v>44539</v>
      </c>
      <c r="C80" s="1" t="n">
        <v>45742</v>
      </c>
      <c r="D80" t="inlineStr">
        <is>
          <t>GÄVLEBORGS LÄN</t>
        </is>
      </c>
      <c r="E80" t="inlineStr">
        <is>
          <t>HUDIKSVALL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71122-2021 artfynd.xlsx", "A 71122-2021")</f>
        <v/>
      </c>
      <c r="T80">
        <f>HYPERLINK("https://klasma.github.io/Logging_2184/kartor/A 71122-2021 karta.png", "A 71122-2021")</f>
        <v/>
      </c>
      <c r="U80">
        <f>HYPERLINK("https://klasma.github.io/Logging_2184/knärot/A 71122-2021 karta knärot.png", "A 71122-2021")</f>
        <v/>
      </c>
      <c r="V80">
        <f>HYPERLINK("https://klasma.github.io/Logging_2184/klagomål/A 71122-2021 FSC-klagomål.docx", "A 71122-2021")</f>
        <v/>
      </c>
      <c r="W80">
        <f>HYPERLINK("https://klasma.github.io/Logging_2184/klagomålsmail/A 71122-2021 FSC-klagomål mail.docx", "A 71122-2021")</f>
        <v/>
      </c>
      <c r="X80">
        <f>HYPERLINK("https://klasma.github.io/Logging_2184/tillsyn/A 71122-2021 tillsynsbegäran.docx", "A 71122-2021")</f>
        <v/>
      </c>
      <c r="Y80">
        <f>HYPERLINK("https://klasma.github.io/Logging_2184/tillsynsmail/A 71122-2021 tillsynsbegäran mail.docx", "A 71122-2021")</f>
        <v/>
      </c>
    </row>
    <row r="81" ht="15" customHeight="1">
      <c r="A81" t="inlineStr">
        <is>
          <t>A 17382-2022</t>
        </is>
      </c>
      <c r="B81" s="1" t="n">
        <v>44678</v>
      </c>
      <c r="C81" s="1" t="n">
        <v>45742</v>
      </c>
      <c r="D81" t="inlineStr">
        <is>
          <t>GÄVLEBORGS LÄN</t>
        </is>
      </c>
      <c r="E81" t="inlineStr">
        <is>
          <t>HUDIKSVALL</t>
        </is>
      </c>
      <c r="G81" t="n">
        <v>9.300000000000001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Månlåsbräken</t>
        </is>
      </c>
      <c r="S81">
        <f>HYPERLINK("https://klasma.github.io/Logging_2184/artfynd/A 17382-2022 artfynd.xlsx", "A 17382-2022")</f>
        <v/>
      </c>
      <c r="T81">
        <f>HYPERLINK("https://klasma.github.io/Logging_2184/kartor/A 17382-2022 karta.png", "A 17382-2022")</f>
        <v/>
      </c>
      <c r="V81">
        <f>HYPERLINK("https://klasma.github.io/Logging_2184/klagomål/A 17382-2022 FSC-klagomål.docx", "A 17382-2022")</f>
        <v/>
      </c>
      <c r="W81">
        <f>HYPERLINK("https://klasma.github.io/Logging_2184/klagomålsmail/A 17382-2022 FSC-klagomål mail.docx", "A 17382-2022")</f>
        <v/>
      </c>
      <c r="X81">
        <f>HYPERLINK("https://klasma.github.io/Logging_2184/tillsyn/A 17382-2022 tillsynsbegäran.docx", "A 17382-2022")</f>
        <v/>
      </c>
      <c r="Y81">
        <f>HYPERLINK("https://klasma.github.io/Logging_2184/tillsynsmail/A 17382-2022 tillsynsbegäran mail.docx", "A 17382-2022")</f>
        <v/>
      </c>
    </row>
    <row r="82" ht="15" customHeight="1">
      <c r="A82" t="inlineStr">
        <is>
          <t>A 24451-2022</t>
        </is>
      </c>
      <c r="B82" s="1" t="n">
        <v>44726</v>
      </c>
      <c r="C82" s="1" t="n">
        <v>45742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Vitgrynig nållav</t>
        </is>
      </c>
      <c r="S82">
        <f>HYPERLINK("https://klasma.github.io/Logging_2184/artfynd/A 24451-2022 artfynd.xlsx", "A 24451-2022")</f>
        <v/>
      </c>
      <c r="T82">
        <f>HYPERLINK("https://klasma.github.io/Logging_2184/kartor/A 24451-2022 karta.png", "A 24451-2022")</f>
        <v/>
      </c>
      <c r="V82">
        <f>HYPERLINK("https://klasma.github.io/Logging_2184/klagomål/A 24451-2022 FSC-klagomål.docx", "A 24451-2022")</f>
        <v/>
      </c>
      <c r="W82">
        <f>HYPERLINK("https://klasma.github.io/Logging_2184/klagomålsmail/A 24451-2022 FSC-klagomål mail.docx", "A 24451-2022")</f>
        <v/>
      </c>
      <c r="X82">
        <f>HYPERLINK("https://klasma.github.io/Logging_2184/tillsyn/A 24451-2022 tillsynsbegäran.docx", "A 24451-2022")</f>
        <v/>
      </c>
      <c r="Y82">
        <f>HYPERLINK("https://klasma.github.io/Logging_2184/tillsynsmail/A 24451-2022 tillsynsbegäran mail.docx", "A 24451-2022")</f>
        <v/>
      </c>
    </row>
    <row r="83" ht="15" customHeight="1">
      <c r="A83" t="inlineStr">
        <is>
          <t>A 30963-2022</t>
        </is>
      </c>
      <c r="B83" s="1" t="n">
        <v>44768</v>
      </c>
      <c r="C83" s="1" t="n">
        <v>45742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30963-2022 artfynd.xlsx", "A 30963-2022")</f>
        <v/>
      </c>
      <c r="T83">
        <f>HYPERLINK("https://klasma.github.io/Logging_2184/kartor/A 30963-2022 karta.png", "A 30963-2022")</f>
        <v/>
      </c>
      <c r="V83">
        <f>HYPERLINK("https://klasma.github.io/Logging_2184/klagomål/A 30963-2022 FSC-klagomål.docx", "A 30963-2022")</f>
        <v/>
      </c>
      <c r="W83">
        <f>HYPERLINK("https://klasma.github.io/Logging_2184/klagomålsmail/A 30963-2022 FSC-klagomål mail.docx", "A 30963-2022")</f>
        <v/>
      </c>
      <c r="X83">
        <f>HYPERLINK("https://klasma.github.io/Logging_2184/tillsyn/A 30963-2022 tillsynsbegäran.docx", "A 30963-2022")</f>
        <v/>
      </c>
      <c r="Y83">
        <f>HYPERLINK("https://klasma.github.io/Logging_2184/tillsynsmail/A 30963-2022 tillsynsbegäran mail.docx", "A 30963-2022")</f>
        <v/>
      </c>
    </row>
    <row r="84" ht="15" customHeight="1">
      <c r="A84" t="inlineStr">
        <is>
          <t>A 34345-2022</t>
        </is>
      </c>
      <c r="B84" s="1" t="n">
        <v>44792</v>
      </c>
      <c r="C84" s="1" t="n">
        <v>45742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4.4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HYPERLINK("https://klasma.github.io/Logging_2184/artfynd/A 34345-2022 artfynd.xlsx", "A 34345-2022")</f>
        <v/>
      </c>
      <c r="T84">
        <f>HYPERLINK("https://klasma.github.io/Logging_2184/kartor/A 34345-2022 karta.png", "A 34345-2022")</f>
        <v/>
      </c>
      <c r="V84">
        <f>HYPERLINK("https://klasma.github.io/Logging_2184/klagomål/A 34345-2022 FSC-klagomål.docx", "A 34345-2022")</f>
        <v/>
      </c>
      <c r="W84">
        <f>HYPERLINK("https://klasma.github.io/Logging_2184/klagomålsmail/A 34345-2022 FSC-klagomål mail.docx", "A 34345-2022")</f>
        <v/>
      </c>
      <c r="X84">
        <f>HYPERLINK("https://klasma.github.io/Logging_2184/tillsyn/A 34345-2022 tillsynsbegäran.docx", "A 34345-2022")</f>
        <v/>
      </c>
      <c r="Y84">
        <f>HYPERLINK("https://klasma.github.io/Logging_2184/tillsynsmail/A 34345-2022 tillsynsbegäran mail.docx", "A 34345-2022")</f>
        <v/>
      </c>
    </row>
    <row r="85" ht="15" customHeight="1">
      <c r="A85" t="inlineStr">
        <is>
          <t>A 52104-2022</t>
        </is>
      </c>
      <c r="B85" s="1" t="n">
        <v>44873</v>
      </c>
      <c r="C85" s="1" t="n">
        <v>45742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HYPERLINK("https://klasma.github.io/Logging_2184/artfynd/A 52104-2022 artfynd.xlsx", "A 52104-2022")</f>
        <v/>
      </c>
      <c r="T85">
        <f>HYPERLINK("https://klasma.github.io/Logging_2184/kartor/A 52104-2022 karta.png", "A 52104-2022")</f>
        <v/>
      </c>
      <c r="V85">
        <f>HYPERLINK("https://klasma.github.io/Logging_2184/klagomål/A 52104-2022 FSC-klagomål.docx", "A 52104-2022")</f>
        <v/>
      </c>
      <c r="W85">
        <f>HYPERLINK("https://klasma.github.io/Logging_2184/klagomålsmail/A 52104-2022 FSC-klagomål mail.docx", "A 52104-2022")</f>
        <v/>
      </c>
      <c r="X85">
        <f>HYPERLINK("https://klasma.github.io/Logging_2184/tillsyn/A 52104-2022 tillsynsbegäran.docx", "A 52104-2022")</f>
        <v/>
      </c>
      <c r="Y85">
        <f>HYPERLINK("https://klasma.github.io/Logging_2184/tillsynsmail/A 52104-2022 tillsynsbegäran mail.docx", "A 52104-2022")</f>
        <v/>
      </c>
    </row>
    <row r="86" ht="15" customHeight="1">
      <c r="A86" t="inlineStr">
        <is>
          <t>A 55253-2022</t>
        </is>
      </c>
      <c r="B86" s="1" t="n">
        <v>44887</v>
      </c>
      <c r="C86" s="1" t="n">
        <v>45742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Bivråk</t>
        </is>
      </c>
      <c r="S86">
        <f>HYPERLINK("https://klasma.github.io/Logging_2184/artfynd/A 55253-2022 artfynd.xlsx", "A 55253-2022")</f>
        <v/>
      </c>
      <c r="T86">
        <f>HYPERLINK("https://klasma.github.io/Logging_2184/kartor/A 55253-2022 karta.png", "A 55253-2022")</f>
        <v/>
      </c>
      <c r="U86">
        <f>HYPERLINK("https://klasma.github.io/Logging_2184/knärot/A 55253-2022 karta knärot.png", "A 55253-2022")</f>
        <v/>
      </c>
      <c r="V86">
        <f>HYPERLINK("https://klasma.github.io/Logging_2184/klagomål/A 55253-2022 FSC-klagomål.docx", "A 55253-2022")</f>
        <v/>
      </c>
      <c r="W86">
        <f>HYPERLINK("https://klasma.github.io/Logging_2184/klagomålsmail/A 55253-2022 FSC-klagomål mail.docx", "A 55253-2022")</f>
        <v/>
      </c>
      <c r="X86">
        <f>HYPERLINK("https://klasma.github.io/Logging_2184/tillsyn/A 55253-2022 tillsynsbegäran.docx", "A 55253-2022")</f>
        <v/>
      </c>
      <c r="Y86">
        <f>HYPERLINK("https://klasma.github.io/Logging_2184/tillsynsmail/A 55253-2022 tillsynsbegäran mail.docx", "A 55253-2022")</f>
        <v/>
      </c>
      <c r="Z86">
        <f>HYPERLINK("https://klasma.github.io/Logging_2184/fåglar/A 55253-2022 prioriterade fågelarter.docx", "A 55253-2022")</f>
        <v/>
      </c>
    </row>
    <row r="87" ht="15" customHeight="1">
      <c r="A87" t="inlineStr">
        <is>
          <t>A 8636-2023</t>
        </is>
      </c>
      <c r="B87" s="1" t="n">
        <v>44977</v>
      </c>
      <c r="C87" s="1" t="n">
        <v>45742</v>
      </c>
      <c r="D87" t="inlineStr">
        <is>
          <t>GÄVLEBORGS LÄN</t>
        </is>
      </c>
      <c r="E87" t="inlineStr">
        <is>
          <t>HUDIKSVALL</t>
        </is>
      </c>
      <c r="G87" t="n">
        <v>2.7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HYPERLINK("https://klasma.github.io/Logging_2184/artfynd/A 8636-2023 artfynd.xlsx", "A 8636-2023")</f>
        <v/>
      </c>
      <c r="T87">
        <f>HYPERLINK("https://klasma.github.io/Logging_2184/kartor/A 8636-2023 karta.png", "A 8636-2023")</f>
        <v/>
      </c>
      <c r="V87">
        <f>HYPERLINK("https://klasma.github.io/Logging_2184/klagomål/A 8636-2023 FSC-klagomål.docx", "A 8636-2023")</f>
        <v/>
      </c>
      <c r="W87">
        <f>HYPERLINK("https://klasma.github.io/Logging_2184/klagomålsmail/A 8636-2023 FSC-klagomål mail.docx", "A 8636-2023")</f>
        <v/>
      </c>
      <c r="X87">
        <f>HYPERLINK("https://klasma.github.io/Logging_2184/tillsyn/A 8636-2023 tillsynsbegäran.docx", "A 8636-2023")</f>
        <v/>
      </c>
      <c r="Y87">
        <f>HYPERLINK("https://klasma.github.io/Logging_2184/tillsynsmail/A 8636-2023 tillsynsbegäran mail.docx", "A 8636-2023")</f>
        <v/>
      </c>
    </row>
    <row r="88" ht="15" customHeight="1">
      <c r="A88" t="inlineStr">
        <is>
          <t>A 14449-2023</t>
        </is>
      </c>
      <c r="B88" s="1" t="n">
        <v>45012</v>
      </c>
      <c r="C88" s="1" t="n">
        <v>45742</v>
      </c>
      <c r="D88" t="inlineStr">
        <is>
          <t>GÄVLEBORGS LÄN</t>
        </is>
      </c>
      <c r="E88" t="inlineStr">
        <is>
          <t>HUDIKSVALL</t>
        </is>
      </c>
      <c r="G88" t="n">
        <v>1.5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14449-2023 artfynd.xlsx", "A 14449-2023")</f>
        <v/>
      </c>
      <c r="T88">
        <f>HYPERLINK("https://klasma.github.io/Logging_2184/kartor/A 14449-2023 karta.png", "A 14449-2023")</f>
        <v/>
      </c>
      <c r="U88">
        <f>HYPERLINK("https://klasma.github.io/Logging_2184/knärot/A 14449-2023 karta knärot.png", "A 14449-2023")</f>
        <v/>
      </c>
      <c r="V88">
        <f>HYPERLINK("https://klasma.github.io/Logging_2184/klagomål/A 14449-2023 FSC-klagomål.docx", "A 14449-2023")</f>
        <v/>
      </c>
      <c r="W88">
        <f>HYPERLINK("https://klasma.github.io/Logging_2184/klagomålsmail/A 14449-2023 FSC-klagomål mail.docx", "A 14449-2023")</f>
        <v/>
      </c>
      <c r="X88">
        <f>HYPERLINK("https://klasma.github.io/Logging_2184/tillsyn/A 14449-2023 tillsynsbegäran.docx", "A 14449-2023")</f>
        <v/>
      </c>
      <c r="Y88">
        <f>HYPERLINK("https://klasma.github.io/Logging_2184/tillsynsmail/A 14449-2023 tillsynsbegäran mail.docx", "A 14449-2023")</f>
        <v/>
      </c>
    </row>
    <row r="89" ht="15" customHeight="1">
      <c r="A89" t="inlineStr">
        <is>
          <t>A 18420-2023</t>
        </is>
      </c>
      <c r="B89" s="1" t="n">
        <v>45042</v>
      </c>
      <c r="C89" s="1" t="n">
        <v>45742</v>
      </c>
      <c r="D89" t="inlineStr">
        <is>
          <t>GÄVLEBORGS LÄN</t>
        </is>
      </c>
      <c r="E89" t="inlineStr">
        <is>
          <t>HUDIKSVALL</t>
        </is>
      </c>
      <c r="G89" t="n">
        <v>21.3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HYPERLINK("https://klasma.github.io/Logging_2184/artfynd/A 18420-2023 artfynd.xlsx", "A 18420-2023")</f>
        <v/>
      </c>
      <c r="T89">
        <f>HYPERLINK("https://klasma.github.io/Logging_2184/kartor/A 18420-2023 karta.png", "A 18420-2023")</f>
        <v/>
      </c>
      <c r="V89">
        <f>HYPERLINK("https://klasma.github.io/Logging_2184/klagomål/A 18420-2023 FSC-klagomål.docx", "A 18420-2023")</f>
        <v/>
      </c>
      <c r="W89">
        <f>HYPERLINK("https://klasma.github.io/Logging_2184/klagomålsmail/A 18420-2023 FSC-klagomål mail.docx", "A 18420-2023")</f>
        <v/>
      </c>
      <c r="X89">
        <f>HYPERLINK("https://klasma.github.io/Logging_2184/tillsyn/A 18420-2023 tillsynsbegäran.docx", "A 18420-2023")</f>
        <v/>
      </c>
      <c r="Y89">
        <f>HYPERLINK("https://klasma.github.io/Logging_2184/tillsynsmail/A 18420-2023 tillsynsbegäran mail.docx", "A 18420-2023")</f>
        <v/>
      </c>
      <c r="Z89">
        <f>HYPERLINK("https://klasma.github.io/Logging_2184/fåglar/A 18420-2023 prioriterade fågelarter.docx", "A 18420-2023")</f>
        <v/>
      </c>
    </row>
    <row r="90" ht="15" customHeight="1">
      <c r="A90" t="inlineStr">
        <is>
          <t>A 19255-2023</t>
        </is>
      </c>
      <c r="B90" s="1" t="n">
        <v>45049</v>
      </c>
      <c r="C90" s="1" t="n">
        <v>45742</v>
      </c>
      <c r="D90" t="inlineStr">
        <is>
          <t>GÄVLEBORGS LÄN</t>
        </is>
      </c>
      <c r="E90" t="inlineStr">
        <is>
          <t>HUDIKSVALL</t>
        </is>
      </c>
      <c r="G90" t="n">
        <v>8.4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HYPERLINK("https://klasma.github.io/Logging_2184/artfynd/A 19255-2023 artfynd.xlsx", "A 19255-2023")</f>
        <v/>
      </c>
      <c r="T90">
        <f>HYPERLINK("https://klasma.github.io/Logging_2184/kartor/A 19255-2023 karta.png", "A 19255-2023")</f>
        <v/>
      </c>
      <c r="V90">
        <f>HYPERLINK("https://klasma.github.io/Logging_2184/klagomål/A 19255-2023 FSC-klagomål.docx", "A 19255-2023")</f>
        <v/>
      </c>
      <c r="W90">
        <f>HYPERLINK("https://klasma.github.io/Logging_2184/klagomålsmail/A 19255-2023 FSC-klagomål mail.docx", "A 19255-2023")</f>
        <v/>
      </c>
      <c r="X90">
        <f>HYPERLINK("https://klasma.github.io/Logging_2184/tillsyn/A 19255-2023 tillsynsbegäran.docx", "A 19255-2023")</f>
        <v/>
      </c>
      <c r="Y90">
        <f>HYPERLINK("https://klasma.github.io/Logging_2184/tillsynsmail/A 19255-2023 tillsynsbegäran mail.docx", "A 19255-2023")</f>
        <v/>
      </c>
    </row>
    <row r="91" ht="15" customHeight="1">
      <c r="A91" t="inlineStr">
        <is>
          <t>A 27202-2023</t>
        </is>
      </c>
      <c r="B91" s="1" t="n">
        <v>45096</v>
      </c>
      <c r="C91" s="1" t="n">
        <v>45742</v>
      </c>
      <c r="D91" t="inlineStr">
        <is>
          <t>GÄVLEBORGS LÄN</t>
        </is>
      </c>
      <c r="E91" t="inlineStr">
        <is>
          <t>HUDIKSVALL</t>
        </is>
      </c>
      <c r="F91" t="inlineStr">
        <is>
          <t>Naturvårdsverket</t>
        </is>
      </c>
      <c r="G91" t="n">
        <v>8.9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27202-2023 artfynd.xlsx", "A 27202-2023")</f>
        <v/>
      </c>
      <c r="T91">
        <f>HYPERLINK("https://klasma.github.io/Logging_2184/kartor/A 27202-2023 karta.png", "A 27202-2023")</f>
        <v/>
      </c>
      <c r="V91">
        <f>HYPERLINK("https://klasma.github.io/Logging_2184/klagomål/A 27202-2023 FSC-klagomål.docx", "A 27202-2023")</f>
        <v/>
      </c>
      <c r="W91">
        <f>HYPERLINK("https://klasma.github.io/Logging_2184/klagomålsmail/A 27202-2023 FSC-klagomål mail.docx", "A 27202-2023")</f>
        <v/>
      </c>
      <c r="X91">
        <f>HYPERLINK("https://klasma.github.io/Logging_2184/tillsyn/A 27202-2023 tillsynsbegäran.docx", "A 27202-2023")</f>
        <v/>
      </c>
      <c r="Y91">
        <f>HYPERLINK("https://klasma.github.io/Logging_2184/tillsynsmail/A 27202-2023 tillsynsbegäran mail.docx", "A 27202-2023")</f>
        <v/>
      </c>
    </row>
    <row r="92" ht="15" customHeight="1">
      <c r="A92" t="inlineStr">
        <is>
          <t>A 46903-2023</t>
        </is>
      </c>
      <c r="B92" s="1" t="n">
        <v>45201</v>
      </c>
      <c r="C92" s="1" t="n">
        <v>45742</v>
      </c>
      <c r="D92" t="inlineStr">
        <is>
          <t>GÄVLEBORGS LÄN</t>
        </is>
      </c>
      <c r="E92" t="inlineStr">
        <is>
          <t>HUDIKSVALL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46903-2023 artfynd.xlsx", "A 46903-2023")</f>
        <v/>
      </c>
      <c r="T92">
        <f>HYPERLINK("https://klasma.github.io/Logging_2184/kartor/A 46903-2023 karta.png", "A 46903-2023")</f>
        <v/>
      </c>
      <c r="U92">
        <f>HYPERLINK("https://klasma.github.io/Logging_2184/knärot/A 46903-2023 karta knärot.png", "A 46903-2023")</f>
        <v/>
      </c>
      <c r="V92">
        <f>HYPERLINK("https://klasma.github.io/Logging_2184/klagomål/A 46903-2023 FSC-klagomål.docx", "A 46903-2023")</f>
        <v/>
      </c>
      <c r="W92">
        <f>HYPERLINK("https://klasma.github.io/Logging_2184/klagomålsmail/A 46903-2023 FSC-klagomål mail.docx", "A 46903-2023")</f>
        <v/>
      </c>
      <c r="X92">
        <f>HYPERLINK("https://klasma.github.io/Logging_2184/tillsyn/A 46903-2023 tillsynsbegäran.docx", "A 46903-2023")</f>
        <v/>
      </c>
      <c r="Y92">
        <f>HYPERLINK("https://klasma.github.io/Logging_2184/tillsynsmail/A 46903-2023 tillsynsbegäran mail.docx", "A 46903-2023")</f>
        <v/>
      </c>
    </row>
    <row r="93" ht="15" customHeight="1">
      <c r="A93" t="inlineStr">
        <is>
          <t>A 50822-2023</t>
        </is>
      </c>
      <c r="B93" s="1" t="n">
        <v>45217</v>
      </c>
      <c r="C93" s="1" t="n">
        <v>45742</v>
      </c>
      <c r="D93" t="inlineStr">
        <is>
          <t>GÄVLEBORGS LÄN</t>
        </is>
      </c>
      <c r="E93" t="inlineStr">
        <is>
          <t>HUDIKSVALL</t>
        </is>
      </c>
      <c r="G93" t="n">
        <v>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Järpe</t>
        </is>
      </c>
      <c r="S93">
        <f>HYPERLINK("https://klasma.github.io/Logging_2184/artfynd/A 50822-2023 artfynd.xlsx", "A 50822-2023")</f>
        <v/>
      </c>
      <c r="T93">
        <f>HYPERLINK("https://klasma.github.io/Logging_2184/kartor/A 50822-2023 karta.png", "A 50822-2023")</f>
        <v/>
      </c>
      <c r="V93">
        <f>HYPERLINK("https://klasma.github.io/Logging_2184/klagomål/A 50822-2023 FSC-klagomål.docx", "A 50822-2023")</f>
        <v/>
      </c>
      <c r="W93">
        <f>HYPERLINK("https://klasma.github.io/Logging_2184/klagomålsmail/A 50822-2023 FSC-klagomål mail.docx", "A 50822-2023")</f>
        <v/>
      </c>
      <c r="X93">
        <f>HYPERLINK("https://klasma.github.io/Logging_2184/tillsyn/A 50822-2023 tillsynsbegäran.docx", "A 50822-2023")</f>
        <v/>
      </c>
      <c r="Y93">
        <f>HYPERLINK("https://klasma.github.io/Logging_2184/tillsynsmail/A 50822-2023 tillsynsbegäran mail.docx", "A 50822-2023")</f>
        <v/>
      </c>
      <c r="Z93">
        <f>HYPERLINK("https://klasma.github.io/Logging_2184/fåglar/A 50822-2023 prioriterade fågelarter.docx", "A 50822-2023")</f>
        <v/>
      </c>
    </row>
    <row r="94" ht="15" customHeight="1">
      <c r="A94" t="inlineStr">
        <is>
          <t>A 53460-2023</t>
        </is>
      </c>
      <c r="B94" s="1" t="n">
        <v>45230</v>
      </c>
      <c r="C94" s="1" t="n">
        <v>45742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HYPERLINK("https://klasma.github.io/Logging_2184/artfynd/A 53460-2023 artfynd.xlsx", "A 53460-2023")</f>
        <v/>
      </c>
      <c r="T94">
        <f>HYPERLINK("https://klasma.github.io/Logging_2184/kartor/A 53460-2023 karta.png", "A 53460-2023")</f>
        <v/>
      </c>
      <c r="V94">
        <f>HYPERLINK("https://klasma.github.io/Logging_2184/klagomål/A 53460-2023 FSC-klagomål.docx", "A 53460-2023")</f>
        <v/>
      </c>
      <c r="W94">
        <f>HYPERLINK("https://klasma.github.io/Logging_2184/klagomålsmail/A 53460-2023 FSC-klagomål mail.docx", "A 53460-2023")</f>
        <v/>
      </c>
      <c r="X94">
        <f>HYPERLINK("https://klasma.github.io/Logging_2184/tillsyn/A 53460-2023 tillsynsbegäran.docx", "A 53460-2023")</f>
        <v/>
      </c>
      <c r="Y94">
        <f>HYPERLINK("https://klasma.github.io/Logging_2184/tillsynsmail/A 53460-2023 tillsynsbegäran mail.docx", "A 53460-2023")</f>
        <v/>
      </c>
    </row>
    <row r="95" ht="15" customHeight="1">
      <c r="A95" t="inlineStr">
        <is>
          <t>A 109-2024</t>
        </is>
      </c>
      <c r="B95" s="1" t="n">
        <v>45294</v>
      </c>
      <c r="C95" s="1" t="n">
        <v>45742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5.1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HYPERLINK("https://klasma.github.io/Logging_2184/artfynd/A 109-2024 artfynd.xlsx", "A 109-2024")</f>
        <v/>
      </c>
      <c r="T95">
        <f>HYPERLINK("https://klasma.github.io/Logging_2184/kartor/A 109-2024 karta.png", "A 109-2024")</f>
        <v/>
      </c>
      <c r="V95">
        <f>HYPERLINK("https://klasma.github.io/Logging_2184/klagomål/A 109-2024 FSC-klagomål.docx", "A 109-2024")</f>
        <v/>
      </c>
      <c r="W95">
        <f>HYPERLINK("https://klasma.github.io/Logging_2184/klagomålsmail/A 109-2024 FSC-klagomål mail.docx", "A 109-2024")</f>
        <v/>
      </c>
      <c r="X95">
        <f>HYPERLINK("https://klasma.github.io/Logging_2184/tillsyn/A 109-2024 tillsynsbegäran.docx", "A 109-2024")</f>
        <v/>
      </c>
      <c r="Y95">
        <f>HYPERLINK("https://klasma.github.io/Logging_2184/tillsynsmail/A 109-2024 tillsynsbegäran mail.docx", "A 109-2024")</f>
        <v/>
      </c>
    </row>
    <row r="96" ht="15" customHeight="1">
      <c r="A96" t="inlineStr">
        <is>
          <t>A 684-2024</t>
        </is>
      </c>
      <c r="B96" s="1" t="n">
        <v>45300</v>
      </c>
      <c r="C96" s="1" t="n">
        <v>45742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Brunpudrad nållav</t>
        </is>
      </c>
      <c r="S96">
        <f>HYPERLINK("https://klasma.github.io/Logging_2184/artfynd/A 684-2024 artfynd.xlsx", "A 684-2024")</f>
        <v/>
      </c>
      <c r="T96">
        <f>HYPERLINK("https://klasma.github.io/Logging_2184/kartor/A 684-2024 karta.png", "A 684-2024")</f>
        <v/>
      </c>
      <c r="V96">
        <f>HYPERLINK("https://klasma.github.io/Logging_2184/klagomål/A 684-2024 FSC-klagomål.docx", "A 684-2024")</f>
        <v/>
      </c>
      <c r="W96">
        <f>HYPERLINK("https://klasma.github.io/Logging_2184/klagomålsmail/A 684-2024 FSC-klagomål mail.docx", "A 684-2024")</f>
        <v/>
      </c>
      <c r="X96">
        <f>HYPERLINK("https://klasma.github.io/Logging_2184/tillsyn/A 684-2024 tillsynsbegäran.docx", "A 684-2024")</f>
        <v/>
      </c>
      <c r="Y96">
        <f>HYPERLINK("https://klasma.github.io/Logging_2184/tillsynsmail/A 684-2024 tillsynsbegäran mail.docx", "A 684-2024")</f>
        <v/>
      </c>
    </row>
    <row r="97" ht="15" customHeight="1">
      <c r="A97" t="inlineStr">
        <is>
          <t>A 5500-2024</t>
        </is>
      </c>
      <c r="B97" s="1" t="n">
        <v>45334</v>
      </c>
      <c r="C97" s="1" t="n">
        <v>45742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Mörk kolflarnlav</t>
        </is>
      </c>
      <c r="S97">
        <f>HYPERLINK("https://klasma.github.io/Logging_2184/artfynd/A 5500-2024 artfynd.xlsx", "A 5500-2024")</f>
        <v/>
      </c>
      <c r="T97">
        <f>HYPERLINK("https://klasma.github.io/Logging_2184/kartor/A 5500-2024 karta.png", "A 5500-2024")</f>
        <v/>
      </c>
      <c r="V97">
        <f>HYPERLINK("https://klasma.github.io/Logging_2184/klagomål/A 5500-2024 FSC-klagomål.docx", "A 5500-2024")</f>
        <v/>
      </c>
      <c r="W97">
        <f>HYPERLINK("https://klasma.github.io/Logging_2184/klagomålsmail/A 5500-2024 FSC-klagomål mail.docx", "A 5500-2024")</f>
        <v/>
      </c>
      <c r="X97">
        <f>HYPERLINK("https://klasma.github.io/Logging_2184/tillsyn/A 5500-2024 tillsynsbegäran.docx", "A 5500-2024")</f>
        <v/>
      </c>
      <c r="Y97">
        <f>HYPERLINK("https://klasma.github.io/Logging_2184/tillsynsmail/A 5500-2024 tillsynsbegäran mail.docx", "A 5500-2024")</f>
        <v/>
      </c>
    </row>
    <row r="98" ht="15" customHeight="1">
      <c r="A98" t="inlineStr">
        <is>
          <t>A 7354-2024</t>
        </is>
      </c>
      <c r="B98" s="1" t="n">
        <v>45345</v>
      </c>
      <c r="C98" s="1" t="n">
        <v>45742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HYPERLINK("https://klasma.github.io/Logging_2184/artfynd/A 7354-2024 artfynd.xlsx", "A 7354-2024")</f>
        <v/>
      </c>
      <c r="T98">
        <f>HYPERLINK("https://klasma.github.io/Logging_2184/kartor/A 7354-2024 karta.png", "A 7354-2024")</f>
        <v/>
      </c>
      <c r="V98">
        <f>HYPERLINK("https://klasma.github.io/Logging_2184/klagomål/A 7354-2024 FSC-klagomål.docx", "A 7354-2024")</f>
        <v/>
      </c>
      <c r="W98">
        <f>HYPERLINK("https://klasma.github.io/Logging_2184/klagomålsmail/A 7354-2024 FSC-klagomål mail.docx", "A 7354-2024")</f>
        <v/>
      </c>
      <c r="X98">
        <f>HYPERLINK("https://klasma.github.io/Logging_2184/tillsyn/A 7354-2024 tillsynsbegäran.docx", "A 7354-2024")</f>
        <v/>
      </c>
      <c r="Y98">
        <f>HYPERLINK("https://klasma.github.io/Logging_2184/tillsynsmail/A 7354-2024 tillsynsbegäran mail.docx", "A 7354-2024")</f>
        <v/>
      </c>
    </row>
    <row r="99" ht="15" customHeight="1">
      <c r="A99" t="inlineStr">
        <is>
          <t>A 25145-2024</t>
        </is>
      </c>
      <c r="B99" s="1" t="n">
        <v>45462</v>
      </c>
      <c r="C99" s="1" t="n">
        <v>45742</v>
      </c>
      <c r="D99" t="inlineStr">
        <is>
          <t>GÄVLEBORGS LÄN</t>
        </is>
      </c>
      <c r="E99" t="inlineStr">
        <is>
          <t>HUDIKSVALL</t>
        </is>
      </c>
      <c r="F99" t="inlineStr">
        <is>
          <t>Sveaskog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Skogsödla</t>
        </is>
      </c>
      <c r="S99">
        <f>HYPERLINK("https://klasma.github.io/Logging_2184/artfynd/A 25145-2024 artfynd.xlsx", "A 25145-2024")</f>
        <v/>
      </c>
      <c r="T99">
        <f>HYPERLINK("https://klasma.github.io/Logging_2184/kartor/A 25145-2024 karta.png", "A 25145-2024")</f>
        <v/>
      </c>
      <c r="V99">
        <f>HYPERLINK("https://klasma.github.io/Logging_2184/klagomål/A 25145-2024 FSC-klagomål.docx", "A 25145-2024")</f>
        <v/>
      </c>
      <c r="W99">
        <f>HYPERLINK("https://klasma.github.io/Logging_2184/klagomålsmail/A 25145-2024 FSC-klagomål mail.docx", "A 25145-2024")</f>
        <v/>
      </c>
      <c r="X99">
        <f>HYPERLINK("https://klasma.github.io/Logging_2184/tillsyn/A 25145-2024 tillsynsbegäran.docx", "A 25145-2024")</f>
        <v/>
      </c>
      <c r="Y99">
        <f>HYPERLINK("https://klasma.github.io/Logging_2184/tillsynsmail/A 25145-2024 tillsynsbegäran mail.docx", "A 25145-2024")</f>
        <v/>
      </c>
    </row>
    <row r="100" ht="15" customHeight="1">
      <c r="A100" t="inlineStr">
        <is>
          <t>A 34358-2024</t>
        </is>
      </c>
      <c r="B100" s="1" t="n">
        <v>45525</v>
      </c>
      <c r="C100" s="1" t="n">
        <v>45742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HYPERLINK("https://klasma.github.io/Logging_2184/artfynd/A 34358-2024 artfynd.xlsx", "A 34358-2024")</f>
        <v/>
      </c>
      <c r="T100">
        <f>HYPERLINK("https://klasma.github.io/Logging_2184/kartor/A 34358-2024 karta.png", "A 34358-2024")</f>
        <v/>
      </c>
      <c r="V100">
        <f>HYPERLINK("https://klasma.github.io/Logging_2184/klagomål/A 34358-2024 FSC-klagomål.docx", "A 34358-2024")</f>
        <v/>
      </c>
      <c r="W100">
        <f>HYPERLINK("https://klasma.github.io/Logging_2184/klagomålsmail/A 34358-2024 FSC-klagomål mail.docx", "A 34358-2024")</f>
        <v/>
      </c>
      <c r="X100">
        <f>HYPERLINK("https://klasma.github.io/Logging_2184/tillsyn/A 34358-2024 tillsynsbegäran.docx", "A 34358-2024")</f>
        <v/>
      </c>
      <c r="Y100">
        <f>HYPERLINK("https://klasma.github.io/Logging_2184/tillsynsmail/A 34358-2024 tillsynsbegäran mail.docx", "A 34358-2024")</f>
        <v/>
      </c>
    </row>
    <row r="101" ht="15" customHeight="1">
      <c r="A101" t="inlineStr">
        <is>
          <t>A 41494-2024</t>
        </is>
      </c>
      <c r="B101" s="1" t="n">
        <v>45560</v>
      </c>
      <c r="C101" s="1" t="n">
        <v>45742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HYPERLINK("https://klasma.github.io/Logging_2184/artfynd/A 41494-2024 artfynd.xlsx", "A 41494-2024")</f>
        <v/>
      </c>
      <c r="T101">
        <f>HYPERLINK("https://klasma.github.io/Logging_2184/kartor/A 41494-2024 karta.png", "A 41494-2024")</f>
        <v/>
      </c>
      <c r="V101">
        <f>HYPERLINK("https://klasma.github.io/Logging_2184/klagomål/A 41494-2024 FSC-klagomål.docx", "A 41494-2024")</f>
        <v/>
      </c>
      <c r="W101">
        <f>HYPERLINK("https://klasma.github.io/Logging_2184/klagomålsmail/A 41494-2024 FSC-klagomål mail.docx", "A 41494-2024")</f>
        <v/>
      </c>
      <c r="X101">
        <f>HYPERLINK("https://klasma.github.io/Logging_2184/tillsyn/A 41494-2024 tillsynsbegäran.docx", "A 41494-2024")</f>
        <v/>
      </c>
      <c r="Y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43458-2024</t>
        </is>
      </c>
      <c r="B102" s="1" t="n">
        <v>45568</v>
      </c>
      <c r="C102" s="1" t="n">
        <v>45742</v>
      </c>
      <c r="D102" t="inlineStr">
        <is>
          <t>GÄVLEBORGS LÄN</t>
        </is>
      </c>
      <c r="E102" t="inlineStr">
        <is>
          <t>HUDIKSVALL</t>
        </is>
      </c>
      <c r="G102" t="n">
        <v>3.7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HYPERLINK("https://klasma.github.io/Logging_2184/artfynd/A 43458-2024 artfynd.xlsx", "A 43458-2024")</f>
        <v/>
      </c>
      <c r="T102">
        <f>HYPERLINK("https://klasma.github.io/Logging_2184/kartor/A 43458-2024 karta.png", "A 43458-2024")</f>
        <v/>
      </c>
      <c r="V102">
        <f>HYPERLINK("https://klasma.github.io/Logging_2184/klagomål/A 43458-2024 FSC-klagomål.docx", "A 43458-2024")</f>
        <v/>
      </c>
      <c r="W102">
        <f>HYPERLINK("https://klasma.github.io/Logging_2184/klagomålsmail/A 43458-2024 FSC-klagomål mail.docx", "A 43458-2024")</f>
        <v/>
      </c>
      <c r="X102">
        <f>HYPERLINK("https://klasma.github.io/Logging_2184/tillsyn/A 43458-2024 tillsynsbegäran.docx", "A 43458-2024")</f>
        <v/>
      </c>
      <c r="Y102">
        <f>HYPERLINK("https://klasma.github.io/Logging_2184/tillsynsmail/A 43458-2024 tillsynsbegäran mail.docx", "A 43458-2024")</f>
        <v/>
      </c>
      <c r="Z102">
        <f>HYPERLINK("https://klasma.github.io/Logging_2184/fåglar/A 43458-2024 prioriterade fågelarter.docx", "A 43458-2024")</f>
        <v/>
      </c>
    </row>
    <row r="103" ht="15" customHeight="1">
      <c r="A103" t="inlineStr">
        <is>
          <t>A 46614-2024</t>
        </is>
      </c>
      <c r="B103" s="1" t="n">
        <v>45583</v>
      </c>
      <c r="C103" s="1" t="n">
        <v>45742</v>
      </c>
      <c r="D103" t="inlineStr">
        <is>
          <t>GÄVLEBORGS LÄN</t>
        </is>
      </c>
      <c r="E103" t="inlineStr">
        <is>
          <t>HUDIKSVALL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Orange taggsvamp</t>
        </is>
      </c>
      <c r="S103">
        <f>HYPERLINK("https://klasma.github.io/Logging_2184/artfynd/A 46614-2024 artfynd.xlsx", "A 46614-2024")</f>
        <v/>
      </c>
      <c r="T103">
        <f>HYPERLINK("https://klasma.github.io/Logging_2184/kartor/A 46614-2024 karta.png", "A 46614-2024")</f>
        <v/>
      </c>
      <c r="V103">
        <f>HYPERLINK("https://klasma.github.io/Logging_2184/klagomål/A 46614-2024 FSC-klagomål.docx", "A 46614-2024")</f>
        <v/>
      </c>
      <c r="W103">
        <f>HYPERLINK("https://klasma.github.io/Logging_2184/klagomålsmail/A 46614-2024 FSC-klagomål mail.docx", "A 46614-2024")</f>
        <v/>
      </c>
      <c r="X103">
        <f>HYPERLINK("https://klasma.github.io/Logging_2184/tillsyn/A 46614-2024 tillsynsbegäran.docx", "A 46614-2024")</f>
        <v/>
      </c>
      <c r="Y103">
        <f>HYPERLINK("https://klasma.github.io/Logging_2184/tillsynsmail/A 46614-2024 tillsynsbegäran mail.docx", "A 46614-2024")</f>
        <v/>
      </c>
    </row>
    <row r="104" ht="15" customHeight="1">
      <c r="A104" t="inlineStr">
        <is>
          <t>A 58239-2024</t>
        </is>
      </c>
      <c r="B104" s="1" t="n">
        <v>45632</v>
      </c>
      <c r="C104" s="1" t="n">
        <v>45742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HYPERLINK("https://klasma.github.io/Logging_2184/artfynd/A 58239-2024 artfynd.xlsx", "A 58239-2024")</f>
        <v/>
      </c>
      <c r="T104">
        <f>HYPERLINK("https://klasma.github.io/Logging_2184/kartor/A 58239-2024 karta.png", "A 58239-2024")</f>
        <v/>
      </c>
      <c r="V104">
        <f>HYPERLINK("https://klasma.github.io/Logging_2184/klagomål/A 58239-2024 FSC-klagomål.docx", "A 58239-2024")</f>
        <v/>
      </c>
      <c r="W104">
        <f>HYPERLINK("https://klasma.github.io/Logging_2184/klagomålsmail/A 58239-2024 FSC-klagomål mail.docx", "A 58239-2024")</f>
        <v/>
      </c>
      <c r="X104">
        <f>HYPERLINK("https://klasma.github.io/Logging_2184/tillsyn/A 58239-2024 tillsynsbegäran.docx", "A 58239-2024")</f>
        <v/>
      </c>
      <c r="Y104">
        <f>HYPERLINK("https://klasma.github.io/Logging_2184/tillsynsmail/A 58239-2024 tillsynsbegäran mail.docx", "A 58239-2024")</f>
        <v/>
      </c>
      <c r="Z104">
        <f>HYPERLINK("https://klasma.github.io/Logging_2184/fåglar/A 58239-2024 prioriterade fågelarter.docx", "A 58239-2024")</f>
        <v/>
      </c>
    </row>
    <row r="105" ht="15" customHeight="1">
      <c r="A105" t="inlineStr">
        <is>
          <t>A 58332-2024</t>
        </is>
      </c>
      <c r="B105" s="1" t="n">
        <v>45632</v>
      </c>
      <c r="C105" s="1" t="n">
        <v>45742</v>
      </c>
      <c r="D105" t="inlineStr">
        <is>
          <t>GÄVLEBORGS LÄN</t>
        </is>
      </c>
      <c r="E105" t="inlineStr">
        <is>
          <t>HUDIKSVALL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HYPERLINK("https://klasma.github.io/Logging_2184/artfynd/A 58332-2024 artfynd.xlsx", "A 58332-2024")</f>
        <v/>
      </c>
      <c r="T105">
        <f>HYPERLINK("https://klasma.github.io/Logging_2184/kartor/A 58332-2024 karta.png", "A 58332-2024")</f>
        <v/>
      </c>
      <c r="V105">
        <f>HYPERLINK("https://klasma.github.io/Logging_2184/klagomål/A 58332-2024 FSC-klagomål.docx", "A 58332-2024")</f>
        <v/>
      </c>
      <c r="W105">
        <f>HYPERLINK("https://klasma.github.io/Logging_2184/klagomålsmail/A 58332-2024 FSC-klagomål mail.docx", "A 58332-2024")</f>
        <v/>
      </c>
      <c r="X105">
        <f>HYPERLINK("https://klasma.github.io/Logging_2184/tillsyn/A 58332-2024 tillsynsbegäran.docx", "A 58332-2024")</f>
        <v/>
      </c>
      <c r="Y105">
        <f>HYPERLINK("https://klasma.github.io/Logging_2184/tillsynsmail/A 58332-2024 tillsynsbegäran mail.docx", "A 58332-2024")</f>
        <v/>
      </c>
    </row>
    <row r="106" ht="15" customHeight="1">
      <c r="A106" t="inlineStr">
        <is>
          <t>A 60594-2024</t>
        </is>
      </c>
      <c r="B106" s="1" t="n">
        <v>45644</v>
      </c>
      <c r="C106" s="1" t="n">
        <v>45742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HYPERLINK("https://klasma.github.io/Logging_2184/artfynd/A 60594-2024 artfynd.xlsx", "A 60594-2024")</f>
        <v/>
      </c>
      <c r="T106">
        <f>HYPERLINK("https://klasma.github.io/Logging_2184/kartor/A 60594-2024 karta.png", "A 60594-2024")</f>
        <v/>
      </c>
      <c r="V106">
        <f>HYPERLINK("https://klasma.github.io/Logging_2184/klagomål/A 60594-2024 FSC-klagomål.docx", "A 60594-2024")</f>
        <v/>
      </c>
      <c r="W106">
        <f>HYPERLINK("https://klasma.github.io/Logging_2184/klagomålsmail/A 60594-2024 FSC-klagomål mail.docx", "A 60594-2024")</f>
        <v/>
      </c>
      <c r="X106">
        <f>HYPERLINK("https://klasma.github.io/Logging_2184/tillsyn/A 60594-2024 tillsynsbegäran.docx", "A 60594-2024")</f>
        <v/>
      </c>
      <c r="Y106">
        <f>HYPERLINK("https://klasma.github.io/Logging_2184/tillsynsmail/A 60594-2024 tillsynsbegäran mail.docx", "A 60594-2024")</f>
        <v/>
      </c>
    </row>
    <row r="107" ht="15" customHeight="1">
      <c r="A107" t="inlineStr">
        <is>
          <t>A 18140-2019</t>
        </is>
      </c>
      <c r="B107" s="1" t="n">
        <v>43558</v>
      </c>
      <c r="C107" s="1" t="n">
        <v>45742</v>
      </c>
      <c r="D107" t="inlineStr">
        <is>
          <t>GÄVLEBORGS LÄN</t>
        </is>
      </c>
      <c r="E107" t="inlineStr">
        <is>
          <t>HUDIKSVALL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19750-2019</t>
        </is>
      </c>
      <c r="B108" s="1" t="n">
        <v>43567</v>
      </c>
      <c r="C108" s="1" t="n">
        <v>45742</v>
      </c>
      <c r="D108" t="inlineStr">
        <is>
          <t>GÄVLEBORGS LÄN</t>
        </is>
      </c>
      <c r="E108" t="inlineStr">
        <is>
          <t>HUDIKSVALL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20536-2019</t>
        </is>
      </c>
      <c r="B109" s="1" t="n">
        <v>43572</v>
      </c>
      <c r="C109" s="1" t="n">
        <v>45742</v>
      </c>
      <c r="D109" t="inlineStr">
        <is>
          <t>GÄVLEBORGS LÄN</t>
        </is>
      </c>
      <c r="E109" t="inlineStr">
        <is>
          <t>HUDIKSVALL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20726-2019</t>
        </is>
      </c>
      <c r="B110" s="1" t="n">
        <v>43573</v>
      </c>
      <c r="C110" s="1" t="n">
        <v>45742</v>
      </c>
      <c r="D110" t="inlineStr">
        <is>
          <t>GÄVLEBORGS LÄN</t>
        </is>
      </c>
      <c r="E110" t="inlineStr">
        <is>
          <t>HUDIKSVALL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20888-2019</t>
        </is>
      </c>
      <c r="B111" s="1" t="n">
        <v>43573</v>
      </c>
      <c r="C111" s="1" t="n">
        <v>45742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20787-2019</t>
        </is>
      </c>
      <c r="B112" s="1" t="n">
        <v>43573</v>
      </c>
      <c r="C112" s="1" t="n">
        <v>45742</v>
      </c>
      <c r="D112" t="inlineStr">
        <is>
          <t>GÄVLEBORGS LÄN</t>
        </is>
      </c>
      <c r="E112" t="inlineStr">
        <is>
          <t>HUDIKSVALL</t>
        </is>
      </c>
      <c r="G112" t="n">
        <v>13.1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21489-2019</t>
        </is>
      </c>
      <c r="B113" s="1" t="n">
        <v>43580</v>
      </c>
      <c r="C113" s="1" t="n">
        <v>45742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21857-2019</t>
        </is>
      </c>
      <c r="B114" s="1" t="n">
        <v>43581</v>
      </c>
      <c r="C114" s="1" t="n">
        <v>45742</v>
      </c>
      <c r="D114" t="inlineStr">
        <is>
          <t>GÄVLEBORGS LÄN</t>
        </is>
      </c>
      <c r="E114" t="inlineStr">
        <is>
          <t>HUDIKSVALL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21797-2019</t>
        </is>
      </c>
      <c r="B115" s="1" t="n">
        <v>43581</v>
      </c>
      <c r="C115" s="1" t="n">
        <v>45742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22180-2019</t>
        </is>
      </c>
      <c r="B116" s="1" t="n">
        <v>43585</v>
      </c>
      <c r="C116" s="1" t="n">
        <v>45742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22441-2019</t>
        </is>
      </c>
      <c r="B117" s="1" t="n">
        <v>43587</v>
      </c>
      <c r="C117" s="1" t="n">
        <v>45742</v>
      </c>
      <c r="D117" t="inlineStr">
        <is>
          <t>GÄVLEBORGS LÄN</t>
        </is>
      </c>
      <c r="E117" t="inlineStr">
        <is>
          <t>HUDIKSVALL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22645-2019</t>
        </is>
      </c>
      <c r="B118" s="1" t="n">
        <v>43588</v>
      </c>
      <c r="C118" s="1" t="n">
        <v>45742</v>
      </c>
      <c r="D118" t="inlineStr">
        <is>
          <t>GÄVLEBORGS LÄN</t>
        </is>
      </c>
      <c r="E118" t="inlineStr">
        <is>
          <t>HUDIKSVALL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22908-2019</t>
        </is>
      </c>
      <c r="B119" s="1" t="n">
        <v>43591</v>
      </c>
      <c r="C119" s="1" t="n">
        <v>45742</v>
      </c>
      <c r="D119" t="inlineStr">
        <is>
          <t>GÄVLEBORGS LÄN</t>
        </is>
      </c>
      <c r="E119" t="inlineStr">
        <is>
          <t>HUDIKSVALL</t>
        </is>
      </c>
      <c r="G119" t="n">
        <v>13.2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23434-2019</t>
        </is>
      </c>
      <c r="B120" s="1" t="n">
        <v>43593</v>
      </c>
      <c r="C120" s="1" t="n">
        <v>45742</v>
      </c>
      <c r="D120" t="inlineStr">
        <is>
          <t>GÄVLEBORGS LÄN</t>
        </is>
      </c>
      <c r="E120" t="inlineStr">
        <is>
          <t>HUDIKSVALL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23684-2019</t>
        </is>
      </c>
      <c r="B121" s="1" t="n">
        <v>43594</v>
      </c>
      <c r="C121" s="1" t="n">
        <v>45742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23895-2019</t>
        </is>
      </c>
      <c r="B122" s="1" t="n">
        <v>43595</v>
      </c>
      <c r="C122" s="1" t="n">
        <v>45742</v>
      </c>
      <c r="D122" t="inlineStr">
        <is>
          <t>GÄVLEBORGS LÄN</t>
        </is>
      </c>
      <c r="E122" t="inlineStr">
        <is>
          <t>HUDIKSVALL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24196-2019</t>
        </is>
      </c>
      <c r="B123" s="1" t="n">
        <v>43599</v>
      </c>
      <c r="C123" s="1" t="n">
        <v>45742</v>
      </c>
      <c r="D123" t="inlineStr">
        <is>
          <t>GÄVLEBORGS LÄN</t>
        </is>
      </c>
      <c r="E123" t="inlineStr">
        <is>
          <t>HUDIKSVALL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24466-2019</t>
        </is>
      </c>
      <c r="B124" s="1" t="n">
        <v>43600</v>
      </c>
      <c r="C124" s="1" t="n">
        <v>45742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24615-2019</t>
        </is>
      </c>
      <c r="B125" s="1" t="n">
        <v>43601</v>
      </c>
      <c r="C125" s="1" t="n">
        <v>45742</v>
      </c>
      <c r="D125" t="inlineStr">
        <is>
          <t>GÄVLEBORGS LÄN</t>
        </is>
      </c>
      <c r="E125" t="inlineStr">
        <is>
          <t>HUDIKSVALL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25078-2019</t>
        </is>
      </c>
      <c r="B126" s="1" t="n">
        <v>43605</v>
      </c>
      <c r="C126" s="1" t="n">
        <v>45742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25438-2019</t>
        </is>
      </c>
      <c r="B127" s="1" t="n">
        <v>43606</v>
      </c>
      <c r="C127" s="1" t="n">
        <v>45742</v>
      </c>
      <c r="D127" t="inlineStr">
        <is>
          <t>GÄVLEBORGS LÄN</t>
        </is>
      </c>
      <c r="E127" t="inlineStr">
        <is>
          <t>HUDIKSVALL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25423-2019</t>
        </is>
      </c>
      <c r="B128" s="1" t="n">
        <v>43606</v>
      </c>
      <c r="C128" s="1" t="n">
        <v>45742</v>
      </c>
      <c r="D128" t="inlineStr">
        <is>
          <t>GÄVLEBORGS LÄN</t>
        </is>
      </c>
      <c r="E128" t="inlineStr">
        <is>
          <t>HUDIKSVALL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25558-2019</t>
        </is>
      </c>
      <c r="B129" s="1" t="n">
        <v>43607</v>
      </c>
      <c r="C129" s="1" t="n">
        <v>45742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27069-2019</t>
        </is>
      </c>
      <c r="B130" s="1" t="n">
        <v>43609</v>
      </c>
      <c r="C130" s="1" t="n">
        <v>45742</v>
      </c>
      <c r="D130" t="inlineStr">
        <is>
          <t>GÄVLEBORGS LÄN</t>
        </is>
      </c>
      <c r="E130" t="inlineStr">
        <is>
          <t>HUDIKSVALL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27087-2019</t>
        </is>
      </c>
      <c r="B131" s="1" t="n">
        <v>43609</v>
      </c>
      <c r="C131" s="1" t="n">
        <v>45742</v>
      </c>
      <c r="D131" t="inlineStr">
        <is>
          <t>GÄVLEBORGS LÄN</t>
        </is>
      </c>
      <c r="E131" t="inlineStr">
        <is>
          <t>HUDIKSVALL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26317-2019</t>
        </is>
      </c>
      <c r="B132" s="1" t="n">
        <v>43612</v>
      </c>
      <c r="C132" s="1" t="n">
        <v>45742</v>
      </c>
      <c r="D132" t="inlineStr">
        <is>
          <t>GÄVLEBORGS LÄN</t>
        </is>
      </c>
      <c r="E132" t="inlineStr">
        <is>
          <t>HUDIKSVALL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26880-2019</t>
        </is>
      </c>
      <c r="B133" s="1" t="n">
        <v>43613</v>
      </c>
      <c r="C133" s="1" t="n">
        <v>45742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27373-2019</t>
        </is>
      </c>
      <c r="B134" s="1" t="n">
        <v>43616</v>
      </c>
      <c r="C134" s="1" t="n">
        <v>45742</v>
      </c>
      <c r="D134" t="inlineStr">
        <is>
          <t>GÄVLEBORGS LÄN</t>
        </is>
      </c>
      <c r="E134" t="inlineStr">
        <is>
          <t>HUDIKSVALL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28255-2019</t>
        </is>
      </c>
      <c r="B135" s="1" t="n">
        <v>43623</v>
      </c>
      <c r="C135" s="1" t="n">
        <v>45742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28626-2019</t>
        </is>
      </c>
      <c r="B136" s="1" t="n">
        <v>43627</v>
      </c>
      <c r="C136" s="1" t="n">
        <v>45742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28667-2019</t>
        </is>
      </c>
      <c r="B137" s="1" t="n">
        <v>43627</v>
      </c>
      <c r="C137" s="1" t="n">
        <v>45742</v>
      </c>
      <c r="D137" t="inlineStr">
        <is>
          <t>GÄVLEBORGS LÄN</t>
        </is>
      </c>
      <c r="E137" t="inlineStr">
        <is>
          <t>HUDIKSVALL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28666-2019</t>
        </is>
      </c>
      <c r="B138" s="1" t="n">
        <v>43627</v>
      </c>
      <c r="C138" s="1" t="n">
        <v>45742</v>
      </c>
      <c r="D138" t="inlineStr">
        <is>
          <t>GÄVLEBORGS LÄN</t>
        </is>
      </c>
      <c r="E138" t="inlineStr">
        <is>
          <t>HUDIKSVALL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30786-2019</t>
        </is>
      </c>
      <c r="B139" s="1" t="n">
        <v>43636</v>
      </c>
      <c r="C139" s="1" t="n">
        <v>45742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30769-2019</t>
        </is>
      </c>
      <c r="B140" s="1" t="n">
        <v>43636</v>
      </c>
      <c r="C140" s="1" t="n">
        <v>45742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31094-2019</t>
        </is>
      </c>
      <c r="B141" s="1" t="n">
        <v>43640</v>
      </c>
      <c r="C141" s="1" t="n">
        <v>45742</v>
      </c>
      <c r="D141" t="inlineStr">
        <is>
          <t>GÄVLEBORGS LÄN</t>
        </is>
      </c>
      <c r="E141" t="inlineStr">
        <is>
          <t>HUDIKSVALL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31014-2019</t>
        </is>
      </c>
      <c r="B142" s="1" t="n">
        <v>43640</v>
      </c>
      <c r="C142" s="1" t="n">
        <v>45742</v>
      </c>
      <c r="D142" t="inlineStr">
        <is>
          <t>GÄVLEBORGS LÄN</t>
        </is>
      </c>
      <c r="E142" t="inlineStr">
        <is>
          <t>HUDIKSVALL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31103-2019</t>
        </is>
      </c>
      <c r="B143" s="1" t="n">
        <v>43640</v>
      </c>
      <c r="C143" s="1" t="n">
        <v>45742</v>
      </c>
      <c r="D143" t="inlineStr">
        <is>
          <t>GÄVLEBORGS LÄN</t>
        </is>
      </c>
      <c r="E143" t="inlineStr">
        <is>
          <t>HUDIKSVALL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31234-2019</t>
        </is>
      </c>
      <c r="B144" s="1" t="n">
        <v>43640</v>
      </c>
      <c r="C144" s="1" t="n">
        <v>45742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31495-2019</t>
        </is>
      </c>
      <c r="B145" s="1" t="n">
        <v>43641</v>
      </c>
      <c r="C145" s="1" t="n">
        <v>45742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31854-2019</t>
        </is>
      </c>
      <c r="B146" s="1" t="n">
        <v>43642</v>
      </c>
      <c r="C146" s="1" t="n">
        <v>45742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31827-2019</t>
        </is>
      </c>
      <c r="B147" s="1" t="n">
        <v>43642</v>
      </c>
      <c r="C147" s="1" t="n">
        <v>45742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33036-2019</t>
        </is>
      </c>
      <c r="B148" s="1" t="n">
        <v>43643</v>
      </c>
      <c r="C148" s="1" t="n">
        <v>45742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32355-2019</t>
        </is>
      </c>
      <c r="B149" s="1" t="n">
        <v>43644</v>
      </c>
      <c r="C149" s="1" t="n">
        <v>45742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32600-2019</t>
        </is>
      </c>
      <c r="B150" s="1" t="n">
        <v>43647</v>
      </c>
      <c r="C150" s="1" t="n">
        <v>45742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33383-2019</t>
        </is>
      </c>
      <c r="B151" s="1" t="n">
        <v>43650</v>
      </c>
      <c r="C151" s="1" t="n">
        <v>45742</v>
      </c>
      <c r="D151" t="inlineStr">
        <is>
          <t>GÄVLEBORGS LÄN</t>
        </is>
      </c>
      <c r="E151" t="inlineStr">
        <is>
          <t>HUDIKSVALL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33368-2019</t>
        </is>
      </c>
      <c r="B152" s="1" t="n">
        <v>43650</v>
      </c>
      <c r="C152" s="1" t="n">
        <v>45742</v>
      </c>
      <c r="D152" t="inlineStr">
        <is>
          <t>GÄVLEBORGS LÄN</t>
        </is>
      </c>
      <c r="E152" t="inlineStr">
        <is>
          <t>HUDIKSVALL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33361-2019</t>
        </is>
      </c>
      <c r="B153" s="1" t="n">
        <v>43650</v>
      </c>
      <c r="C153" s="1" t="n">
        <v>45742</v>
      </c>
      <c r="D153" t="inlineStr">
        <is>
          <t>GÄVLEBORGS LÄN</t>
        </is>
      </c>
      <c r="E153" t="inlineStr">
        <is>
          <t>HUDIKSVALL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33553-2019</t>
        </is>
      </c>
      <c r="B154" s="1" t="n">
        <v>43651</v>
      </c>
      <c r="C154" s="1" t="n">
        <v>45742</v>
      </c>
      <c r="D154" t="inlineStr">
        <is>
          <t>GÄVLEBORGS LÄN</t>
        </is>
      </c>
      <c r="E154" t="inlineStr">
        <is>
          <t>HUDIKSVALL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33520-2019</t>
        </is>
      </c>
      <c r="B155" s="1" t="n">
        <v>43651</v>
      </c>
      <c r="C155" s="1" t="n">
        <v>45742</v>
      </c>
      <c r="D155" t="inlineStr">
        <is>
          <t>GÄVLEBORGS LÄN</t>
        </is>
      </c>
      <c r="E155" t="inlineStr">
        <is>
          <t>HUDIKSVALL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33549-2019</t>
        </is>
      </c>
      <c r="B156" s="1" t="n">
        <v>43651</v>
      </c>
      <c r="C156" s="1" t="n">
        <v>45742</v>
      </c>
      <c r="D156" t="inlineStr">
        <is>
          <t>GÄVLEBORGS LÄN</t>
        </is>
      </c>
      <c r="E156" t="inlineStr">
        <is>
          <t>HUDIKSVALL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34690-2019</t>
        </is>
      </c>
      <c r="B157" s="1" t="n">
        <v>43657</v>
      </c>
      <c r="C157" s="1" t="n">
        <v>45742</v>
      </c>
      <c r="D157" t="inlineStr">
        <is>
          <t>GÄVLEBORGS LÄN</t>
        </is>
      </c>
      <c r="E157" t="inlineStr">
        <is>
          <t>HUDIKSVALL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34767-2019</t>
        </is>
      </c>
      <c r="B158" s="1" t="n">
        <v>43658</v>
      </c>
      <c r="C158" s="1" t="n">
        <v>45742</v>
      </c>
      <c r="D158" t="inlineStr">
        <is>
          <t>GÄVLEBORGS LÄN</t>
        </is>
      </c>
      <c r="E158" t="inlineStr">
        <is>
          <t>HUDIKSVALL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35851-2019</t>
        </is>
      </c>
      <c r="B159" s="1" t="n">
        <v>43665</v>
      </c>
      <c r="C159" s="1" t="n">
        <v>45742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36721-2019</t>
        </is>
      </c>
      <c r="B160" s="1" t="n">
        <v>43672</v>
      </c>
      <c r="C160" s="1" t="n">
        <v>45742</v>
      </c>
      <c r="D160" t="inlineStr">
        <is>
          <t>GÄVLEBORGS LÄN</t>
        </is>
      </c>
      <c r="E160" t="inlineStr">
        <is>
          <t>HUDIKSVALL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37116-2019</t>
        </is>
      </c>
      <c r="B161" s="1" t="n">
        <v>43676</v>
      </c>
      <c r="C161" s="1" t="n">
        <v>45742</v>
      </c>
      <c r="D161" t="inlineStr">
        <is>
          <t>GÄVLEBORGS LÄN</t>
        </is>
      </c>
      <c r="E161" t="inlineStr">
        <is>
          <t>HUDIKSVALL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39235-2019</t>
        </is>
      </c>
      <c r="B162" s="1" t="n">
        <v>43690</v>
      </c>
      <c r="C162" s="1" t="n">
        <v>45742</v>
      </c>
      <c r="D162" t="inlineStr">
        <is>
          <t>GÄVLEBORGS LÄN</t>
        </is>
      </c>
      <c r="E162" t="inlineStr">
        <is>
          <t>HUDIKSVALL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39191-2019</t>
        </is>
      </c>
      <c r="B163" s="1" t="n">
        <v>43690</v>
      </c>
      <c r="C163" s="1" t="n">
        <v>45742</v>
      </c>
      <c r="D163" t="inlineStr">
        <is>
          <t>GÄVLEBORGS LÄN</t>
        </is>
      </c>
      <c r="E163" t="inlineStr">
        <is>
          <t>HUDIKSVALL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39237-2019</t>
        </is>
      </c>
      <c r="B164" s="1" t="n">
        <v>43690</v>
      </c>
      <c r="C164" s="1" t="n">
        <v>45742</v>
      </c>
      <c r="D164" t="inlineStr">
        <is>
          <t>GÄVLEBORGS LÄN</t>
        </is>
      </c>
      <c r="E164" t="inlineStr">
        <is>
          <t>HUDIKSVALL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40164-2019</t>
        </is>
      </c>
      <c r="B165" s="1" t="n">
        <v>43693</v>
      </c>
      <c r="C165" s="1" t="n">
        <v>45742</v>
      </c>
      <c r="D165" t="inlineStr">
        <is>
          <t>GÄVLEBORGS LÄN</t>
        </is>
      </c>
      <c r="E165" t="inlineStr">
        <is>
          <t>HUDIKSVALL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41608-2019</t>
        </is>
      </c>
      <c r="B166" s="1" t="n">
        <v>43699</v>
      </c>
      <c r="C166" s="1" t="n">
        <v>45742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42009-2019</t>
        </is>
      </c>
      <c r="B167" s="1" t="n">
        <v>43700</v>
      </c>
      <c r="C167" s="1" t="n">
        <v>45742</v>
      </c>
      <c r="D167" t="inlineStr">
        <is>
          <t>GÄVLEBORGS LÄN</t>
        </is>
      </c>
      <c r="E167" t="inlineStr">
        <is>
          <t>HUDIKSVALL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42287-2019</t>
        </is>
      </c>
      <c r="B168" s="1" t="n">
        <v>43703</v>
      </c>
      <c r="C168" s="1" t="n">
        <v>45742</v>
      </c>
      <c r="D168" t="inlineStr">
        <is>
          <t>GÄVLEBORGS LÄN</t>
        </is>
      </c>
      <c r="E168" t="inlineStr">
        <is>
          <t>HUDIKSVALL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42289-2019</t>
        </is>
      </c>
      <c r="B169" s="1" t="n">
        <v>43703</v>
      </c>
      <c r="C169" s="1" t="n">
        <v>45742</v>
      </c>
      <c r="D169" t="inlineStr">
        <is>
          <t>GÄVLEBORGS LÄN</t>
        </is>
      </c>
      <c r="E169" t="inlineStr">
        <is>
          <t>HUDIKSVALL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42874-2019</t>
        </is>
      </c>
      <c r="B170" s="1" t="n">
        <v>43705</v>
      </c>
      <c r="C170" s="1" t="n">
        <v>45742</v>
      </c>
      <c r="D170" t="inlineStr">
        <is>
          <t>GÄVLEBORGS LÄN</t>
        </is>
      </c>
      <c r="E170" t="inlineStr">
        <is>
          <t>HUDIKSVALL</t>
        </is>
      </c>
      <c r="G170" t="n">
        <v>15.6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42927-2019</t>
        </is>
      </c>
      <c r="B171" s="1" t="n">
        <v>43705</v>
      </c>
      <c r="C171" s="1" t="n">
        <v>45742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43051-2019</t>
        </is>
      </c>
      <c r="B172" s="1" t="n">
        <v>43705</v>
      </c>
      <c r="C172" s="1" t="n">
        <v>45742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43570-2019</t>
        </is>
      </c>
      <c r="B173" s="1" t="n">
        <v>43706</v>
      </c>
      <c r="C173" s="1" t="n">
        <v>45742</v>
      </c>
      <c r="D173" t="inlineStr">
        <is>
          <t>GÄVLEBORGS LÄN</t>
        </is>
      </c>
      <c r="E173" t="inlineStr">
        <is>
          <t>HUDIKSVALL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43624-2019</t>
        </is>
      </c>
      <c r="B174" s="1" t="n">
        <v>43707</v>
      </c>
      <c r="C174" s="1" t="n">
        <v>45742</v>
      </c>
      <c r="D174" t="inlineStr">
        <is>
          <t>GÄVLEBORGS LÄN</t>
        </is>
      </c>
      <c r="E174" t="inlineStr">
        <is>
          <t>HUDIKSVALL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43941-2019</t>
        </is>
      </c>
      <c r="B175" s="1" t="n">
        <v>43707</v>
      </c>
      <c r="C175" s="1" t="n">
        <v>45742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44139-2019</t>
        </is>
      </c>
      <c r="B176" s="1" t="n">
        <v>43710</v>
      </c>
      <c r="C176" s="1" t="n">
        <v>45742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45085-2019</t>
        </is>
      </c>
      <c r="B177" s="1" t="n">
        <v>43713</v>
      </c>
      <c r="C177" s="1" t="n">
        <v>45742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45158-2019</t>
        </is>
      </c>
      <c r="B178" s="1" t="n">
        <v>43713</v>
      </c>
      <c r="C178" s="1" t="n">
        <v>45742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45052-2019</t>
        </is>
      </c>
      <c r="B179" s="1" t="n">
        <v>43713</v>
      </c>
      <c r="C179" s="1" t="n">
        <v>45742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45516-2019</t>
        </is>
      </c>
      <c r="B180" s="1" t="n">
        <v>43714</v>
      </c>
      <c r="C180" s="1" t="n">
        <v>45742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45287-2019</t>
        </is>
      </c>
      <c r="B181" s="1" t="n">
        <v>43714</v>
      </c>
      <c r="C181" s="1" t="n">
        <v>45742</v>
      </c>
      <c r="D181" t="inlineStr">
        <is>
          <t>GÄVLEBORGS LÄN</t>
        </is>
      </c>
      <c r="E181" t="inlineStr">
        <is>
          <t>HUDIKSVALL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46032-2019</t>
        </is>
      </c>
      <c r="B182" s="1" t="n">
        <v>43718</v>
      </c>
      <c r="C182" s="1" t="n">
        <v>45742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46036-2019</t>
        </is>
      </c>
      <c r="B183" s="1" t="n">
        <v>43718</v>
      </c>
      <c r="C183" s="1" t="n">
        <v>45742</v>
      </c>
      <c r="D183" t="inlineStr">
        <is>
          <t>GÄVLEBORGS LÄN</t>
        </is>
      </c>
      <c r="E183" t="inlineStr">
        <is>
          <t>HUDIKSVALL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46577-2019</t>
        </is>
      </c>
      <c r="B184" s="1" t="n">
        <v>43719</v>
      </c>
      <c r="C184" s="1" t="n">
        <v>45742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46865-2019</t>
        </is>
      </c>
      <c r="B185" s="1" t="n">
        <v>43720</v>
      </c>
      <c r="C185" s="1" t="n">
        <v>45742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46864-2019</t>
        </is>
      </c>
      <c r="B186" s="1" t="n">
        <v>43720</v>
      </c>
      <c r="C186" s="1" t="n">
        <v>45742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46794-2019</t>
        </is>
      </c>
      <c r="B187" s="1" t="n">
        <v>43720</v>
      </c>
      <c r="C187" s="1" t="n">
        <v>45742</v>
      </c>
      <c r="D187" t="inlineStr">
        <is>
          <t>GÄVLEBORGS LÄN</t>
        </is>
      </c>
      <c r="E187" t="inlineStr">
        <is>
          <t>HUDIKSVALL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47290-2019</t>
        </is>
      </c>
      <c r="B188" s="1" t="n">
        <v>43721</v>
      </c>
      <c r="C188" s="1" t="n">
        <v>45742</v>
      </c>
      <c r="D188" t="inlineStr">
        <is>
          <t>GÄVLEBORGS LÄN</t>
        </is>
      </c>
      <c r="E188" t="inlineStr">
        <is>
          <t>HUDIKSVALL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47984-2019</t>
        </is>
      </c>
      <c r="B189" s="1" t="n">
        <v>43725</v>
      </c>
      <c r="C189" s="1" t="n">
        <v>45742</v>
      </c>
      <c r="D189" t="inlineStr">
        <is>
          <t>GÄVLEBORGS LÄN</t>
        </is>
      </c>
      <c r="E189" t="inlineStr">
        <is>
          <t>HUDIKSVALL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48358-2019</t>
        </is>
      </c>
      <c r="B190" s="1" t="n">
        <v>43726</v>
      </c>
      <c r="C190" s="1" t="n">
        <v>45742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48439-2019</t>
        </is>
      </c>
      <c r="B191" s="1" t="n">
        <v>43727</v>
      </c>
      <c r="C191" s="1" t="n">
        <v>45742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48599-2019</t>
        </is>
      </c>
      <c r="B192" s="1" t="n">
        <v>43727</v>
      </c>
      <c r="C192" s="1" t="n">
        <v>45742</v>
      </c>
      <c r="D192" t="inlineStr">
        <is>
          <t>GÄVLEBORGS LÄN</t>
        </is>
      </c>
      <c r="E192" t="inlineStr">
        <is>
          <t>HUDIKSVALL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48885-2019</t>
        </is>
      </c>
      <c r="B193" s="1" t="n">
        <v>43728</v>
      </c>
      <c r="C193" s="1" t="n">
        <v>45742</v>
      </c>
      <c r="D193" t="inlineStr">
        <is>
          <t>GÄVLEBORGS LÄN</t>
        </is>
      </c>
      <c r="E193" t="inlineStr">
        <is>
          <t>HUDIKSVALL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49251-2019</t>
        </is>
      </c>
      <c r="B194" s="1" t="n">
        <v>43731</v>
      </c>
      <c r="C194" s="1" t="n">
        <v>45742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49298-2019</t>
        </is>
      </c>
      <c r="B195" s="1" t="n">
        <v>43731</v>
      </c>
      <c r="C195" s="1" t="n">
        <v>45742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49390-2019</t>
        </is>
      </c>
      <c r="B196" s="1" t="n">
        <v>43732</v>
      </c>
      <c r="C196" s="1" t="n">
        <v>45742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49513-2019</t>
        </is>
      </c>
      <c r="B197" s="1" t="n">
        <v>43732</v>
      </c>
      <c r="C197" s="1" t="n">
        <v>45742</v>
      </c>
      <c r="D197" t="inlineStr">
        <is>
          <t>GÄVLEBORGS LÄN</t>
        </is>
      </c>
      <c r="E197" t="inlineStr">
        <is>
          <t>HUDIKSVALL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49472-2019</t>
        </is>
      </c>
      <c r="B198" s="1" t="n">
        <v>43732</v>
      </c>
      <c r="C198" s="1" t="n">
        <v>45742</v>
      </c>
      <c r="D198" t="inlineStr">
        <is>
          <t>GÄVLEBORGS LÄN</t>
        </is>
      </c>
      <c r="E198" t="inlineStr">
        <is>
          <t>HUDIKSVALL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49607-2019</t>
        </is>
      </c>
      <c r="B199" s="1" t="n">
        <v>43732</v>
      </c>
      <c r="C199" s="1" t="n">
        <v>45742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49994-2019</t>
        </is>
      </c>
      <c r="B200" s="1" t="n">
        <v>43733</v>
      </c>
      <c r="C200" s="1" t="n">
        <v>45742</v>
      </c>
      <c r="D200" t="inlineStr">
        <is>
          <t>GÄVLEBORGS LÄN</t>
        </is>
      </c>
      <c r="E200" t="inlineStr">
        <is>
          <t>HUDIKSVALL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50154-2019</t>
        </is>
      </c>
      <c r="B201" s="1" t="n">
        <v>43734</v>
      </c>
      <c r="C201" s="1" t="n">
        <v>45742</v>
      </c>
      <c r="D201" t="inlineStr">
        <is>
          <t>GÄVLEBORGS LÄN</t>
        </is>
      </c>
      <c r="E201" t="inlineStr">
        <is>
          <t>HUDIKSVALL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50093-2019</t>
        </is>
      </c>
      <c r="B202" s="1" t="n">
        <v>43734</v>
      </c>
      <c r="C202" s="1" t="n">
        <v>45742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50249-2019</t>
        </is>
      </c>
      <c r="B203" s="1" t="n">
        <v>43734</v>
      </c>
      <c r="C203" s="1" t="n">
        <v>45742</v>
      </c>
      <c r="D203" t="inlineStr">
        <is>
          <t>GÄVLEBORGS LÄN</t>
        </is>
      </c>
      <c r="E203" t="inlineStr">
        <is>
          <t>HUDIKSVALL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50152-2019</t>
        </is>
      </c>
      <c r="B204" s="1" t="n">
        <v>43734</v>
      </c>
      <c r="C204" s="1" t="n">
        <v>45742</v>
      </c>
      <c r="D204" t="inlineStr">
        <is>
          <t>GÄVLEBORGS LÄN</t>
        </is>
      </c>
      <c r="E204" t="inlineStr">
        <is>
          <t>HUDIKSVALL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50757-2019</t>
        </is>
      </c>
      <c r="B205" s="1" t="n">
        <v>43738</v>
      </c>
      <c r="C205" s="1" t="n">
        <v>45742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51307-2019</t>
        </is>
      </c>
      <c r="B206" s="1" t="n">
        <v>43739</v>
      </c>
      <c r="C206" s="1" t="n">
        <v>45742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51076-2019</t>
        </is>
      </c>
      <c r="B207" s="1" t="n">
        <v>43739</v>
      </c>
      <c r="C207" s="1" t="n">
        <v>45742</v>
      </c>
      <c r="D207" t="inlineStr">
        <is>
          <t>GÄVLEBORGS LÄN</t>
        </is>
      </c>
      <c r="E207" t="inlineStr">
        <is>
          <t>HUDIKSVALL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51582-2019</t>
        </is>
      </c>
      <c r="B208" s="1" t="n">
        <v>43740</v>
      </c>
      <c r="C208" s="1" t="n">
        <v>45742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51770-2019</t>
        </is>
      </c>
      <c r="B209" s="1" t="n">
        <v>43741</v>
      </c>
      <c r="C209" s="1" t="n">
        <v>45742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52336-2019</t>
        </is>
      </c>
      <c r="B210" s="1" t="n">
        <v>43745</v>
      </c>
      <c r="C210" s="1" t="n">
        <v>45742</v>
      </c>
      <c r="D210" t="inlineStr">
        <is>
          <t>GÄVLEBORGS LÄN</t>
        </is>
      </c>
      <c r="E210" t="inlineStr">
        <is>
          <t>HUDIKSVALL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52365-2019</t>
        </is>
      </c>
      <c r="B211" s="1" t="n">
        <v>43745</v>
      </c>
      <c r="C211" s="1" t="n">
        <v>45742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53384-2019</t>
        </is>
      </c>
      <c r="B212" s="1" t="n">
        <v>43748</v>
      </c>
      <c r="C212" s="1" t="n">
        <v>45742</v>
      </c>
      <c r="D212" t="inlineStr">
        <is>
          <t>GÄVLEBORGS LÄN</t>
        </is>
      </c>
      <c r="E212" t="inlineStr">
        <is>
          <t>HUDIKSVALL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55279-2019</t>
        </is>
      </c>
      <c r="B213" s="1" t="n">
        <v>43756</v>
      </c>
      <c r="C213" s="1" t="n">
        <v>45742</v>
      </c>
      <c r="D213" t="inlineStr">
        <is>
          <t>GÄVLEBORGS LÄN</t>
        </is>
      </c>
      <c r="E213" t="inlineStr">
        <is>
          <t>HUDIKSVALL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55045-2019</t>
        </is>
      </c>
      <c r="B214" s="1" t="n">
        <v>43756</v>
      </c>
      <c r="C214" s="1" t="n">
        <v>45742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56728-2019</t>
        </is>
      </c>
      <c r="B215" s="1" t="n">
        <v>43763</v>
      </c>
      <c r="C215" s="1" t="n">
        <v>45742</v>
      </c>
      <c r="D215" t="inlineStr">
        <is>
          <t>GÄVLEBORGS LÄN</t>
        </is>
      </c>
      <c r="E215" t="inlineStr">
        <is>
          <t>HUDIKSVALL</t>
        </is>
      </c>
      <c r="G215" t="n">
        <v>14.6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57522-2019</t>
        </is>
      </c>
      <c r="B216" s="1" t="n">
        <v>43767</v>
      </c>
      <c r="C216" s="1" t="n">
        <v>45742</v>
      </c>
      <c r="D216" t="inlineStr">
        <is>
          <t>GÄVLEBORGS LÄN</t>
        </is>
      </c>
      <c r="E216" t="inlineStr">
        <is>
          <t>HUDIKSVALL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57427-2019</t>
        </is>
      </c>
      <c r="B217" s="1" t="n">
        <v>43767</v>
      </c>
      <c r="C217" s="1" t="n">
        <v>45742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57520-2019</t>
        </is>
      </c>
      <c r="B218" s="1" t="n">
        <v>43767</v>
      </c>
      <c r="C218" s="1" t="n">
        <v>45742</v>
      </c>
      <c r="D218" t="inlineStr">
        <is>
          <t>GÄVLEBORGS LÄN</t>
        </is>
      </c>
      <c r="E218" t="inlineStr">
        <is>
          <t>HUDIKSVALL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57966-2019</t>
        </is>
      </c>
      <c r="B219" s="1" t="n">
        <v>43769</v>
      </c>
      <c r="C219" s="1" t="n">
        <v>45742</v>
      </c>
      <c r="D219" t="inlineStr">
        <is>
          <t>GÄVLEBORGS LÄN</t>
        </is>
      </c>
      <c r="E219" t="inlineStr">
        <is>
          <t>HUDIKSVALL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58183-2019</t>
        </is>
      </c>
      <c r="B220" s="1" t="n">
        <v>43770</v>
      </c>
      <c r="C220" s="1" t="n">
        <v>45742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58204-2019</t>
        </is>
      </c>
      <c r="B221" s="1" t="n">
        <v>43770</v>
      </c>
      <c r="C221" s="1" t="n">
        <v>45742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Kommuner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59111-2019</t>
        </is>
      </c>
      <c r="B222" s="1" t="n">
        <v>43775</v>
      </c>
      <c r="C222" s="1" t="n">
        <v>45742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Sveaskog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59558-2019</t>
        </is>
      </c>
      <c r="B223" s="1" t="n">
        <v>43776</v>
      </c>
      <c r="C223" s="1" t="n">
        <v>45742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60423-2019</t>
        </is>
      </c>
      <c r="B224" s="1" t="n">
        <v>43776</v>
      </c>
      <c r="C224" s="1" t="n">
        <v>45742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60188-2019</t>
        </is>
      </c>
      <c r="B225" s="1" t="n">
        <v>43780</v>
      </c>
      <c r="C225" s="1" t="n">
        <v>45742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60405-2019</t>
        </is>
      </c>
      <c r="B226" s="1" t="n">
        <v>43780</v>
      </c>
      <c r="C226" s="1" t="n">
        <v>45742</v>
      </c>
      <c r="D226" t="inlineStr">
        <is>
          <t>GÄVLEBORGS LÄN</t>
        </is>
      </c>
      <c r="E226" t="inlineStr">
        <is>
          <t>HUDIKSVALL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60988-2019</t>
        </is>
      </c>
      <c r="B227" s="1" t="n">
        <v>43782</v>
      </c>
      <c r="C227" s="1" t="n">
        <v>45742</v>
      </c>
      <c r="D227" t="inlineStr">
        <is>
          <t>GÄVLEBORGS LÄN</t>
        </is>
      </c>
      <c r="E227" t="inlineStr">
        <is>
          <t>HUDIKSVALL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61501-2019</t>
        </is>
      </c>
      <c r="B228" s="1" t="n">
        <v>43783</v>
      </c>
      <c r="C228" s="1" t="n">
        <v>45742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61563-2019</t>
        </is>
      </c>
      <c r="B229" s="1" t="n">
        <v>43784</v>
      </c>
      <c r="C229" s="1" t="n">
        <v>45742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63115-2019</t>
        </is>
      </c>
      <c r="B230" s="1" t="n">
        <v>43786</v>
      </c>
      <c r="C230" s="1" t="n">
        <v>45742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62387-2019</t>
        </is>
      </c>
      <c r="B231" s="1" t="n">
        <v>43788</v>
      </c>
      <c r="C231" s="1" t="n">
        <v>45742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62291-2019</t>
        </is>
      </c>
      <c r="B232" s="1" t="n">
        <v>43788</v>
      </c>
      <c r="C232" s="1" t="n">
        <v>45742</v>
      </c>
      <c r="D232" t="inlineStr">
        <is>
          <t>GÄVLEBORGS LÄN</t>
        </is>
      </c>
      <c r="E232" t="inlineStr">
        <is>
          <t>HUDIKSVALL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62569-2019</t>
        </is>
      </c>
      <c r="B233" s="1" t="n">
        <v>43789</v>
      </c>
      <c r="C233" s="1" t="n">
        <v>45742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62758-2019</t>
        </is>
      </c>
      <c r="B234" s="1" t="n">
        <v>43790</v>
      </c>
      <c r="C234" s="1" t="n">
        <v>45742</v>
      </c>
      <c r="D234" t="inlineStr">
        <is>
          <t>GÄVLEBORGS LÄN</t>
        </is>
      </c>
      <c r="E234" t="inlineStr">
        <is>
          <t>HUDIKSVALL</t>
        </is>
      </c>
      <c r="G234" t="n">
        <v>11.8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63013-2019</t>
        </is>
      </c>
      <c r="B235" s="1" t="n">
        <v>43791</v>
      </c>
      <c r="C235" s="1" t="n">
        <v>45742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63409-2019</t>
        </is>
      </c>
      <c r="B236" s="1" t="n">
        <v>43794</v>
      </c>
      <c r="C236" s="1" t="n">
        <v>45742</v>
      </c>
      <c r="D236" t="inlineStr">
        <is>
          <t>GÄVLEBORGS LÄN</t>
        </is>
      </c>
      <c r="E236" t="inlineStr">
        <is>
          <t>HUDIKSVALL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63568-2019</t>
        </is>
      </c>
      <c r="B237" s="1" t="n">
        <v>43795</v>
      </c>
      <c r="C237" s="1" t="n">
        <v>45742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64023-2019</t>
        </is>
      </c>
      <c r="B238" s="1" t="n">
        <v>43796</v>
      </c>
      <c r="C238" s="1" t="n">
        <v>45742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64362-2019</t>
        </is>
      </c>
      <c r="B239" s="1" t="n">
        <v>43797</v>
      </c>
      <c r="C239" s="1" t="n">
        <v>45742</v>
      </c>
      <c r="D239" t="inlineStr">
        <is>
          <t>GÄVLEBORGS LÄN</t>
        </is>
      </c>
      <c r="E239" t="inlineStr">
        <is>
          <t>HUDIKSVALL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65320-2019</t>
        </is>
      </c>
      <c r="B240" s="1" t="n">
        <v>43802</v>
      </c>
      <c r="C240" s="1" t="n">
        <v>45742</v>
      </c>
      <c r="D240" t="inlineStr">
        <is>
          <t>GÄVLEBORGS LÄN</t>
        </is>
      </c>
      <c r="E240" t="inlineStr">
        <is>
          <t>HUDIKSVALL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65462-2019</t>
        </is>
      </c>
      <c r="B241" s="1" t="n">
        <v>43803</v>
      </c>
      <c r="C241" s="1" t="n">
        <v>45742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66096-2019</t>
        </is>
      </c>
      <c r="B242" s="1" t="n">
        <v>43807</v>
      </c>
      <c r="C242" s="1" t="n">
        <v>45742</v>
      </c>
      <c r="D242" t="inlineStr">
        <is>
          <t>GÄVLEBORGS LÄN</t>
        </is>
      </c>
      <c r="E242" t="inlineStr">
        <is>
          <t>HUDIKSVALL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67039-2019</t>
        </is>
      </c>
      <c r="B243" s="1" t="n">
        <v>43811</v>
      </c>
      <c r="C243" s="1" t="n">
        <v>45742</v>
      </c>
      <c r="D243" t="inlineStr">
        <is>
          <t>GÄVLEBORGS LÄN</t>
        </is>
      </c>
      <c r="E243" t="inlineStr">
        <is>
          <t>HUDIKSVALL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67440-2019</t>
        </is>
      </c>
      <c r="B244" s="1" t="n">
        <v>43812</v>
      </c>
      <c r="C244" s="1" t="n">
        <v>45742</v>
      </c>
      <c r="D244" t="inlineStr">
        <is>
          <t>GÄVLEBORGS LÄN</t>
        </is>
      </c>
      <c r="E244" t="inlineStr">
        <is>
          <t>HUDIKSVALL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67438-2019</t>
        </is>
      </c>
      <c r="B245" s="1" t="n">
        <v>43812</v>
      </c>
      <c r="C245" s="1" t="n">
        <v>45742</v>
      </c>
      <c r="D245" t="inlineStr">
        <is>
          <t>GÄVLEBORGS LÄN</t>
        </is>
      </c>
      <c r="E245" t="inlineStr">
        <is>
          <t>HUDIKSVALL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67415-2019</t>
        </is>
      </c>
      <c r="B246" s="1" t="n">
        <v>43812</v>
      </c>
      <c r="C246" s="1" t="n">
        <v>45742</v>
      </c>
      <c r="D246" t="inlineStr">
        <is>
          <t>GÄVLEBORGS LÄN</t>
        </is>
      </c>
      <c r="E246" t="inlineStr">
        <is>
          <t>HUDIKSVALL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67725-2019</t>
        </is>
      </c>
      <c r="B247" s="1" t="n">
        <v>43815</v>
      </c>
      <c r="C247" s="1" t="n">
        <v>45742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67941-2019</t>
        </is>
      </c>
      <c r="B248" s="1" t="n">
        <v>43816</v>
      </c>
      <c r="C248" s="1" t="n">
        <v>45742</v>
      </c>
      <c r="D248" t="inlineStr">
        <is>
          <t>GÄVLEBORGS LÄN</t>
        </is>
      </c>
      <c r="E248" t="inlineStr">
        <is>
          <t>HUDIKSVALL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68252-2019</t>
        </is>
      </c>
      <c r="B249" s="1" t="n">
        <v>43817</v>
      </c>
      <c r="C249" s="1" t="n">
        <v>45742</v>
      </c>
      <c r="D249" t="inlineStr">
        <is>
          <t>GÄVLEBORGS LÄN</t>
        </is>
      </c>
      <c r="E249" t="inlineStr">
        <is>
          <t>HUDIKSVALL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121-2020</t>
        </is>
      </c>
      <c r="B250" s="1" t="n">
        <v>43832</v>
      </c>
      <c r="C250" s="1" t="n">
        <v>45742</v>
      </c>
      <c r="D250" t="inlineStr">
        <is>
          <t>GÄVLEBORGS LÄN</t>
        </is>
      </c>
      <c r="E250" t="inlineStr">
        <is>
          <t>HUDIKSVALL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115-2020</t>
        </is>
      </c>
      <c r="B251" s="1" t="n">
        <v>43832</v>
      </c>
      <c r="C251" s="1" t="n">
        <v>45742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498-2020</t>
        </is>
      </c>
      <c r="B252" s="1" t="n">
        <v>43837</v>
      </c>
      <c r="C252" s="1" t="n">
        <v>45742</v>
      </c>
      <c r="D252" t="inlineStr">
        <is>
          <t>GÄVLEBORGS LÄN</t>
        </is>
      </c>
      <c r="E252" t="inlineStr">
        <is>
          <t>HUDIKSVALL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528-2020</t>
        </is>
      </c>
      <c r="B253" s="1" t="n">
        <v>43837</v>
      </c>
      <c r="C253" s="1" t="n">
        <v>45742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548-2020</t>
        </is>
      </c>
      <c r="B254" s="1" t="n">
        <v>43837</v>
      </c>
      <c r="C254" s="1" t="n">
        <v>45742</v>
      </c>
      <c r="D254" t="inlineStr">
        <is>
          <t>GÄVLEBORGS LÄN</t>
        </is>
      </c>
      <c r="E254" t="inlineStr">
        <is>
          <t>HUDIKSVALL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1265-2020</t>
        </is>
      </c>
      <c r="B255" s="1" t="n">
        <v>43840</v>
      </c>
      <c r="C255" s="1" t="n">
        <v>45742</v>
      </c>
      <c r="D255" t="inlineStr">
        <is>
          <t>GÄVLEBORGS LÄN</t>
        </is>
      </c>
      <c r="E255" t="inlineStr">
        <is>
          <t>HUDIKSVALL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4864-2020</t>
        </is>
      </c>
      <c r="B256" s="1" t="n">
        <v>43843</v>
      </c>
      <c r="C256" s="1" t="n">
        <v>45742</v>
      </c>
      <c r="D256" t="inlineStr">
        <is>
          <t>GÄVLEBORGS LÄN</t>
        </is>
      </c>
      <c r="E256" t="inlineStr">
        <is>
          <t>HUDIKSVALL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2033-2020</t>
        </is>
      </c>
      <c r="B257" s="1" t="n">
        <v>43845</v>
      </c>
      <c r="C257" s="1" t="n">
        <v>45742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Naturvårdsverket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2540-2020</t>
        </is>
      </c>
      <c r="B258" s="1" t="n">
        <v>43847</v>
      </c>
      <c r="C258" s="1" t="n">
        <v>45742</v>
      </c>
      <c r="D258" t="inlineStr">
        <is>
          <t>GÄVLEBORGS LÄN</t>
        </is>
      </c>
      <c r="E258" t="inlineStr">
        <is>
          <t>HUDIKSVALL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2567-2020</t>
        </is>
      </c>
      <c r="B259" s="1" t="n">
        <v>43847</v>
      </c>
      <c r="C259" s="1" t="n">
        <v>45742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3282-2020</t>
        </is>
      </c>
      <c r="B260" s="1" t="n">
        <v>43852</v>
      </c>
      <c r="C260" s="1" t="n">
        <v>45742</v>
      </c>
      <c r="D260" t="inlineStr">
        <is>
          <t>GÄVLEBORGS LÄN</t>
        </is>
      </c>
      <c r="E260" t="inlineStr">
        <is>
          <t>HUDIKSVALL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3445-2020</t>
        </is>
      </c>
      <c r="B261" s="1" t="n">
        <v>43852</v>
      </c>
      <c r="C261" s="1" t="n">
        <v>45742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4554-2020</t>
        </is>
      </c>
      <c r="B262" s="1" t="n">
        <v>43858</v>
      </c>
      <c r="C262" s="1" t="n">
        <v>45742</v>
      </c>
      <c r="D262" t="inlineStr">
        <is>
          <t>GÄVLEBORGS LÄN</t>
        </is>
      </c>
      <c r="E262" t="inlineStr">
        <is>
          <t>HUDIKSVALL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4972-2020</t>
        </is>
      </c>
      <c r="B263" s="1" t="n">
        <v>43859</v>
      </c>
      <c r="C263" s="1" t="n">
        <v>45742</v>
      </c>
      <c r="D263" t="inlineStr">
        <is>
          <t>GÄVLEBORGS LÄN</t>
        </is>
      </c>
      <c r="E263" t="inlineStr">
        <is>
          <t>HUDIKSVALL</t>
        </is>
      </c>
      <c r="G263" t="n">
        <v>26.2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5379-2020</t>
        </is>
      </c>
      <c r="B264" s="1" t="n">
        <v>43860</v>
      </c>
      <c r="C264" s="1" t="n">
        <v>45742</v>
      </c>
      <c r="D264" t="inlineStr">
        <is>
          <t>GÄVLEBORGS LÄN</t>
        </is>
      </c>
      <c r="E264" t="inlineStr">
        <is>
          <t>HUDIKSVALL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6603-2020</t>
        </is>
      </c>
      <c r="B265" s="1" t="n">
        <v>43867</v>
      </c>
      <c r="C265" s="1" t="n">
        <v>45742</v>
      </c>
      <c r="D265" t="inlineStr">
        <is>
          <t>GÄVLEBORGS LÄN</t>
        </is>
      </c>
      <c r="E265" t="inlineStr">
        <is>
          <t>HUDIKSVALL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7101-2020</t>
        </is>
      </c>
      <c r="B266" s="1" t="n">
        <v>43868</v>
      </c>
      <c r="C266" s="1" t="n">
        <v>45742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6995-2020</t>
        </is>
      </c>
      <c r="B267" s="1" t="n">
        <v>43868</v>
      </c>
      <c r="C267" s="1" t="n">
        <v>45742</v>
      </c>
      <c r="D267" t="inlineStr">
        <is>
          <t>GÄVLEBORGS LÄN</t>
        </is>
      </c>
      <c r="E267" t="inlineStr">
        <is>
          <t>HUDIKSVALL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7521-2020</t>
        </is>
      </c>
      <c r="B268" s="1" t="n">
        <v>43872</v>
      </c>
      <c r="C268" s="1" t="n">
        <v>45742</v>
      </c>
      <c r="D268" t="inlineStr">
        <is>
          <t>GÄVLEBORGS LÄN</t>
        </is>
      </c>
      <c r="E268" t="inlineStr">
        <is>
          <t>HUDIKSVALL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7871-2020</t>
        </is>
      </c>
      <c r="B269" s="1" t="n">
        <v>43873</v>
      </c>
      <c r="C269" s="1" t="n">
        <v>45742</v>
      </c>
      <c r="D269" t="inlineStr">
        <is>
          <t>GÄVLEBORGS LÄN</t>
        </is>
      </c>
      <c r="E269" t="inlineStr">
        <is>
          <t>HUDIKSVALL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7942-2020</t>
        </is>
      </c>
      <c r="B270" s="1" t="n">
        <v>43873</v>
      </c>
      <c r="C270" s="1" t="n">
        <v>45742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7973-2020</t>
        </is>
      </c>
      <c r="B271" s="1" t="n">
        <v>43873</v>
      </c>
      <c r="C271" s="1" t="n">
        <v>45742</v>
      </c>
      <c r="D271" t="inlineStr">
        <is>
          <t>GÄVLEBORGS LÄN</t>
        </is>
      </c>
      <c r="E271" t="inlineStr">
        <is>
          <t>HUDIKSVALL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8357-2020</t>
        </is>
      </c>
      <c r="B272" s="1" t="n">
        <v>43875</v>
      </c>
      <c r="C272" s="1" t="n">
        <v>45742</v>
      </c>
      <c r="D272" t="inlineStr">
        <is>
          <t>GÄVLEBORGS LÄN</t>
        </is>
      </c>
      <c r="E272" t="inlineStr">
        <is>
          <t>HUDIKSVALL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8381-2020</t>
        </is>
      </c>
      <c r="B273" s="1" t="n">
        <v>43875</v>
      </c>
      <c r="C273" s="1" t="n">
        <v>45742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8450-2020</t>
        </is>
      </c>
      <c r="B274" s="1" t="n">
        <v>43875</v>
      </c>
      <c r="C274" s="1" t="n">
        <v>45742</v>
      </c>
      <c r="D274" t="inlineStr">
        <is>
          <t>GÄVLEBORGS LÄN</t>
        </is>
      </c>
      <c r="E274" t="inlineStr">
        <is>
          <t>HUDIKSVALL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9003-2020</t>
        </is>
      </c>
      <c r="B275" s="1" t="n">
        <v>43879</v>
      </c>
      <c r="C275" s="1" t="n">
        <v>45742</v>
      </c>
      <c r="D275" t="inlineStr">
        <is>
          <t>GÄVLEBORGS LÄN</t>
        </is>
      </c>
      <c r="E275" t="inlineStr">
        <is>
          <t>HUDIKSVALL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9531-2020</t>
        </is>
      </c>
      <c r="B276" s="1" t="n">
        <v>43881</v>
      </c>
      <c r="C276" s="1" t="n">
        <v>45742</v>
      </c>
      <c r="D276" t="inlineStr">
        <is>
          <t>GÄVLEBORGS LÄN</t>
        </is>
      </c>
      <c r="E276" t="inlineStr">
        <is>
          <t>HUDIKSVALL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9588-2020</t>
        </is>
      </c>
      <c r="B277" s="1" t="n">
        <v>43881</v>
      </c>
      <c r="C277" s="1" t="n">
        <v>45742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10534-2020</t>
        </is>
      </c>
      <c r="B278" s="1" t="n">
        <v>43886</v>
      </c>
      <c r="C278" s="1" t="n">
        <v>45742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10607-2020</t>
        </is>
      </c>
      <c r="B279" s="1" t="n">
        <v>43887</v>
      </c>
      <c r="C279" s="1" t="n">
        <v>45742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11126-2020</t>
        </is>
      </c>
      <c r="B280" s="1" t="n">
        <v>43889</v>
      </c>
      <c r="C280" s="1" t="n">
        <v>45742</v>
      </c>
      <c r="D280" t="inlineStr">
        <is>
          <t>GÄVLEBORGS LÄN</t>
        </is>
      </c>
      <c r="E280" t="inlineStr">
        <is>
          <t>HUDIKSVALL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11494-2020</t>
        </is>
      </c>
      <c r="B281" s="1" t="n">
        <v>43893</v>
      </c>
      <c r="C281" s="1" t="n">
        <v>45742</v>
      </c>
      <c r="D281" t="inlineStr">
        <is>
          <t>GÄVLEBORGS LÄN</t>
        </is>
      </c>
      <c r="E281" t="inlineStr">
        <is>
          <t>HUDIKSVALL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12664-2020</t>
        </is>
      </c>
      <c r="B282" s="1" t="n">
        <v>43893</v>
      </c>
      <c r="C282" s="1" t="n">
        <v>45742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11508-2020</t>
        </is>
      </c>
      <c r="B283" s="1" t="n">
        <v>43893</v>
      </c>
      <c r="C283" s="1" t="n">
        <v>45742</v>
      </c>
      <c r="D283" t="inlineStr">
        <is>
          <t>GÄVLEBORGS LÄN</t>
        </is>
      </c>
      <c r="E283" t="inlineStr">
        <is>
          <t>HUDIKSVALL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11751-2020</t>
        </is>
      </c>
      <c r="B284" s="1" t="n">
        <v>43894</v>
      </c>
      <c r="C284" s="1" t="n">
        <v>45742</v>
      </c>
      <c r="D284" t="inlineStr">
        <is>
          <t>GÄVLEBORGS LÄN</t>
        </is>
      </c>
      <c r="E284" t="inlineStr">
        <is>
          <t>HUDIKSVALL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13216-2020</t>
        </is>
      </c>
      <c r="B285" s="1" t="n">
        <v>43901</v>
      </c>
      <c r="C285" s="1" t="n">
        <v>45742</v>
      </c>
      <c r="D285" t="inlineStr">
        <is>
          <t>GÄVLEBORGS LÄN</t>
        </is>
      </c>
      <c r="E285" t="inlineStr">
        <is>
          <t>HUDIKSVALL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13190-2020</t>
        </is>
      </c>
      <c r="B286" s="1" t="n">
        <v>43901</v>
      </c>
      <c r="C286" s="1" t="n">
        <v>45742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13208-2020</t>
        </is>
      </c>
      <c r="B287" s="1" t="n">
        <v>43901</v>
      </c>
      <c r="C287" s="1" t="n">
        <v>45742</v>
      </c>
      <c r="D287" t="inlineStr">
        <is>
          <t>GÄVLEBORGS LÄN</t>
        </is>
      </c>
      <c r="E287" t="inlineStr">
        <is>
          <t>HUDIKSVALL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13507-2020</t>
        </is>
      </c>
      <c r="B288" s="1" t="n">
        <v>43902</v>
      </c>
      <c r="C288" s="1" t="n">
        <v>45742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14035-2020</t>
        </is>
      </c>
      <c r="B289" s="1" t="n">
        <v>43906</v>
      </c>
      <c r="C289" s="1" t="n">
        <v>45742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14688-2020</t>
        </is>
      </c>
      <c r="B290" s="1" t="n">
        <v>43909</v>
      </c>
      <c r="C290" s="1" t="n">
        <v>45742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15070-2020</t>
        </is>
      </c>
      <c r="B291" s="1" t="n">
        <v>43910</v>
      </c>
      <c r="C291" s="1" t="n">
        <v>45742</v>
      </c>
      <c r="D291" t="inlineStr">
        <is>
          <t>GÄVLEBORGS LÄN</t>
        </is>
      </c>
      <c r="E291" t="inlineStr">
        <is>
          <t>HUDIKSVALL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15074-2020</t>
        </is>
      </c>
      <c r="B292" s="1" t="n">
        <v>43910</v>
      </c>
      <c r="C292" s="1" t="n">
        <v>45742</v>
      </c>
      <c r="D292" t="inlineStr">
        <is>
          <t>GÄVLEBORGS LÄN</t>
        </is>
      </c>
      <c r="E292" t="inlineStr">
        <is>
          <t>HUDIKSVALL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15016-2020</t>
        </is>
      </c>
      <c r="B293" s="1" t="n">
        <v>43910</v>
      </c>
      <c r="C293" s="1" t="n">
        <v>45742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15416-2020</t>
        </is>
      </c>
      <c r="B294" s="1" t="n">
        <v>43914</v>
      </c>
      <c r="C294" s="1" t="n">
        <v>45742</v>
      </c>
      <c r="D294" t="inlineStr">
        <is>
          <t>GÄVLEBORGS LÄN</t>
        </is>
      </c>
      <c r="E294" t="inlineStr">
        <is>
          <t>HUDIKSVALL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16975-2020</t>
        </is>
      </c>
      <c r="B295" s="1" t="n">
        <v>43921</v>
      </c>
      <c r="C295" s="1" t="n">
        <v>45742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17312-2020</t>
        </is>
      </c>
      <c r="B296" s="1" t="n">
        <v>43922</v>
      </c>
      <c r="C296" s="1" t="n">
        <v>45742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17505-2020</t>
        </is>
      </c>
      <c r="B297" s="1" t="n">
        <v>43923</v>
      </c>
      <c r="C297" s="1" t="n">
        <v>45742</v>
      </c>
      <c r="D297" t="inlineStr">
        <is>
          <t>GÄVLEBORGS LÄN</t>
        </is>
      </c>
      <c r="E297" t="inlineStr">
        <is>
          <t>HUDIKSVALL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18491-2020</t>
        </is>
      </c>
      <c r="B298" s="1" t="n">
        <v>43929</v>
      </c>
      <c r="C298" s="1" t="n">
        <v>45742</v>
      </c>
      <c r="D298" t="inlineStr">
        <is>
          <t>GÄVLEBORGS LÄN</t>
        </is>
      </c>
      <c r="E298" t="inlineStr">
        <is>
          <t>HUDIKSVALL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18924-2020</t>
        </is>
      </c>
      <c r="B299" s="1" t="n">
        <v>43935</v>
      </c>
      <c r="C299" s="1" t="n">
        <v>45742</v>
      </c>
      <c r="D299" t="inlineStr">
        <is>
          <t>GÄVLEBORGS LÄN</t>
        </is>
      </c>
      <c r="E299" t="inlineStr">
        <is>
          <t>HUDIKSVALL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19170-2020</t>
        </is>
      </c>
      <c r="B300" s="1" t="n">
        <v>43937</v>
      </c>
      <c r="C300" s="1" t="n">
        <v>45742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19813-2020</t>
        </is>
      </c>
      <c r="B301" s="1" t="n">
        <v>43942</v>
      </c>
      <c r="C301" s="1" t="n">
        <v>45742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19919-2020</t>
        </is>
      </c>
      <c r="B302" s="1" t="n">
        <v>43943</v>
      </c>
      <c r="C302" s="1" t="n">
        <v>45742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20048-2020</t>
        </is>
      </c>
      <c r="B303" s="1" t="n">
        <v>43943</v>
      </c>
      <c r="C303" s="1" t="n">
        <v>45742</v>
      </c>
      <c r="D303" t="inlineStr">
        <is>
          <t>GÄVLEBORGS LÄN</t>
        </is>
      </c>
      <c r="E303" t="inlineStr">
        <is>
          <t>HUDIKSVALL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20055-2020</t>
        </is>
      </c>
      <c r="B304" s="1" t="n">
        <v>43943</v>
      </c>
      <c r="C304" s="1" t="n">
        <v>45742</v>
      </c>
      <c r="D304" t="inlineStr">
        <is>
          <t>GÄVLEBORGS LÄN</t>
        </is>
      </c>
      <c r="E304" t="inlineStr">
        <is>
          <t>HUDIKSVALL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20132-2020</t>
        </is>
      </c>
      <c r="B305" s="1" t="n">
        <v>43944</v>
      </c>
      <c r="C305" s="1" t="n">
        <v>45742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20104-2020</t>
        </is>
      </c>
      <c r="B306" s="1" t="n">
        <v>43944</v>
      </c>
      <c r="C306" s="1" t="n">
        <v>45742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20346-2020</t>
        </is>
      </c>
      <c r="B307" s="1" t="n">
        <v>43945</v>
      </c>
      <c r="C307" s="1" t="n">
        <v>45742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20244-2020</t>
        </is>
      </c>
      <c r="B308" s="1" t="n">
        <v>43945</v>
      </c>
      <c r="C308" s="1" t="n">
        <v>45742</v>
      </c>
      <c r="D308" t="inlineStr">
        <is>
          <t>GÄVLEBORGS LÄN</t>
        </is>
      </c>
      <c r="E308" t="inlineStr">
        <is>
          <t>HUDIKSVALL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20570-2020</t>
        </is>
      </c>
      <c r="B309" s="1" t="n">
        <v>43948</v>
      </c>
      <c r="C309" s="1" t="n">
        <v>45742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20737-2020</t>
        </is>
      </c>
      <c r="B310" s="1" t="n">
        <v>43949</v>
      </c>
      <c r="C310" s="1" t="n">
        <v>45742</v>
      </c>
      <c r="D310" t="inlineStr">
        <is>
          <t>GÄVLEBORGS LÄN</t>
        </is>
      </c>
      <c r="E310" t="inlineStr">
        <is>
          <t>HUDIKSVALL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20941-2020</t>
        </is>
      </c>
      <c r="B311" s="1" t="n">
        <v>43950</v>
      </c>
      <c r="C311" s="1" t="n">
        <v>45742</v>
      </c>
      <c r="D311" t="inlineStr">
        <is>
          <t>GÄVLEBORGS LÄN</t>
        </is>
      </c>
      <c r="E311" t="inlineStr">
        <is>
          <t>HUDIKSVALL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21039-2020</t>
        </is>
      </c>
      <c r="B312" s="1" t="n">
        <v>43951</v>
      </c>
      <c r="C312" s="1" t="n">
        <v>45742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21129-2020</t>
        </is>
      </c>
      <c r="B313" s="1" t="n">
        <v>43951</v>
      </c>
      <c r="C313" s="1" t="n">
        <v>45742</v>
      </c>
      <c r="D313" t="inlineStr">
        <is>
          <t>GÄVLEBORGS LÄN</t>
        </is>
      </c>
      <c r="E313" t="inlineStr">
        <is>
          <t>HUDIKSVALL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21193-2020</t>
        </is>
      </c>
      <c r="B314" s="1" t="n">
        <v>43951</v>
      </c>
      <c r="C314" s="1" t="n">
        <v>45742</v>
      </c>
      <c r="D314" t="inlineStr">
        <is>
          <t>GÄVLEBORGS LÄN</t>
        </is>
      </c>
      <c r="E314" t="inlineStr">
        <is>
          <t>HUDIKSVALL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21316-2020</t>
        </is>
      </c>
      <c r="B315" s="1" t="n">
        <v>43955</v>
      </c>
      <c r="C315" s="1" t="n">
        <v>45742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21313-2020</t>
        </is>
      </c>
      <c r="B316" s="1" t="n">
        <v>43955</v>
      </c>
      <c r="C316" s="1" t="n">
        <v>45742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21803-2020</t>
        </is>
      </c>
      <c r="B317" s="1" t="n">
        <v>43958</v>
      </c>
      <c r="C317" s="1" t="n">
        <v>45742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21926-2020</t>
        </is>
      </c>
      <c r="B318" s="1" t="n">
        <v>43958</v>
      </c>
      <c r="C318" s="1" t="n">
        <v>45742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21961-2020</t>
        </is>
      </c>
      <c r="B319" s="1" t="n">
        <v>43958</v>
      </c>
      <c r="C319" s="1" t="n">
        <v>45742</v>
      </c>
      <c r="D319" t="inlineStr">
        <is>
          <t>GÄVLEBORGS LÄN</t>
        </is>
      </c>
      <c r="E319" t="inlineStr">
        <is>
          <t>HUDIKSVALL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22348-2020</t>
        </is>
      </c>
      <c r="B320" s="1" t="n">
        <v>43962</v>
      </c>
      <c r="C320" s="1" t="n">
        <v>45742</v>
      </c>
      <c r="D320" t="inlineStr">
        <is>
          <t>GÄVLEBORGS LÄN</t>
        </is>
      </c>
      <c r="E320" t="inlineStr">
        <is>
          <t>HUDIKSVALL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22967-2020</t>
        </is>
      </c>
      <c r="B321" s="1" t="n">
        <v>43965</v>
      </c>
      <c r="C321" s="1" t="n">
        <v>45742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23059-2020</t>
        </is>
      </c>
      <c r="B322" s="1" t="n">
        <v>43965</v>
      </c>
      <c r="C322" s="1" t="n">
        <v>45742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22972-2020</t>
        </is>
      </c>
      <c r="B323" s="1" t="n">
        <v>43965</v>
      </c>
      <c r="C323" s="1" t="n">
        <v>45742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23008-2020</t>
        </is>
      </c>
      <c r="B324" s="1" t="n">
        <v>43965</v>
      </c>
      <c r="C324" s="1" t="n">
        <v>45742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23049-2020</t>
        </is>
      </c>
      <c r="B325" s="1" t="n">
        <v>43965</v>
      </c>
      <c r="C325" s="1" t="n">
        <v>45742</v>
      </c>
      <c r="D325" t="inlineStr">
        <is>
          <t>GÄVLEBORGS LÄN</t>
        </is>
      </c>
      <c r="E325" t="inlineStr">
        <is>
          <t>HUDIKSVALL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23285-2020</t>
        </is>
      </c>
      <c r="B326" s="1" t="n">
        <v>43966</v>
      </c>
      <c r="C326" s="1" t="n">
        <v>45742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23429-2020</t>
        </is>
      </c>
      <c r="B327" s="1" t="n">
        <v>43969</v>
      </c>
      <c r="C327" s="1" t="n">
        <v>45742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23926-2020</t>
        </is>
      </c>
      <c r="B328" s="1" t="n">
        <v>43971</v>
      </c>
      <c r="C328" s="1" t="n">
        <v>45742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23990-2020</t>
        </is>
      </c>
      <c r="B329" s="1" t="n">
        <v>43971</v>
      </c>
      <c r="C329" s="1" t="n">
        <v>45742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24909-2020</t>
        </is>
      </c>
      <c r="B330" s="1" t="n">
        <v>43979</v>
      </c>
      <c r="C330" s="1" t="n">
        <v>45742</v>
      </c>
      <c r="D330" t="inlineStr">
        <is>
          <t>GÄVLEBORGS LÄN</t>
        </is>
      </c>
      <c r="E330" t="inlineStr">
        <is>
          <t>HUDIKSVALL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25270-2020</t>
        </is>
      </c>
      <c r="B331" s="1" t="n">
        <v>43980</v>
      </c>
      <c r="C331" s="1" t="n">
        <v>45742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HYPERLINK("https://klasma.github.io/Logging_2184/knärot/A 25270-2020 karta knärot.png", "A 25270-2020")</f>
        <v/>
      </c>
      <c r="V331">
        <f>HYPERLINK("https://klasma.github.io/Logging_2184/klagomål/A 25270-2020 FSC-klagomål.docx", "A 25270-2020")</f>
        <v/>
      </c>
      <c r="W331">
        <f>HYPERLINK("https://klasma.github.io/Logging_2184/klagomålsmail/A 25270-2020 FSC-klagomål mail.docx", "A 25270-2020")</f>
        <v/>
      </c>
      <c r="X331">
        <f>HYPERLINK("https://klasma.github.io/Logging_2184/tillsyn/A 25270-2020 tillsynsbegäran.docx", "A 25270-2020")</f>
        <v/>
      </c>
      <c r="Y331">
        <f>HYPERLINK("https://klasma.github.io/Logging_2184/tillsynsmail/A 25270-2020 tillsynsbegäran mail.docx", "A 25270-2020")</f>
        <v/>
      </c>
    </row>
    <row r="332" ht="15" customHeight="1">
      <c r="A332" t="inlineStr">
        <is>
          <t>A 25219-2020</t>
        </is>
      </c>
      <c r="B332" s="1" t="n">
        <v>43980</v>
      </c>
      <c r="C332" s="1" t="n">
        <v>45742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25275-2020</t>
        </is>
      </c>
      <c r="B333" s="1" t="n">
        <v>43980</v>
      </c>
      <c r="C333" s="1" t="n">
        <v>45742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25697-2020</t>
        </is>
      </c>
      <c r="B334" s="1" t="n">
        <v>43984</v>
      </c>
      <c r="C334" s="1" t="n">
        <v>45742</v>
      </c>
      <c r="D334" t="inlineStr">
        <is>
          <t>GÄVLEBORGS LÄN</t>
        </is>
      </c>
      <c r="E334" t="inlineStr">
        <is>
          <t>HUDIKSVALL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26001-2020</t>
        </is>
      </c>
      <c r="B335" s="1" t="n">
        <v>43985</v>
      </c>
      <c r="C335" s="1" t="n">
        <v>45742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27217-2020</t>
        </is>
      </c>
      <c r="B336" s="1" t="n">
        <v>43992</v>
      </c>
      <c r="C336" s="1" t="n">
        <v>45742</v>
      </c>
      <c r="D336" t="inlineStr">
        <is>
          <t>GÄVLEBORGS LÄN</t>
        </is>
      </c>
      <c r="E336" t="inlineStr">
        <is>
          <t>HUDIKSVALL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27563-2020</t>
        </is>
      </c>
      <c r="B337" s="1" t="n">
        <v>43993</v>
      </c>
      <c r="C337" s="1" t="n">
        <v>45742</v>
      </c>
      <c r="D337" t="inlineStr">
        <is>
          <t>GÄVLEBORGS LÄN</t>
        </is>
      </c>
      <c r="E337" t="inlineStr">
        <is>
          <t>HUDIKSVALL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28021-2020</t>
        </is>
      </c>
      <c r="B338" s="1" t="n">
        <v>43993</v>
      </c>
      <c r="C338" s="1" t="n">
        <v>45742</v>
      </c>
      <c r="D338" t="inlineStr">
        <is>
          <t>GÄVLEBORGS LÄN</t>
        </is>
      </c>
      <c r="E338" t="inlineStr">
        <is>
          <t>HUDIKSVALL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28282-2020</t>
        </is>
      </c>
      <c r="B339" s="1" t="n">
        <v>43998</v>
      </c>
      <c r="C339" s="1" t="n">
        <v>45742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33535-2020</t>
        </is>
      </c>
      <c r="B340" s="1" t="n">
        <v>43999</v>
      </c>
      <c r="C340" s="1" t="n">
        <v>45742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33543-2020</t>
        </is>
      </c>
      <c r="B341" s="1" t="n">
        <v>43999</v>
      </c>
      <c r="C341" s="1" t="n">
        <v>45742</v>
      </c>
      <c r="D341" t="inlineStr">
        <is>
          <t>GÄVLEBORGS LÄN</t>
        </is>
      </c>
      <c r="E341" t="inlineStr">
        <is>
          <t>HUDIKSVALL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29094-2020</t>
        </is>
      </c>
      <c r="B342" s="1" t="n">
        <v>44003</v>
      </c>
      <c r="C342" s="1" t="n">
        <v>45742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29102-2020</t>
        </is>
      </c>
      <c r="B343" s="1" t="n">
        <v>44003</v>
      </c>
      <c r="C343" s="1" t="n">
        <v>45742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29195-2020</t>
        </is>
      </c>
      <c r="B344" s="1" t="n">
        <v>44004</v>
      </c>
      <c r="C344" s="1" t="n">
        <v>45742</v>
      </c>
      <c r="D344" t="inlineStr">
        <is>
          <t>GÄVLEBORGS LÄN</t>
        </is>
      </c>
      <c r="E344" t="inlineStr">
        <is>
          <t>HUDIKSVALL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29749-2020</t>
        </is>
      </c>
      <c r="B345" s="1" t="n">
        <v>44005</v>
      </c>
      <c r="C345" s="1" t="n">
        <v>45742</v>
      </c>
      <c r="D345" t="inlineStr">
        <is>
          <t>GÄVLEBORGS LÄN</t>
        </is>
      </c>
      <c r="E345" t="inlineStr">
        <is>
          <t>HUDIKSVALL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29810-2020</t>
        </is>
      </c>
      <c r="B346" s="1" t="n">
        <v>44006</v>
      </c>
      <c r="C346" s="1" t="n">
        <v>45742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30908-2020</t>
        </is>
      </c>
      <c r="B347" s="1" t="n">
        <v>44011</v>
      </c>
      <c r="C347" s="1" t="n">
        <v>45742</v>
      </c>
      <c r="D347" t="inlineStr">
        <is>
          <t>GÄVLEBORGS LÄN</t>
        </is>
      </c>
      <c r="E347" t="inlineStr">
        <is>
          <t>HUDIKSVALL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31716-2020</t>
        </is>
      </c>
      <c r="B348" s="1" t="n">
        <v>44014</v>
      </c>
      <c r="C348" s="1" t="n">
        <v>45742</v>
      </c>
      <c r="D348" t="inlineStr">
        <is>
          <t>GÄVLEBORGS LÄN</t>
        </is>
      </c>
      <c r="E348" t="inlineStr">
        <is>
          <t>HUDIKSVALL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32007-2020</t>
        </is>
      </c>
      <c r="B349" s="1" t="n">
        <v>44014</v>
      </c>
      <c r="C349" s="1" t="n">
        <v>45742</v>
      </c>
      <c r="D349" t="inlineStr">
        <is>
          <t>GÄVLEBORGS LÄN</t>
        </is>
      </c>
      <c r="E349" t="inlineStr">
        <is>
          <t>HUDIKSVALL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32247-2020</t>
        </is>
      </c>
      <c r="B350" s="1" t="n">
        <v>44015</v>
      </c>
      <c r="C350" s="1" t="n">
        <v>45742</v>
      </c>
      <c r="D350" t="inlineStr">
        <is>
          <t>GÄVLEBORGS LÄN</t>
        </is>
      </c>
      <c r="E350" t="inlineStr">
        <is>
          <t>HUDIKSVALL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32507-2020</t>
        </is>
      </c>
      <c r="B351" s="1" t="n">
        <v>44018</v>
      </c>
      <c r="C351" s="1" t="n">
        <v>45742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32722-2020</t>
        </is>
      </c>
      <c r="B352" s="1" t="n">
        <v>44019</v>
      </c>
      <c r="C352" s="1" t="n">
        <v>45742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32895-2020</t>
        </is>
      </c>
      <c r="B353" s="1" t="n">
        <v>44020</v>
      </c>
      <c r="C353" s="1" t="n">
        <v>45742</v>
      </c>
      <c r="D353" t="inlineStr">
        <is>
          <t>GÄVLEBORGS LÄN</t>
        </is>
      </c>
      <c r="E353" t="inlineStr">
        <is>
          <t>HUDIKSVALL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33285-2020</t>
        </is>
      </c>
      <c r="B354" s="1" t="n">
        <v>44020</v>
      </c>
      <c r="C354" s="1" t="n">
        <v>45742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33281-2020</t>
        </is>
      </c>
      <c r="B355" s="1" t="n">
        <v>44020</v>
      </c>
      <c r="C355" s="1" t="n">
        <v>45742</v>
      </c>
      <c r="D355" t="inlineStr">
        <is>
          <t>GÄVLEBORGS LÄN</t>
        </is>
      </c>
      <c r="E355" t="inlineStr">
        <is>
          <t>HUDIKSVALL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33437-2020</t>
        </is>
      </c>
      <c r="B356" s="1" t="n">
        <v>44022</v>
      </c>
      <c r="C356" s="1" t="n">
        <v>45742</v>
      </c>
      <c r="D356" t="inlineStr">
        <is>
          <t>GÄVLEBORGS LÄN</t>
        </is>
      </c>
      <c r="E356" t="inlineStr">
        <is>
          <t>HUDIKSVALL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33566-2020</t>
        </is>
      </c>
      <c r="B357" s="1" t="n">
        <v>44025</v>
      </c>
      <c r="C357" s="1" t="n">
        <v>45742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33834-2020</t>
        </is>
      </c>
      <c r="B358" s="1" t="n">
        <v>44025</v>
      </c>
      <c r="C358" s="1" t="n">
        <v>45742</v>
      </c>
      <c r="D358" t="inlineStr">
        <is>
          <t>GÄVLEBORGS LÄN</t>
        </is>
      </c>
      <c r="E358" t="inlineStr">
        <is>
          <t>HUDIKSVALL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33707-2020</t>
        </is>
      </c>
      <c r="B359" s="1" t="n">
        <v>44026</v>
      </c>
      <c r="C359" s="1" t="n">
        <v>45742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33708-2020</t>
        </is>
      </c>
      <c r="B360" s="1" t="n">
        <v>44026</v>
      </c>
      <c r="C360" s="1" t="n">
        <v>45742</v>
      </c>
      <c r="D360" t="inlineStr">
        <is>
          <t>GÄVLEBORGS LÄN</t>
        </is>
      </c>
      <c r="E360" t="inlineStr">
        <is>
          <t>HUDIKSVALL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34031-2020</t>
        </is>
      </c>
      <c r="B361" s="1" t="n">
        <v>44028</v>
      </c>
      <c r="C361" s="1" t="n">
        <v>45742</v>
      </c>
      <c r="D361" t="inlineStr">
        <is>
          <t>GÄVLEBORGS LÄN</t>
        </is>
      </c>
      <c r="E361" t="inlineStr">
        <is>
          <t>HUDIKSVALL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34519-2020</t>
        </is>
      </c>
      <c r="B362" s="1" t="n">
        <v>44033</v>
      </c>
      <c r="C362" s="1" t="n">
        <v>45742</v>
      </c>
      <c r="D362" t="inlineStr">
        <is>
          <t>GÄVLEBORGS LÄN</t>
        </is>
      </c>
      <c r="E362" t="inlineStr">
        <is>
          <t>HUDIKSVALL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34704-2020</t>
        </is>
      </c>
      <c r="B363" s="1" t="n">
        <v>44035</v>
      </c>
      <c r="C363" s="1" t="n">
        <v>45742</v>
      </c>
      <c r="D363" t="inlineStr">
        <is>
          <t>GÄVLEBORGS LÄN</t>
        </is>
      </c>
      <c r="E363" t="inlineStr">
        <is>
          <t>HUDIKSVALL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34750-2020</t>
        </is>
      </c>
      <c r="B364" s="1" t="n">
        <v>44035</v>
      </c>
      <c r="C364" s="1" t="n">
        <v>45742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35853-2020</t>
        </is>
      </c>
      <c r="B365" s="1" t="n">
        <v>44047</v>
      </c>
      <c r="C365" s="1" t="n">
        <v>45742</v>
      </c>
      <c r="D365" t="inlineStr">
        <is>
          <t>GÄVLEBORGS LÄN</t>
        </is>
      </c>
      <c r="E365" t="inlineStr">
        <is>
          <t>HUDIKSVALL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36181-2020</t>
        </is>
      </c>
      <c r="B366" s="1" t="n">
        <v>44048</v>
      </c>
      <c r="C366" s="1" t="n">
        <v>45742</v>
      </c>
      <c r="D366" t="inlineStr">
        <is>
          <t>GÄVLEBORGS LÄN</t>
        </is>
      </c>
      <c r="E366" t="inlineStr">
        <is>
          <t>HUDIKSVALL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36500-2020</t>
        </is>
      </c>
      <c r="B367" s="1" t="n">
        <v>44050</v>
      </c>
      <c r="C367" s="1" t="n">
        <v>45742</v>
      </c>
      <c r="D367" t="inlineStr">
        <is>
          <t>GÄVLEBORGS LÄN</t>
        </is>
      </c>
      <c r="E367" t="inlineStr">
        <is>
          <t>HUDIKSVALL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36485-2020</t>
        </is>
      </c>
      <c r="B368" s="1" t="n">
        <v>44050</v>
      </c>
      <c r="C368" s="1" t="n">
        <v>45742</v>
      </c>
      <c r="D368" t="inlineStr">
        <is>
          <t>GÄVLEBORGS LÄN</t>
        </is>
      </c>
      <c r="E368" t="inlineStr">
        <is>
          <t>HUDIKSVALL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37394-2020</t>
        </is>
      </c>
      <c r="B369" s="1" t="n">
        <v>44055</v>
      </c>
      <c r="C369" s="1" t="n">
        <v>45742</v>
      </c>
      <c r="D369" t="inlineStr">
        <is>
          <t>GÄVLEBORGS LÄN</t>
        </is>
      </c>
      <c r="E369" t="inlineStr">
        <is>
          <t>HUDIKSVALL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37712-2020</t>
        </is>
      </c>
      <c r="B370" s="1" t="n">
        <v>44056</v>
      </c>
      <c r="C370" s="1" t="n">
        <v>45742</v>
      </c>
      <c r="D370" t="inlineStr">
        <is>
          <t>GÄVLEBORGS LÄN</t>
        </is>
      </c>
      <c r="E370" t="inlineStr">
        <is>
          <t>HUDIKSVALL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38441-2020</t>
        </is>
      </c>
      <c r="B371" s="1" t="n">
        <v>44060</v>
      </c>
      <c r="C371" s="1" t="n">
        <v>45742</v>
      </c>
      <c r="D371" t="inlineStr">
        <is>
          <t>GÄVLEBORGS LÄN</t>
        </is>
      </c>
      <c r="E371" t="inlineStr">
        <is>
          <t>HUDIKSVALL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38977-2020</t>
        </is>
      </c>
      <c r="B372" s="1" t="n">
        <v>44062</v>
      </c>
      <c r="C372" s="1" t="n">
        <v>45742</v>
      </c>
      <c r="D372" t="inlineStr">
        <is>
          <t>GÄVLEBORGS LÄN</t>
        </is>
      </c>
      <c r="E372" t="inlineStr">
        <is>
          <t>HUDIKSVALL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39113-2020</t>
        </is>
      </c>
      <c r="B373" s="1" t="n">
        <v>44063</v>
      </c>
      <c r="C373" s="1" t="n">
        <v>45742</v>
      </c>
      <c r="D373" t="inlineStr">
        <is>
          <t>GÄVLEBORGS LÄN</t>
        </is>
      </c>
      <c r="E373" t="inlineStr">
        <is>
          <t>HUDIKSVALL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39420-2020</t>
        </is>
      </c>
      <c r="B374" s="1" t="n">
        <v>44064</v>
      </c>
      <c r="C374" s="1" t="n">
        <v>45742</v>
      </c>
      <c r="D374" t="inlineStr">
        <is>
          <t>GÄVLEBORGS LÄN</t>
        </is>
      </c>
      <c r="E374" t="inlineStr">
        <is>
          <t>HUDIKSVALL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39418-2020</t>
        </is>
      </c>
      <c r="B375" s="1" t="n">
        <v>44064</v>
      </c>
      <c r="C375" s="1" t="n">
        <v>45742</v>
      </c>
      <c r="D375" t="inlineStr">
        <is>
          <t>GÄVLEBORGS LÄN</t>
        </is>
      </c>
      <c r="E375" t="inlineStr">
        <is>
          <t>HUDIKSVALL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39543-2020</t>
        </is>
      </c>
      <c r="B376" s="1" t="n">
        <v>44064</v>
      </c>
      <c r="C376" s="1" t="n">
        <v>45742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39747-2020</t>
        </is>
      </c>
      <c r="B377" s="1" t="n">
        <v>44067</v>
      </c>
      <c r="C377" s="1" t="n">
        <v>45742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39749-2020</t>
        </is>
      </c>
      <c r="B378" s="1" t="n">
        <v>44067</v>
      </c>
      <c r="C378" s="1" t="n">
        <v>45742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39973-2020</t>
        </is>
      </c>
      <c r="B379" s="1" t="n">
        <v>44067</v>
      </c>
      <c r="C379" s="1" t="n">
        <v>45742</v>
      </c>
      <c r="D379" t="inlineStr">
        <is>
          <t>GÄVLEBORGS LÄN</t>
        </is>
      </c>
      <c r="E379" t="inlineStr">
        <is>
          <t>HUDIKSVALL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40631-2020</t>
        </is>
      </c>
      <c r="B380" s="1" t="n">
        <v>44069</v>
      </c>
      <c r="C380" s="1" t="n">
        <v>45742</v>
      </c>
      <c r="D380" t="inlineStr">
        <is>
          <t>GÄVLEBORGS LÄN</t>
        </is>
      </c>
      <c r="E380" t="inlineStr">
        <is>
          <t>HUDIKSVALL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40996-2020</t>
        </is>
      </c>
      <c r="B381" s="1" t="n">
        <v>44070</v>
      </c>
      <c r="C381" s="1" t="n">
        <v>45742</v>
      </c>
      <c r="D381" t="inlineStr">
        <is>
          <t>GÄVLEBORGS LÄN</t>
        </is>
      </c>
      <c r="E381" t="inlineStr">
        <is>
          <t>HUDIKSVALL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40773-2020</t>
        </is>
      </c>
      <c r="B382" s="1" t="n">
        <v>44070</v>
      </c>
      <c r="C382" s="1" t="n">
        <v>45742</v>
      </c>
      <c r="D382" t="inlineStr">
        <is>
          <t>GÄVLEBORGS LÄN</t>
        </is>
      </c>
      <c r="E382" t="inlineStr">
        <is>
          <t>HUDIKSVALL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41133-2020</t>
        </is>
      </c>
      <c r="B383" s="1" t="n">
        <v>44071</v>
      </c>
      <c r="C383" s="1" t="n">
        <v>45742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41182-2020</t>
        </is>
      </c>
      <c r="B384" s="1" t="n">
        <v>44071</v>
      </c>
      <c r="C384" s="1" t="n">
        <v>45742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41083-2020</t>
        </is>
      </c>
      <c r="B385" s="1" t="n">
        <v>44071</v>
      </c>
      <c r="C385" s="1" t="n">
        <v>45742</v>
      </c>
      <c r="D385" t="inlineStr">
        <is>
          <t>GÄVLEBORGS LÄN</t>
        </is>
      </c>
      <c r="E385" t="inlineStr">
        <is>
          <t>HUDIKSVALL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42510-2020</t>
        </is>
      </c>
      <c r="B386" s="1" t="n">
        <v>44077</v>
      </c>
      <c r="C386" s="1" t="n">
        <v>45742</v>
      </c>
      <c r="D386" t="inlineStr">
        <is>
          <t>GÄVLEBORGS LÄN</t>
        </is>
      </c>
      <c r="E386" t="inlineStr">
        <is>
          <t>HUDIKSVALL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43520-2020</t>
        </is>
      </c>
      <c r="B387" s="1" t="n">
        <v>44077</v>
      </c>
      <c r="C387" s="1" t="n">
        <v>45742</v>
      </c>
      <c r="D387" t="inlineStr">
        <is>
          <t>GÄVLEBORGS LÄN</t>
        </is>
      </c>
      <c r="E387" t="inlineStr">
        <is>
          <t>HUDIKSVALL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43397-2020</t>
        </is>
      </c>
      <c r="B388" s="1" t="n">
        <v>44077</v>
      </c>
      <c r="C388" s="1" t="n">
        <v>45742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43295-2020</t>
        </is>
      </c>
      <c r="B389" s="1" t="n">
        <v>44081</v>
      </c>
      <c r="C389" s="1" t="n">
        <v>45742</v>
      </c>
      <c r="D389" t="inlineStr">
        <is>
          <t>GÄVLEBORGS LÄN</t>
        </is>
      </c>
      <c r="E389" t="inlineStr">
        <is>
          <t>HUDIKSVALL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43899-2020</t>
        </is>
      </c>
      <c r="B390" s="1" t="n">
        <v>44083</v>
      </c>
      <c r="C390" s="1" t="n">
        <v>45742</v>
      </c>
      <c r="D390" t="inlineStr">
        <is>
          <t>GÄVLEBORGS LÄN</t>
        </is>
      </c>
      <c r="E390" t="inlineStr">
        <is>
          <t>HUDIKSVALL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44483-2020</t>
        </is>
      </c>
      <c r="B391" s="1" t="n">
        <v>44084</v>
      </c>
      <c r="C391" s="1" t="n">
        <v>45742</v>
      </c>
      <c r="D391" t="inlineStr">
        <is>
          <t>GÄVLEBORGS LÄN</t>
        </is>
      </c>
      <c r="E391" t="inlineStr">
        <is>
          <t>HUDIKSVALL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44451-2020</t>
        </is>
      </c>
      <c r="B392" s="1" t="n">
        <v>44084</v>
      </c>
      <c r="C392" s="1" t="n">
        <v>45742</v>
      </c>
      <c r="D392" t="inlineStr">
        <is>
          <t>GÄVLEBORGS LÄN</t>
        </is>
      </c>
      <c r="E392" t="inlineStr">
        <is>
          <t>HUDIKSVALL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44486-2020</t>
        </is>
      </c>
      <c r="B393" s="1" t="n">
        <v>44084</v>
      </c>
      <c r="C393" s="1" t="n">
        <v>45742</v>
      </c>
      <c r="D393" t="inlineStr">
        <is>
          <t>GÄVLEBORGS LÄN</t>
        </is>
      </c>
      <c r="E393" t="inlineStr">
        <is>
          <t>HUDIKSVALL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44574-2020</t>
        </is>
      </c>
      <c r="B394" s="1" t="n">
        <v>44085</v>
      </c>
      <c r="C394" s="1" t="n">
        <v>45742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44530-2020</t>
        </is>
      </c>
      <c r="B395" s="1" t="n">
        <v>44085</v>
      </c>
      <c r="C395" s="1" t="n">
        <v>45742</v>
      </c>
      <c r="D395" t="inlineStr">
        <is>
          <t>GÄVLEBORGS LÄN</t>
        </is>
      </c>
      <c r="E395" t="inlineStr">
        <is>
          <t>HUDIKSVALL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45183-2020</t>
        </is>
      </c>
      <c r="B396" s="1" t="n">
        <v>44088</v>
      </c>
      <c r="C396" s="1" t="n">
        <v>45742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45591-2020</t>
        </is>
      </c>
      <c r="B397" s="1" t="n">
        <v>44090</v>
      </c>
      <c r="C397" s="1" t="n">
        <v>45742</v>
      </c>
      <c r="D397" t="inlineStr">
        <is>
          <t>GÄVLEBORGS LÄN</t>
        </is>
      </c>
      <c r="E397" t="inlineStr">
        <is>
          <t>HUDIKSVALL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46028-2020</t>
        </is>
      </c>
      <c r="B398" s="1" t="n">
        <v>44091</v>
      </c>
      <c r="C398" s="1" t="n">
        <v>45742</v>
      </c>
      <c r="D398" t="inlineStr">
        <is>
          <t>GÄVLEBORGS LÄN</t>
        </is>
      </c>
      <c r="E398" t="inlineStr">
        <is>
          <t>HUDIKSVALL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46022-2020</t>
        </is>
      </c>
      <c r="B399" s="1" t="n">
        <v>44091</v>
      </c>
      <c r="C399" s="1" t="n">
        <v>45742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46266-2020</t>
        </is>
      </c>
      <c r="B400" s="1" t="n">
        <v>44092</v>
      </c>
      <c r="C400" s="1" t="n">
        <v>45742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46352-2020</t>
        </is>
      </c>
      <c r="B401" s="1" t="n">
        <v>44092</v>
      </c>
      <c r="C401" s="1" t="n">
        <v>45742</v>
      </c>
      <c r="D401" t="inlineStr">
        <is>
          <t>GÄVLEBORGS LÄN</t>
        </is>
      </c>
      <c r="E401" t="inlineStr">
        <is>
          <t>HUDIKSVALL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46873-2020</t>
        </is>
      </c>
      <c r="B402" s="1" t="n">
        <v>44096</v>
      </c>
      <c r="C402" s="1" t="n">
        <v>45742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47416-2020</t>
        </is>
      </c>
      <c r="B403" s="1" t="n">
        <v>44097</v>
      </c>
      <c r="C403" s="1" t="n">
        <v>45742</v>
      </c>
      <c r="D403" t="inlineStr">
        <is>
          <t>GÄVLEBORGS LÄN</t>
        </is>
      </c>
      <c r="E403" t="inlineStr">
        <is>
          <t>HUDIKSVALL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47556-2020</t>
        </is>
      </c>
      <c r="B404" s="1" t="n">
        <v>44098</v>
      </c>
      <c r="C404" s="1" t="n">
        <v>45742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47706-2020</t>
        </is>
      </c>
      <c r="B405" s="1" t="n">
        <v>44098</v>
      </c>
      <c r="C405" s="1" t="n">
        <v>45742</v>
      </c>
      <c r="D405" t="inlineStr">
        <is>
          <t>GÄVLEBORGS LÄN</t>
        </is>
      </c>
      <c r="E405" t="inlineStr">
        <is>
          <t>HUDIKSVALL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48191-2020</t>
        </is>
      </c>
      <c r="B406" s="1" t="n">
        <v>44102</v>
      </c>
      <c r="C406" s="1" t="n">
        <v>45742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48432-2020</t>
        </is>
      </c>
      <c r="B407" s="1" t="n">
        <v>44102</v>
      </c>
      <c r="C407" s="1" t="n">
        <v>45742</v>
      </c>
      <c r="D407" t="inlineStr">
        <is>
          <t>GÄVLEBORGS LÄN</t>
        </is>
      </c>
      <c r="E407" t="inlineStr">
        <is>
          <t>HUDIKSVALL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48997-2020</t>
        </is>
      </c>
      <c r="B408" s="1" t="n">
        <v>44104</v>
      </c>
      <c r="C408" s="1" t="n">
        <v>45742</v>
      </c>
      <c r="D408" t="inlineStr">
        <is>
          <t>GÄVLEBORGS LÄN</t>
        </is>
      </c>
      <c r="E408" t="inlineStr">
        <is>
          <t>HUDIKSVALL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49798-2020</t>
        </is>
      </c>
      <c r="B409" s="1" t="n">
        <v>44106</v>
      </c>
      <c r="C409" s="1" t="n">
        <v>45742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49733-2020</t>
        </is>
      </c>
      <c r="B410" s="1" t="n">
        <v>44106</v>
      </c>
      <c r="C410" s="1" t="n">
        <v>45742</v>
      </c>
      <c r="D410" t="inlineStr">
        <is>
          <t>GÄVLEBORGS LÄN</t>
        </is>
      </c>
      <c r="E410" t="inlineStr">
        <is>
          <t>HUDIKSVALL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50116-2020</t>
        </is>
      </c>
      <c r="B411" s="1" t="n">
        <v>44109</v>
      </c>
      <c r="C411" s="1" t="n">
        <v>45742</v>
      </c>
      <c r="D411" t="inlineStr">
        <is>
          <t>GÄVLEBORGS LÄN</t>
        </is>
      </c>
      <c r="E411" t="inlineStr">
        <is>
          <t>HUDIKSVALL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50141-2020</t>
        </is>
      </c>
      <c r="B412" s="1" t="n">
        <v>44109</v>
      </c>
      <c r="C412" s="1" t="n">
        <v>45742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51454-2020</t>
        </is>
      </c>
      <c r="B413" s="1" t="n">
        <v>44113</v>
      </c>
      <c r="C413" s="1" t="n">
        <v>45742</v>
      </c>
      <c r="D413" t="inlineStr">
        <is>
          <t>GÄVLEBORGS LÄN</t>
        </is>
      </c>
      <c r="E413" t="inlineStr">
        <is>
          <t>HUDIKSVALL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51527-2020</t>
        </is>
      </c>
      <c r="B414" s="1" t="n">
        <v>44113</v>
      </c>
      <c r="C414" s="1" t="n">
        <v>45742</v>
      </c>
      <c r="D414" t="inlineStr">
        <is>
          <t>GÄVLEBORGS LÄN</t>
        </is>
      </c>
      <c r="E414" t="inlineStr">
        <is>
          <t>HUDIKSVALL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52934-2020</t>
        </is>
      </c>
      <c r="B415" s="1" t="n">
        <v>44120</v>
      </c>
      <c r="C415" s="1" t="n">
        <v>45742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53466-2020</t>
        </is>
      </c>
      <c r="B416" s="1" t="n">
        <v>44123</v>
      </c>
      <c r="C416" s="1" t="n">
        <v>45742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53467-2020</t>
        </is>
      </c>
      <c r="B417" s="1" t="n">
        <v>44123</v>
      </c>
      <c r="C417" s="1" t="n">
        <v>45742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53730-2020</t>
        </is>
      </c>
      <c r="B418" s="1" t="n">
        <v>44123</v>
      </c>
      <c r="C418" s="1" t="n">
        <v>45742</v>
      </c>
      <c r="D418" t="inlineStr">
        <is>
          <t>GÄVLEBORGS LÄN</t>
        </is>
      </c>
      <c r="E418" t="inlineStr">
        <is>
          <t>HUDIKSVALL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53612-2020</t>
        </is>
      </c>
      <c r="B419" s="1" t="n">
        <v>44124</v>
      </c>
      <c r="C419" s="1" t="n">
        <v>45742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54434-2020</t>
        </is>
      </c>
      <c r="B420" s="1" t="n">
        <v>44126</v>
      </c>
      <c r="C420" s="1" t="n">
        <v>45742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55446-2020</t>
        </is>
      </c>
      <c r="B421" s="1" t="n">
        <v>44131</v>
      </c>
      <c r="C421" s="1" t="n">
        <v>45742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55487-2020</t>
        </is>
      </c>
      <c r="B422" s="1" t="n">
        <v>44131</v>
      </c>
      <c r="C422" s="1" t="n">
        <v>45742</v>
      </c>
      <c r="D422" t="inlineStr">
        <is>
          <t>GÄVLEBORGS LÄN</t>
        </is>
      </c>
      <c r="E422" t="inlineStr">
        <is>
          <t>HUDIKSVALL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55922-2020</t>
        </is>
      </c>
      <c r="B423" s="1" t="n">
        <v>44132</v>
      </c>
      <c r="C423" s="1" t="n">
        <v>45742</v>
      </c>
      <c r="D423" t="inlineStr">
        <is>
          <t>GÄVLEBORGS LÄN</t>
        </is>
      </c>
      <c r="E423" t="inlineStr">
        <is>
          <t>HUDIKSVALL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56123-2020</t>
        </is>
      </c>
      <c r="B424" s="1" t="n">
        <v>44133</v>
      </c>
      <c r="C424" s="1" t="n">
        <v>45742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55993-2020</t>
        </is>
      </c>
      <c r="B425" s="1" t="n">
        <v>44133</v>
      </c>
      <c r="C425" s="1" t="n">
        <v>45742</v>
      </c>
      <c r="D425" t="inlineStr">
        <is>
          <t>GÄVLEBORGS LÄN</t>
        </is>
      </c>
      <c r="E425" t="inlineStr">
        <is>
          <t>HUDIKSVALL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56458-2020</t>
        </is>
      </c>
      <c r="B426" s="1" t="n">
        <v>44137</v>
      </c>
      <c r="C426" s="1" t="n">
        <v>45742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56597-2020</t>
        </is>
      </c>
      <c r="B427" s="1" t="n">
        <v>44137</v>
      </c>
      <c r="C427" s="1" t="n">
        <v>45742</v>
      </c>
      <c r="D427" t="inlineStr">
        <is>
          <t>GÄVLEBORGS LÄN</t>
        </is>
      </c>
      <c r="E427" t="inlineStr">
        <is>
          <t>HUDIKSVALL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58375-2020</t>
        </is>
      </c>
      <c r="B428" s="1" t="n">
        <v>44144</v>
      </c>
      <c r="C428" s="1" t="n">
        <v>45742</v>
      </c>
      <c r="D428" t="inlineStr">
        <is>
          <t>GÄVLEBORGS LÄN</t>
        </is>
      </c>
      <c r="E428" t="inlineStr">
        <is>
          <t>HUDIKSVALL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58377-2020</t>
        </is>
      </c>
      <c r="B429" s="1" t="n">
        <v>44144</v>
      </c>
      <c r="C429" s="1" t="n">
        <v>45742</v>
      </c>
      <c r="D429" t="inlineStr">
        <is>
          <t>GÄVLEBORGS LÄN</t>
        </is>
      </c>
      <c r="E429" t="inlineStr">
        <is>
          <t>HUDIKSVALL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59631-2020</t>
        </is>
      </c>
      <c r="B430" s="1" t="n">
        <v>44150</v>
      </c>
      <c r="C430" s="1" t="n">
        <v>45742</v>
      </c>
      <c r="D430" t="inlineStr">
        <is>
          <t>GÄVLEBORGS LÄN</t>
        </is>
      </c>
      <c r="E430" t="inlineStr">
        <is>
          <t>HUDIKSVALL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59659-2020</t>
        </is>
      </c>
      <c r="B431" s="1" t="n">
        <v>44151</v>
      </c>
      <c r="C431" s="1" t="n">
        <v>45742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60414-2020</t>
        </is>
      </c>
      <c r="B432" s="1" t="n">
        <v>44153</v>
      </c>
      <c r="C432" s="1" t="n">
        <v>45742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60737-2020</t>
        </is>
      </c>
      <c r="B433" s="1" t="n">
        <v>44153</v>
      </c>
      <c r="C433" s="1" t="n">
        <v>45742</v>
      </c>
      <c r="D433" t="inlineStr">
        <is>
          <t>GÄVLEBORGS LÄN</t>
        </is>
      </c>
      <c r="E433" t="inlineStr">
        <is>
          <t>HUDIKSVALL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61668-2020</t>
        </is>
      </c>
      <c r="B434" s="1" t="n">
        <v>44158</v>
      </c>
      <c r="C434" s="1" t="n">
        <v>45742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61747-2020</t>
        </is>
      </c>
      <c r="B435" s="1" t="n">
        <v>44158</v>
      </c>
      <c r="C435" s="1" t="n">
        <v>45742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63108-2020</t>
        </is>
      </c>
      <c r="B436" s="1" t="n">
        <v>44162</v>
      </c>
      <c r="C436" s="1" t="n">
        <v>45742</v>
      </c>
      <c r="D436" t="inlineStr">
        <is>
          <t>GÄVLEBORGS LÄN</t>
        </is>
      </c>
      <c r="E436" t="inlineStr">
        <is>
          <t>HUDIKSVALL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64350-2020</t>
        </is>
      </c>
      <c r="B437" s="1" t="n">
        <v>44168</v>
      </c>
      <c r="C437" s="1" t="n">
        <v>45742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64512-2020</t>
        </is>
      </c>
      <c r="B438" s="1" t="n">
        <v>44168</v>
      </c>
      <c r="C438" s="1" t="n">
        <v>45742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64905-2020</t>
        </is>
      </c>
      <c r="B439" s="1" t="n">
        <v>44172</v>
      </c>
      <c r="C439" s="1" t="n">
        <v>45742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64967-2020</t>
        </is>
      </c>
      <c r="B440" s="1" t="n">
        <v>44172</v>
      </c>
      <c r="C440" s="1" t="n">
        <v>45742</v>
      </c>
      <c r="D440" t="inlineStr">
        <is>
          <t>GÄVLEBORGS LÄN</t>
        </is>
      </c>
      <c r="E440" t="inlineStr">
        <is>
          <t>HUDIKSVALL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65038-2020</t>
        </is>
      </c>
      <c r="B441" s="1" t="n">
        <v>44172</v>
      </c>
      <c r="C441" s="1" t="n">
        <v>45742</v>
      </c>
      <c r="D441" t="inlineStr">
        <is>
          <t>GÄVLEBORGS LÄN</t>
        </is>
      </c>
      <c r="E441" t="inlineStr">
        <is>
          <t>HUDIKSVALL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65531-2020</t>
        </is>
      </c>
      <c r="B442" s="1" t="n">
        <v>44173</v>
      </c>
      <c r="C442" s="1" t="n">
        <v>45742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65835-2020</t>
        </is>
      </c>
      <c r="B443" s="1" t="n">
        <v>44174</v>
      </c>
      <c r="C443" s="1" t="n">
        <v>45742</v>
      </c>
      <c r="D443" t="inlineStr">
        <is>
          <t>GÄVLEBORGS LÄN</t>
        </is>
      </c>
      <c r="E443" t="inlineStr">
        <is>
          <t>HUDIKSVALL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65802-2020</t>
        </is>
      </c>
      <c r="B444" s="1" t="n">
        <v>44174</v>
      </c>
      <c r="C444" s="1" t="n">
        <v>45742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65837-2020</t>
        </is>
      </c>
      <c r="B445" s="1" t="n">
        <v>44174</v>
      </c>
      <c r="C445" s="1" t="n">
        <v>45742</v>
      </c>
      <c r="D445" t="inlineStr">
        <is>
          <t>GÄVLEBORGS LÄN</t>
        </is>
      </c>
      <c r="E445" t="inlineStr">
        <is>
          <t>HUDIKSVALL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65841-2020</t>
        </is>
      </c>
      <c r="B446" s="1" t="n">
        <v>44174</v>
      </c>
      <c r="C446" s="1" t="n">
        <v>45742</v>
      </c>
      <c r="D446" t="inlineStr">
        <is>
          <t>GÄVLEBORGS LÄN</t>
        </is>
      </c>
      <c r="E446" t="inlineStr">
        <is>
          <t>HUDIKSVALL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66468-2020</t>
        </is>
      </c>
      <c r="B447" s="1" t="n">
        <v>44176</v>
      </c>
      <c r="C447" s="1" t="n">
        <v>45742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66490-2020</t>
        </is>
      </c>
      <c r="B448" s="1" t="n">
        <v>44177</v>
      </c>
      <c r="C448" s="1" t="n">
        <v>45742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66491-2020</t>
        </is>
      </c>
      <c r="B449" s="1" t="n">
        <v>44177</v>
      </c>
      <c r="C449" s="1" t="n">
        <v>45742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66577-2020</t>
        </is>
      </c>
      <c r="B450" s="1" t="n">
        <v>44179</v>
      </c>
      <c r="C450" s="1" t="n">
        <v>45742</v>
      </c>
      <c r="D450" t="inlineStr">
        <is>
          <t>GÄVLEBORGS LÄN</t>
        </is>
      </c>
      <c r="E450" t="inlineStr">
        <is>
          <t>HUDIKSVALL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66584-2020</t>
        </is>
      </c>
      <c r="B451" s="1" t="n">
        <v>44179</v>
      </c>
      <c r="C451" s="1" t="n">
        <v>45742</v>
      </c>
      <c r="D451" t="inlineStr">
        <is>
          <t>GÄVLEBORGS LÄN</t>
        </is>
      </c>
      <c r="E451" t="inlineStr">
        <is>
          <t>HUDIKSVALL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66690-2020</t>
        </is>
      </c>
      <c r="B452" s="1" t="n">
        <v>44179</v>
      </c>
      <c r="C452" s="1" t="n">
        <v>45742</v>
      </c>
      <c r="D452" t="inlineStr">
        <is>
          <t>GÄVLEBORGS LÄN</t>
        </is>
      </c>
      <c r="E452" t="inlineStr">
        <is>
          <t>HUDIKSVALL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66995-2020</t>
        </is>
      </c>
      <c r="B453" s="1" t="n">
        <v>44180</v>
      </c>
      <c r="C453" s="1" t="n">
        <v>45742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67146-2020</t>
        </is>
      </c>
      <c r="B454" s="1" t="n">
        <v>44180</v>
      </c>
      <c r="C454" s="1" t="n">
        <v>45742</v>
      </c>
      <c r="D454" t="inlineStr">
        <is>
          <t>GÄVLEBORGS LÄN</t>
        </is>
      </c>
      <c r="E454" t="inlineStr">
        <is>
          <t>HUDIKSVALL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67152-2020</t>
        </is>
      </c>
      <c r="B455" s="1" t="n">
        <v>44180</v>
      </c>
      <c r="C455" s="1" t="n">
        <v>45742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67558-2020</t>
        </is>
      </c>
      <c r="B456" s="1" t="n">
        <v>44181</v>
      </c>
      <c r="C456" s="1" t="n">
        <v>45742</v>
      </c>
      <c r="D456" t="inlineStr">
        <is>
          <t>GÄVLEBORGS LÄN</t>
        </is>
      </c>
      <c r="E456" t="inlineStr">
        <is>
          <t>HUDIKSVALL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68137-2020</t>
        </is>
      </c>
      <c r="B457" s="1" t="n">
        <v>44183</v>
      </c>
      <c r="C457" s="1" t="n">
        <v>45742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68599-2020</t>
        </is>
      </c>
      <c r="B458" s="1" t="n">
        <v>44186</v>
      </c>
      <c r="C458" s="1" t="n">
        <v>45742</v>
      </c>
      <c r="D458" t="inlineStr">
        <is>
          <t>GÄVLEBORGS LÄN</t>
        </is>
      </c>
      <c r="E458" t="inlineStr">
        <is>
          <t>HUDIKSVALL</t>
        </is>
      </c>
      <c r="F458" t="inlineStr">
        <is>
          <t>Kommuner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68728-2020</t>
        </is>
      </c>
      <c r="B459" s="1" t="n">
        <v>44187</v>
      </c>
      <c r="C459" s="1" t="n">
        <v>45742</v>
      </c>
      <c r="D459" t="inlineStr">
        <is>
          <t>GÄVLEBORGS LÄN</t>
        </is>
      </c>
      <c r="E459" t="inlineStr">
        <is>
          <t>HUDIKSVALL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69302-2020</t>
        </is>
      </c>
      <c r="B460" s="1" t="n">
        <v>44193</v>
      </c>
      <c r="C460" s="1" t="n">
        <v>45742</v>
      </c>
      <c r="D460" t="inlineStr">
        <is>
          <t>GÄVLEBORGS LÄN</t>
        </is>
      </c>
      <c r="E460" t="inlineStr">
        <is>
          <t>HUDIKSVALL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69656-2020</t>
        </is>
      </c>
      <c r="B461" s="1" t="n">
        <v>44195</v>
      </c>
      <c r="C461" s="1" t="n">
        <v>45742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69660-2020</t>
        </is>
      </c>
      <c r="B462" s="1" t="n">
        <v>44195</v>
      </c>
      <c r="C462" s="1" t="n">
        <v>45742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404-2021</t>
        </is>
      </c>
      <c r="B463" s="1" t="n">
        <v>44201</v>
      </c>
      <c r="C463" s="1" t="n">
        <v>45742</v>
      </c>
      <c r="D463" t="inlineStr">
        <is>
          <t>GÄVLEBORGS LÄN</t>
        </is>
      </c>
      <c r="E463" t="inlineStr">
        <is>
          <t>HUDIKSVALL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777-2021</t>
        </is>
      </c>
      <c r="B464" s="1" t="n">
        <v>44203</v>
      </c>
      <c r="C464" s="1" t="n">
        <v>45742</v>
      </c>
      <c r="D464" t="inlineStr">
        <is>
          <t>GÄVLEBORGS LÄN</t>
        </is>
      </c>
      <c r="E464" t="inlineStr">
        <is>
          <t>HUDIKSVALL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1842-2021</t>
        </is>
      </c>
      <c r="B465" s="1" t="n">
        <v>44210</v>
      </c>
      <c r="C465" s="1" t="n">
        <v>45742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2152-2021</t>
        </is>
      </c>
      <c r="B466" s="1" t="n">
        <v>44211</v>
      </c>
      <c r="C466" s="1" t="n">
        <v>45742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2993-2021</t>
        </is>
      </c>
      <c r="B467" s="1" t="n">
        <v>44216</v>
      </c>
      <c r="C467" s="1" t="n">
        <v>45742</v>
      </c>
      <c r="D467" t="inlineStr">
        <is>
          <t>GÄVLEBORGS LÄN</t>
        </is>
      </c>
      <c r="E467" t="inlineStr">
        <is>
          <t>HUDIKSVALL</t>
        </is>
      </c>
      <c r="F467" t="inlineStr">
        <is>
          <t>Naturvårdsverket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2994-2021</t>
        </is>
      </c>
      <c r="B468" s="1" t="n">
        <v>44216</v>
      </c>
      <c r="C468" s="1" t="n">
        <v>45742</v>
      </c>
      <c r="D468" t="inlineStr">
        <is>
          <t>GÄVLEBORGS LÄN</t>
        </is>
      </c>
      <c r="E468" t="inlineStr">
        <is>
          <t>HUDIKSVALL</t>
        </is>
      </c>
      <c r="F468" t="inlineStr">
        <is>
          <t>Naturvårdsverket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3698-2021</t>
        </is>
      </c>
      <c r="B469" s="1" t="n">
        <v>44221</v>
      </c>
      <c r="C469" s="1" t="n">
        <v>45742</v>
      </c>
      <c r="D469" t="inlineStr">
        <is>
          <t>GÄVLEBORGS LÄN</t>
        </is>
      </c>
      <c r="E469" t="inlineStr">
        <is>
          <t>HUDIKSVALL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4137-2021</t>
        </is>
      </c>
      <c r="B470" s="1" t="n">
        <v>44223</v>
      </c>
      <c r="C470" s="1" t="n">
        <v>45742</v>
      </c>
      <c r="D470" t="inlineStr">
        <is>
          <t>GÄVLEBORGS LÄN</t>
        </is>
      </c>
      <c r="E470" t="inlineStr">
        <is>
          <t>HUDIKSVALL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4866-2021</t>
        </is>
      </c>
      <c r="B471" s="1" t="n">
        <v>44225</v>
      </c>
      <c r="C471" s="1" t="n">
        <v>45742</v>
      </c>
      <c r="D471" t="inlineStr">
        <is>
          <t>GÄVLEBORGS LÄN</t>
        </is>
      </c>
      <c r="E471" t="inlineStr">
        <is>
          <t>HUDIKSVALL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5841-2021</t>
        </is>
      </c>
      <c r="B472" s="1" t="n">
        <v>44231</v>
      </c>
      <c r="C472" s="1" t="n">
        <v>45742</v>
      </c>
      <c r="D472" t="inlineStr">
        <is>
          <t>GÄVLEBORGS LÄN</t>
        </is>
      </c>
      <c r="E472" t="inlineStr">
        <is>
          <t>HUDIKSVALL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6077-2021</t>
        </is>
      </c>
      <c r="B473" s="1" t="n">
        <v>44232</v>
      </c>
      <c r="C473" s="1" t="n">
        <v>45742</v>
      </c>
      <c r="D473" t="inlineStr">
        <is>
          <t>GÄVLEBORGS LÄN</t>
        </is>
      </c>
      <c r="E473" t="inlineStr">
        <is>
          <t>HUDIKSVALL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6512-2021</t>
        </is>
      </c>
      <c r="B474" s="1" t="n">
        <v>44236</v>
      </c>
      <c r="C474" s="1" t="n">
        <v>45742</v>
      </c>
      <c r="D474" t="inlineStr">
        <is>
          <t>GÄVLEBORGS LÄN</t>
        </is>
      </c>
      <c r="E474" t="inlineStr">
        <is>
          <t>HUDIKSVALL</t>
        </is>
      </c>
      <c r="G474" t="n">
        <v>46.5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6989-2021</t>
        </is>
      </c>
      <c r="B475" s="1" t="n">
        <v>44237</v>
      </c>
      <c r="C475" s="1" t="n">
        <v>45742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7020-2021</t>
        </is>
      </c>
      <c r="B476" s="1" t="n">
        <v>44237</v>
      </c>
      <c r="C476" s="1" t="n">
        <v>45742</v>
      </c>
      <c r="D476" t="inlineStr">
        <is>
          <t>GÄVLEBORGS LÄN</t>
        </is>
      </c>
      <c r="E476" t="inlineStr">
        <is>
          <t>HUDIKSVALL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7102-2021</t>
        </is>
      </c>
      <c r="B477" s="1" t="n">
        <v>44238</v>
      </c>
      <c r="C477" s="1" t="n">
        <v>45742</v>
      </c>
      <c r="D477" t="inlineStr">
        <is>
          <t>GÄVLEBORGS LÄN</t>
        </is>
      </c>
      <c r="E477" t="inlineStr">
        <is>
          <t>HUDIKSVALL</t>
        </is>
      </c>
      <c r="G477" t="n">
        <v>23.6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7146-2021</t>
        </is>
      </c>
      <c r="B478" s="1" t="n">
        <v>44238</v>
      </c>
      <c r="C478" s="1" t="n">
        <v>45742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7410-2021</t>
        </is>
      </c>
      <c r="B479" s="1" t="n">
        <v>44239</v>
      </c>
      <c r="C479" s="1" t="n">
        <v>45742</v>
      </c>
      <c r="D479" t="inlineStr">
        <is>
          <t>GÄVLEBORGS LÄN</t>
        </is>
      </c>
      <c r="E479" t="inlineStr">
        <is>
          <t>HUDIKSVALL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7504-2021</t>
        </is>
      </c>
      <c r="B480" s="1" t="n">
        <v>44239</v>
      </c>
      <c r="C480" s="1" t="n">
        <v>45742</v>
      </c>
      <c r="D480" t="inlineStr">
        <is>
          <t>GÄVLEBORGS LÄN</t>
        </is>
      </c>
      <c r="E480" t="inlineStr">
        <is>
          <t>HUDIKSVALL</t>
        </is>
      </c>
      <c r="G480" t="n">
        <v>16.5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7525-2021</t>
        </is>
      </c>
      <c r="B481" s="1" t="n">
        <v>44239</v>
      </c>
      <c r="C481" s="1" t="n">
        <v>45742</v>
      </c>
      <c r="D481" t="inlineStr">
        <is>
          <t>GÄVLEBORGS LÄN</t>
        </is>
      </c>
      <c r="E481" t="inlineStr">
        <is>
          <t>HUDIKSVALL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7533-2021</t>
        </is>
      </c>
      <c r="B482" s="1" t="n">
        <v>44239</v>
      </c>
      <c r="C482" s="1" t="n">
        <v>45742</v>
      </c>
      <c r="D482" t="inlineStr">
        <is>
          <t>GÄVLEBORGS LÄN</t>
        </is>
      </c>
      <c r="E482" t="inlineStr">
        <is>
          <t>HUDIKSVALL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7529-2021</t>
        </is>
      </c>
      <c r="B483" s="1" t="n">
        <v>44239</v>
      </c>
      <c r="C483" s="1" t="n">
        <v>45742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8572-2021</t>
        </is>
      </c>
      <c r="B484" s="1" t="n">
        <v>44244</v>
      </c>
      <c r="C484" s="1" t="n">
        <v>45742</v>
      </c>
      <c r="D484" t="inlineStr">
        <is>
          <t>GÄVLEBORGS LÄN</t>
        </is>
      </c>
      <c r="E484" t="inlineStr">
        <is>
          <t>HUDIKSVALL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8570-2021</t>
        </is>
      </c>
      <c r="B485" s="1" t="n">
        <v>44244</v>
      </c>
      <c r="C485" s="1" t="n">
        <v>45742</v>
      </c>
      <c r="D485" t="inlineStr">
        <is>
          <t>GÄVLEBORGS LÄN</t>
        </is>
      </c>
      <c r="E485" t="inlineStr">
        <is>
          <t>HUDIKSVALL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8569-2021</t>
        </is>
      </c>
      <c r="B486" s="1" t="n">
        <v>44245</v>
      </c>
      <c r="C486" s="1" t="n">
        <v>45742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9094-2021</t>
        </is>
      </c>
      <c r="B487" s="1" t="n">
        <v>44249</v>
      </c>
      <c r="C487" s="1" t="n">
        <v>45742</v>
      </c>
      <c r="D487" t="inlineStr">
        <is>
          <t>GÄVLEBORGS LÄN</t>
        </is>
      </c>
      <c r="E487" t="inlineStr">
        <is>
          <t>HUDIKSVALL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10030-2021</t>
        </is>
      </c>
      <c r="B488" s="1" t="n">
        <v>44256</v>
      </c>
      <c r="C488" s="1" t="n">
        <v>45742</v>
      </c>
      <c r="D488" t="inlineStr">
        <is>
          <t>GÄVLEBORGS LÄN</t>
        </is>
      </c>
      <c r="E488" t="inlineStr">
        <is>
          <t>HUDIKSVALL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10683-2021</t>
        </is>
      </c>
      <c r="B489" s="1" t="n">
        <v>44258</v>
      </c>
      <c r="C489" s="1" t="n">
        <v>45742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10851-2021</t>
        </is>
      </c>
      <c r="B490" s="1" t="n">
        <v>44259</v>
      </c>
      <c r="C490" s="1" t="n">
        <v>45742</v>
      </c>
      <c r="D490" t="inlineStr">
        <is>
          <t>GÄVLEBORGS LÄN</t>
        </is>
      </c>
      <c r="E490" t="inlineStr">
        <is>
          <t>HUDIKSVALL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11051-2021</t>
        </is>
      </c>
      <c r="B491" s="1" t="n">
        <v>44260</v>
      </c>
      <c r="C491" s="1" t="n">
        <v>45742</v>
      </c>
      <c r="D491" t="inlineStr">
        <is>
          <t>GÄVLEBORGS LÄN</t>
        </is>
      </c>
      <c r="E491" t="inlineStr">
        <is>
          <t>HUDIKSVALL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11423-2021</t>
        </is>
      </c>
      <c r="B492" s="1" t="n">
        <v>44263</v>
      </c>
      <c r="C492" s="1" t="n">
        <v>45742</v>
      </c>
      <c r="D492" t="inlineStr">
        <is>
          <t>GÄVLEBORGS LÄN</t>
        </is>
      </c>
      <c r="E492" t="inlineStr">
        <is>
          <t>HUDIKSVALL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11422-2021</t>
        </is>
      </c>
      <c r="B493" s="1" t="n">
        <v>44263</v>
      </c>
      <c r="C493" s="1" t="n">
        <v>45742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12142-2021</t>
        </is>
      </c>
      <c r="B494" s="1" t="n">
        <v>44266</v>
      </c>
      <c r="C494" s="1" t="n">
        <v>45742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13838-2021</t>
        </is>
      </c>
      <c r="B495" s="1" t="n">
        <v>44277</v>
      </c>
      <c r="C495" s="1" t="n">
        <v>45742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15615-2021</t>
        </is>
      </c>
      <c r="B496" s="1" t="n">
        <v>44285</v>
      </c>
      <c r="C496" s="1" t="n">
        <v>45742</v>
      </c>
      <c r="D496" t="inlineStr">
        <is>
          <t>GÄVLEBORGS LÄN</t>
        </is>
      </c>
      <c r="E496" t="inlineStr">
        <is>
          <t>HUDIKSVALL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16559-2021</t>
        </is>
      </c>
      <c r="B497" s="1" t="n">
        <v>44294</v>
      </c>
      <c r="C497" s="1" t="n">
        <v>45742</v>
      </c>
      <c r="D497" t="inlineStr">
        <is>
          <t>GÄVLEBORGS LÄN</t>
        </is>
      </c>
      <c r="E497" t="inlineStr">
        <is>
          <t>HUDIKSVALL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16714-2021</t>
        </is>
      </c>
      <c r="B498" s="1" t="n">
        <v>44294</v>
      </c>
      <c r="C498" s="1" t="n">
        <v>45742</v>
      </c>
      <c r="D498" t="inlineStr">
        <is>
          <t>GÄVLEBORGS LÄN</t>
        </is>
      </c>
      <c r="E498" t="inlineStr">
        <is>
          <t>HUDIKSVALL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16913-2021</t>
        </is>
      </c>
      <c r="B499" s="1" t="n">
        <v>44295</v>
      </c>
      <c r="C499" s="1" t="n">
        <v>45742</v>
      </c>
      <c r="D499" t="inlineStr">
        <is>
          <t>GÄVLEBORGS LÄN</t>
        </is>
      </c>
      <c r="E499" t="inlineStr">
        <is>
          <t>HUDIKSVALL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18082-2021</t>
        </is>
      </c>
      <c r="B500" s="1" t="n">
        <v>44302</v>
      </c>
      <c r="C500" s="1" t="n">
        <v>45742</v>
      </c>
      <c r="D500" t="inlineStr">
        <is>
          <t>GÄVLEBORGS LÄN</t>
        </is>
      </c>
      <c r="E500" t="inlineStr">
        <is>
          <t>HUDIKSVALL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18084-2021</t>
        </is>
      </c>
      <c r="B501" s="1" t="n">
        <v>44302</v>
      </c>
      <c r="C501" s="1" t="n">
        <v>45742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18176-2021</t>
        </is>
      </c>
      <c r="B502" s="1" t="n">
        <v>44302</v>
      </c>
      <c r="C502" s="1" t="n">
        <v>45742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18417-2021</t>
        </is>
      </c>
      <c r="B503" s="1" t="n">
        <v>44305</v>
      </c>
      <c r="C503" s="1" t="n">
        <v>45742</v>
      </c>
      <c r="D503" t="inlineStr">
        <is>
          <t>GÄVLEBORGS LÄN</t>
        </is>
      </c>
      <c r="E503" t="inlineStr">
        <is>
          <t>HUDIKSVALL</t>
        </is>
      </c>
      <c r="F503" t="inlineStr">
        <is>
          <t>Kommuner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18818-2021</t>
        </is>
      </c>
      <c r="B504" s="1" t="n">
        <v>44307</v>
      </c>
      <c r="C504" s="1" t="n">
        <v>45742</v>
      </c>
      <c r="D504" t="inlineStr">
        <is>
          <t>GÄVLEBORGS LÄN</t>
        </is>
      </c>
      <c r="E504" t="inlineStr">
        <is>
          <t>HUDIKSVALL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19100-2021</t>
        </is>
      </c>
      <c r="B505" s="1" t="n">
        <v>44308</v>
      </c>
      <c r="C505" s="1" t="n">
        <v>45742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19109-2021</t>
        </is>
      </c>
      <c r="B506" s="1" t="n">
        <v>44308</v>
      </c>
      <c r="C506" s="1" t="n">
        <v>45742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19655-2021</t>
        </is>
      </c>
      <c r="B507" s="1" t="n">
        <v>44312</v>
      </c>
      <c r="C507" s="1" t="n">
        <v>45742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19995-2021</t>
        </is>
      </c>
      <c r="B508" s="1" t="n">
        <v>44313</v>
      </c>
      <c r="C508" s="1" t="n">
        <v>45742</v>
      </c>
      <c r="D508" t="inlineStr">
        <is>
          <t>GÄVLEBORGS LÄN</t>
        </is>
      </c>
      <c r="E508" t="inlineStr">
        <is>
          <t>HUDIKSVALL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20409-2021</t>
        </is>
      </c>
      <c r="B509" s="1" t="n">
        <v>44315</v>
      </c>
      <c r="C509" s="1" t="n">
        <v>45742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20616-2021</t>
        </is>
      </c>
      <c r="B510" s="1" t="n">
        <v>44316</v>
      </c>
      <c r="C510" s="1" t="n">
        <v>45742</v>
      </c>
      <c r="D510" t="inlineStr">
        <is>
          <t>GÄVLEBORGS LÄN</t>
        </is>
      </c>
      <c r="E510" t="inlineStr">
        <is>
          <t>HUDIKSVALL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20708-2021</t>
        </is>
      </c>
      <c r="B511" s="1" t="n">
        <v>44316</v>
      </c>
      <c r="C511" s="1" t="n">
        <v>45742</v>
      </c>
      <c r="D511" t="inlineStr">
        <is>
          <t>GÄVLEBORGS LÄN</t>
        </is>
      </c>
      <c r="E511" t="inlineStr">
        <is>
          <t>HUDIKSVALL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21688-2021</t>
        </is>
      </c>
      <c r="B512" s="1" t="n">
        <v>44322</v>
      </c>
      <c r="C512" s="1" t="n">
        <v>45742</v>
      </c>
      <c r="D512" t="inlineStr">
        <is>
          <t>GÄVLEBORGS LÄN</t>
        </is>
      </c>
      <c r="E512" t="inlineStr">
        <is>
          <t>HUDIKSVALL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22442-2021</t>
        </is>
      </c>
      <c r="B513" s="1" t="n">
        <v>44326</v>
      </c>
      <c r="C513" s="1" t="n">
        <v>45742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45742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23277-2021</t>
        </is>
      </c>
      <c r="B515" s="1" t="n">
        <v>44333</v>
      </c>
      <c r="C515" s="1" t="n">
        <v>45742</v>
      </c>
      <c r="D515" t="inlineStr">
        <is>
          <t>GÄVLEBORGS LÄN</t>
        </is>
      </c>
      <c r="E515" t="inlineStr">
        <is>
          <t>HUDIKSVALL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23904-2021</t>
        </is>
      </c>
      <c r="B516" s="1" t="n">
        <v>44335</v>
      </c>
      <c r="C516" s="1" t="n">
        <v>45742</v>
      </c>
      <c r="D516" t="inlineStr">
        <is>
          <t>GÄVLEBORGS LÄN</t>
        </is>
      </c>
      <c r="E516" t="inlineStr">
        <is>
          <t>HUDIKSVALL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23908-2021</t>
        </is>
      </c>
      <c r="B517" s="1" t="n">
        <v>44335</v>
      </c>
      <c r="C517" s="1" t="n">
        <v>45742</v>
      </c>
      <c r="D517" t="inlineStr">
        <is>
          <t>GÄVLEBORGS LÄN</t>
        </is>
      </c>
      <c r="E517" t="inlineStr">
        <is>
          <t>HUDIKSVALL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23930-2021</t>
        </is>
      </c>
      <c r="B518" s="1" t="n">
        <v>44335</v>
      </c>
      <c r="C518" s="1" t="n">
        <v>45742</v>
      </c>
      <c r="D518" t="inlineStr">
        <is>
          <t>GÄVLEBORGS LÄN</t>
        </is>
      </c>
      <c r="E518" t="inlineStr">
        <is>
          <t>HUDIKSVALL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23925-2021</t>
        </is>
      </c>
      <c r="B519" s="1" t="n">
        <v>44335</v>
      </c>
      <c r="C519" s="1" t="n">
        <v>45742</v>
      </c>
      <c r="D519" t="inlineStr">
        <is>
          <t>GÄVLEBORGS LÄN</t>
        </is>
      </c>
      <c r="E519" t="inlineStr">
        <is>
          <t>HUDIKSVALL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24162-2021</t>
        </is>
      </c>
      <c r="B520" s="1" t="n">
        <v>44336</v>
      </c>
      <c r="C520" s="1" t="n">
        <v>45742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24367-2021</t>
        </is>
      </c>
      <c r="B521" s="1" t="n">
        <v>44337</v>
      </c>
      <c r="C521" s="1" t="n">
        <v>45742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24745-2021</t>
        </is>
      </c>
      <c r="B522" s="1" t="n">
        <v>44340</v>
      </c>
      <c r="C522" s="1" t="n">
        <v>45742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24663-2021</t>
        </is>
      </c>
      <c r="B523" s="1" t="n">
        <v>44340</v>
      </c>
      <c r="C523" s="1" t="n">
        <v>45742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25149-2021</t>
        </is>
      </c>
      <c r="B524" s="1" t="n">
        <v>44342</v>
      </c>
      <c r="C524" s="1" t="n">
        <v>45742</v>
      </c>
      <c r="D524" t="inlineStr">
        <is>
          <t>GÄVLEBORGS LÄN</t>
        </is>
      </c>
      <c r="E524" t="inlineStr">
        <is>
          <t>HUDIKSVALL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26318-2021</t>
        </is>
      </c>
      <c r="B525" s="1" t="n">
        <v>44347</v>
      </c>
      <c r="C525" s="1" t="n">
        <v>45742</v>
      </c>
      <c r="D525" t="inlineStr">
        <is>
          <t>GÄVLEBORGS LÄN</t>
        </is>
      </c>
      <c r="E525" t="inlineStr">
        <is>
          <t>HUDIKSVALL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26683-2021</t>
        </is>
      </c>
      <c r="B526" s="1" t="n">
        <v>44349</v>
      </c>
      <c r="C526" s="1" t="n">
        <v>45742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26782-2021</t>
        </is>
      </c>
      <c r="B527" s="1" t="n">
        <v>44349</v>
      </c>
      <c r="C527" s="1" t="n">
        <v>45742</v>
      </c>
      <c r="D527" t="inlineStr">
        <is>
          <t>GÄVLEBORGS LÄN</t>
        </is>
      </c>
      <c r="E527" t="inlineStr">
        <is>
          <t>HUDIKSVALL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27083-2021</t>
        </is>
      </c>
      <c r="B528" s="1" t="n">
        <v>44350</v>
      </c>
      <c r="C528" s="1" t="n">
        <v>45742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28100-2021</t>
        </is>
      </c>
      <c r="B529" s="1" t="n">
        <v>44355</v>
      </c>
      <c r="C529" s="1" t="n">
        <v>45742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28148-2021</t>
        </is>
      </c>
      <c r="B530" s="1" t="n">
        <v>44355</v>
      </c>
      <c r="C530" s="1" t="n">
        <v>45742</v>
      </c>
      <c r="D530" t="inlineStr">
        <is>
          <t>GÄVLEBORGS LÄN</t>
        </is>
      </c>
      <c r="E530" t="inlineStr">
        <is>
          <t>HUDIKSVALL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28708-2021</t>
        </is>
      </c>
      <c r="B531" s="1" t="n">
        <v>44357</v>
      </c>
      <c r="C531" s="1" t="n">
        <v>45742</v>
      </c>
      <c r="D531" t="inlineStr">
        <is>
          <t>GÄVLEBORGS LÄN</t>
        </is>
      </c>
      <c r="E531" t="inlineStr">
        <is>
          <t>HUDIKSVALL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29450-2021</t>
        </is>
      </c>
      <c r="B532" s="1" t="n">
        <v>44361</v>
      </c>
      <c r="C532" s="1" t="n">
        <v>45742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29454-2021</t>
        </is>
      </c>
      <c r="B533" s="1" t="n">
        <v>44361</v>
      </c>
      <c r="C533" s="1" t="n">
        <v>45742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29486-2021</t>
        </is>
      </c>
      <c r="B534" s="1" t="n">
        <v>44361</v>
      </c>
      <c r="C534" s="1" t="n">
        <v>45742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29476-2021</t>
        </is>
      </c>
      <c r="B535" s="1" t="n">
        <v>44361</v>
      </c>
      <c r="C535" s="1" t="n">
        <v>45742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29898-2021</t>
        </is>
      </c>
      <c r="B536" s="1" t="n">
        <v>44362</v>
      </c>
      <c r="C536" s="1" t="n">
        <v>45742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29858-2021</t>
        </is>
      </c>
      <c r="B537" s="1" t="n">
        <v>44362</v>
      </c>
      <c r="C537" s="1" t="n">
        <v>45742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30153-2021</t>
        </is>
      </c>
      <c r="B538" s="1" t="n">
        <v>44363</v>
      </c>
      <c r="C538" s="1" t="n">
        <v>45742</v>
      </c>
      <c r="D538" t="inlineStr">
        <is>
          <t>GÄVLEBORGS LÄN</t>
        </is>
      </c>
      <c r="E538" t="inlineStr">
        <is>
          <t>HUDIKSVALL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32644-2021</t>
        </is>
      </c>
      <c r="B539" s="1" t="n">
        <v>44368</v>
      </c>
      <c r="C539" s="1" t="n">
        <v>45742</v>
      </c>
      <c r="D539" t="inlineStr">
        <is>
          <t>GÄVLEBORGS LÄN</t>
        </is>
      </c>
      <c r="E539" t="inlineStr">
        <is>
          <t>HUDIKSVALL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31482-2021</t>
        </is>
      </c>
      <c r="B540" s="1" t="n">
        <v>44369</v>
      </c>
      <c r="C540" s="1" t="n">
        <v>45742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31490-2021</t>
        </is>
      </c>
      <c r="B541" s="1" t="n">
        <v>44369</v>
      </c>
      <c r="C541" s="1" t="n">
        <v>45742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31642-2021</t>
        </is>
      </c>
      <c r="B542" s="1" t="n">
        <v>44369</v>
      </c>
      <c r="C542" s="1" t="n">
        <v>45742</v>
      </c>
      <c r="D542" t="inlineStr">
        <is>
          <t>GÄVLEBORGS LÄN</t>
        </is>
      </c>
      <c r="E542" t="inlineStr">
        <is>
          <t>HUDIKSVALL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31903-2021</t>
        </is>
      </c>
      <c r="B543" s="1" t="n">
        <v>44370</v>
      </c>
      <c r="C543" s="1" t="n">
        <v>45742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31967-2021</t>
        </is>
      </c>
      <c r="B544" s="1" t="n">
        <v>44370</v>
      </c>
      <c r="C544" s="1" t="n">
        <v>45742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32555-2021</t>
        </is>
      </c>
      <c r="B545" s="1" t="n">
        <v>44375</v>
      </c>
      <c r="C545" s="1" t="n">
        <v>45742</v>
      </c>
      <c r="D545" t="inlineStr">
        <is>
          <t>GÄVLEBORGS LÄN</t>
        </is>
      </c>
      <c r="E545" t="inlineStr">
        <is>
          <t>HUDIKSVALL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32577-2021</t>
        </is>
      </c>
      <c r="B546" s="1" t="n">
        <v>44375</v>
      </c>
      <c r="C546" s="1" t="n">
        <v>45742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32883-2021</t>
        </is>
      </c>
      <c r="B547" s="1" t="n">
        <v>44375</v>
      </c>
      <c r="C547" s="1" t="n">
        <v>45742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32823-2021</t>
        </is>
      </c>
      <c r="B548" s="1" t="n">
        <v>44375</v>
      </c>
      <c r="C548" s="1" t="n">
        <v>45742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33078-2021</t>
        </is>
      </c>
      <c r="B549" s="1" t="n">
        <v>44376</v>
      </c>
      <c r="C549" s="1" t="n">
        <v>45742</v>
      </c>
      <c r="D549" t="inlineStr">
        <is>
          <t>GÄVLEBORGS LÄN</t>
        </is>
      </c>
      <c r="E549" t="inlineStr">
        <is>
          <t>HUDIKSVALL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33629-2021</t>
        </is>
      </c>
      <c r="B550" s="1" t="n">
        <v>44378</v>
      </c>
      <c r="C550" s="1" t="n">
        <v>45742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Kyrkan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33591-2021</t>
        </is>
      </c>
      <c r="B551" s="1" t="n">
        <v>44378</v>
      </c>
      <c r="C551" s="1" t="n">
        <v>45742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Kyrkan</t>
        </is>
      </c>
      <c r="G551" t="n">
        <v>16.5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33799-2021</t>
        </is>
      </c>
      <c r="B552" s="1" t="n">
        <v>44378</v>
      </c>
      <c r="C552" s="1" t="n">
        <v>45742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34964-2021</t>
        </is>
      </c>
      <c r="B553" s="1" t="n">
        <v>44383</v>
      </c>
      <c r="C553" s="1" t="n">
        <v>45742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34943-2021</t>
        </is>
      </c>
      <c r="B554" s="1" t="n">
        <v>44383</v>
      </c>
      <c r="C554" s="1" t="n">
        <v>45742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35287-2021</t>
        </is>
      </c>
      <c r="B555" s="1" t="n">
        <v>44384</v>
      </c>
      <c r="C555" s="1" t="n">
        <v>45742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35811-2021</t>
        </is>
      </c>
      <c r="B556" s="1" t="n">
        <v>44386</v>
      </c>
      <c r="C556" s="1" t="n">
        <v>45742</v>
      </c>
      <c r="D556" t="inlineStr">
        <is>
          <t>GÄVLEBORGS LÄN</t>
        </is>
      </c>
      <c r="E556" t="inlineStr">
        <is>
          <t>HUDIKSVALL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36945-2021</t>
        </is>
      </c>
      <c r="B557" s="1" t="n">
        <v>44393</v>
      </c>
      <c r="C557" s="1" t="n">
        <v>45742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37900-2021</t>
        </is>
      </c>
      <c r="B558" s="1" t="n">
        <v>44403</v>
      </c>
      <c r="C558" s="1" t="n">
        <v>45742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38006-2021</t>
        </is>
      </c>
      <c r="B559" s="1" t="n">
        <v>44404</v>
      </c>
      <c r="C559" s="1" t="n">
        <v>45742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37999-2021</t>
        </is>
      </c>
      <c r="B560" s="1" t="n">
        <v>44404</v>
      </c>
      <c r="C560" s="1" t="n">
        <v>45742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38018-2021</t>
        </is>
      </c>
      <c r="B561" s="1" t="n">
        <v>44404</v>
      </c>
      <c r="C561" s="1" t="n">
        <v>45742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39154-2021</t>
        </is>
      </c>
      <c r="B562" s="1" t="n">
        <v>44412</v>
      </c>
      <c r="C562" s="1" t="n">
        <v>45742</v>
      </c>
      <c r="D562" t="inlineStr">
        <is>
          <t>GÄVLEBORGS LÄN</t>
        </is>
      </c>
      <c r="E562" t="inlineStr">
        <is>
          <t>HUDIKSVALL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39156-2021</t>
        </is>
      </c>
      <c r="B563" s="1" t="n">
        <v>44412</v>
      </c>
      <c r="C563" s="1" t="n">
        <v>45742</v>
      </c>
      <c r="D563" t="inlineStr">
        <is>
          <t>GÄVLEBORGS LÄN</t>
        </is>
      </c>
      <c r="E563" t="inlineStr">
        <is>
          <t>HUDIKSVALL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39690-2021</t>
        </is>
      </c>
      <c r="B564" s="1" t="n">
        <v>44417</v>
      </c>
      <c r="C564" s="1" t="n">
        <v>45742</v>
      </c>
      <c r="D564" t="inlineStr">
        <is>
          <t>GÄVLEBORGS LÄN</t>
        </is>
      </c>
      <c r="E564" t="inlineStr">
        <is>
          <t>HUDIKSVALL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41034-2021</t>
        </is>
      </c>
      <c r="B565" s="1" t="n">
        <v>44421</v>
      </c>
      <c r="C565" s="1" t="n">
        <v>45742</v>
      </c>
      <c r="D565" t="inlineStr">
        <is>
          <t>GÄVLEBORGS LÄN</t>
        </is>
      </c>
      <c r="E565" t="inlineStr">
        <is>
          <t>HUDIKSVALL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41241-2021</t>
        </is>
      </c>
      <c r="B566" s="1" t="n">
        <v>44424</v>
      </c>
      <c r="C566" s="1" t="n">
        <v>45742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43314-2021</t>
        </is>
      </c>
      <c r="B567" s="1" t="n">
        <v>44432</v>
      </c>
      <c r="C567" s="1" t="n">
        <v>45742</v>
      </c>
      <c r="D567" t="inlineStr">
        <is>
          <t>GÄVLEBORGS LÄN</t>
        </is>
      </c>
      <c r="E567" t="inlineStr">
        <is>
          <t>HUDIKSVALL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43405-2021</t>
        </is>
      </c>
      <c r="B568" s="1" t="n">
        <v>44432</v>
      </c>
      <c r="C568" s="1" t="n">
        <v>45742</v>
      </c>
      <c r="D568" t="inlineStr">
        <is>
          <t>GÄVLEBORGS LÄN</t>
        </is>
      </c>
      <c r="E568" t="inlineStr">
        <is>
          <t>HUDIKSVALL</t>
        </is>
      </c>
      <c r="F568" t="inlineStr">
        <is>
          <t>Sveaskog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45352-2021</t>
        </is>
      </c>
      <c r="B569" s="1" t="n">
        <v>44439</v>
      </c>
      <c r="C569" s="1" t="n">
        <v>45742</v>
      </c>
      <c r="D569" t="inlineStr">
        <is>
          <t>GÄVLEBORGS LÄN</t>
        </is>
      </c>
      <c r="E569" t="inlineStr">
        <is>
          <t>HUDIKSVALL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48614-2021</t>
        </is>
      </c>
      <c r="B570" s="1" t="n">
        <v>44452</v>
      </c>
      <c r="C570" s="1" t="n">
        <v>45742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48733-2021</t>
        </is>
      </c>
      <c r="B571" s="1" t="n">
        <v>44452</v>
      </c>
      <c r="C571" s="1" t="n">
        <v>45742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48753-2021</t>
        </is>
      </c>
      <c r="B572" s="1" t="n">
        <v>44452</v>
      </c>
      <c r="C572" s="1" t="n">
        <v>45742</v>
      </c>
      <c r="D572" t="inlineStr">
        <is>
          <t>GÄVLEBORGS LÄN</t>
        </is>
      </c>
      <c r="E572" t="inlineStr">
        <is>
          <t>HUDIKSVALL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49092-2021</t>
        </is>
      </c>
      <c r="B573" s="1" t="n">
        <v>44453</v>
      </c>
      <c r="C573" s="1" t="n">
        <v>45742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49147-2021</t>
        </is>
      </c>
      <c r="B574" s="1" t="n">
        <v>44453</v>
      </c>
      <c r="C574" s="1" t="n">
        <v>45742</v>
      </c>
      <c r="D574" t="inlineStr">
        <is>
          <t>GÄVLEBORGS LÄN</t>
        </is>
      </c>
      <c r="E574" t="inlineStr">
        <is>
          <t>HUDIKSVALL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49315-2021</t>
        </is>
      </c>
      <c r="B575" s="1" t="n">
        <v>44454</v>
      </c>
      <c r="C575" s="1" t="n">
        <v>45742</v>
      </c>
      <c r="D575" t="inlineStr">
        <is>
          <t>GÄVLEBORGS LÄN</t>
        </is>
      </c>
      <c r="E575" t="inlineStr">
        <is>
          <t>HUDIKSVALL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49327-2021</t>
        </is>
      </c>
      <c r="B576" s="1" t="n">
        <v>44454</v>
      </c>
      <c r="C576" s="1" t="n">
        <v>45742</v>
      </c>
      <c r="D576" t="inlineStr">
        <is>
          <t>GÄVLEBORGS LÄN</t>
        </is>
      </c>
      <c r="E576" t="inlineStr">
        <is>
          <t>HUDIKSVALL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49405-2021</t>
        </is>
      </c>
      <c r="B577" s="1" t="n">
        <v>44454</v>
      </c>
      <c r="C577" s="1" t="n">
        <v>45742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49604-2021</t>
        </is>
      </c>
      <c r="B578" s="1" t="n">
        <v>44455</v>
      </c>
      <c r="C578" s="1" t="n">
        <v>45742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49928-2021</t>
        </is>
      </c>
      <c r="B579" s="1" t="n">
        <v>44455</v>
      </c>
      <c r="C579" s="1" t="n">
        <v>45742</v>
      </c>
      <c r="D579" t="inlineStr">
        <is>
          <t>GÄVLEBORGS LÄN</t>
        </is>
      </c>
      <c r="E579" t="inlineStr">
        <is>
          <t>HUDIKSVALL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49925-2021</t>
        </is>
      </c>
      <c r="B580" s="1" t="n">
        <v>44456</v>
      </c>
      <c r="C580" s="1" t="n">
        <v>45742</v>
      </c>
      <c r="D580" t="inlineStr">
        <is>
          <t>GÄVLEBORGS LÄN</t>
        </is>
      </c>
      <c r="E580" t="inlineStr">
        <is>
          <t>HUDIKSVALL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50899-2021</t>
        </is>
      </c>
      <c r="B581" s="1" t="n">
        <v>44460</v>
      </c>
      <c r="C581" s="1" t="n">
        <v>45742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51762-2021</t>
        </is>
      </c>
      <c r="B582" s="1" t="n">
        <v>44462</v>
      </c>
      <c r="C582" s="1" t="n">
        <v>45742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51692-2021</t>
        </is>
      </c>
      <c r="B583" s="1" t="n">
        <v>44462</v>
      </c>
      <c r="C583" s="1" t="n">
        <v>45742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51716-2021</t>
        </is>
      </c>
      <c r="B584" s="1" t="n">
        <v>44462</v>
      </c>
      <c r="C584" s="1" t="n">
        <v>45742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52117-2021</t>
        </is>
      </c>
      <c r="B585" s="1" t="n">
        <v>44462</v>
      </c>
      <c r="C585" s="1" t="n">
        <v>45742</v>
      </c>
      <c r="D585" t="inlineStr">
        <is>
          <t>GÄVLEBORGS LÄN</t>
        </is>
      </c>
      <c r="E585" t="inlineStr">
        <is>
          <t>HUDIKSVALL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52256-2021</t>
        </is>
      </c>
      <c r="B586" s="1" t="n">
        <v>44463</v>
      </c>
      <c r="C586" s="1" t="n">
        <v>45742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53397-2021</t>
        </is>
      </c>
      <c r="B587" s="1" t="n">
        <v>44468</v>
      </c>
      <c r="C587" s="1" t="n">
        <v>45742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54126-2021</t>
        </is>
      </c>
      <c r="B588" s="1" t="n">
        <v>44470</v>
      </c>
      <c r="C588" s="1" t="n">
        <v>45742</v>
      </c>
      <c r="D588" t="inlineStr">
        <is>
          <t>GÄVLEBORGS LÄN</t>
        </is>
      </c>
      <c r="E588" t="inlineStr">
        <is>
          <t>HUDIKSVALL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54363-2021</t>
        </is>
      </c>
      <c r="B589" s="1" t="n">
        <v>44473</v>
      </c>
      <c r="C589" s="1" t="n">
        <v>45742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54380-2021</t>
        </is>
      </c>
      <c r="B590" s="1" t="n">
        <v>44473</v>
      </c>
      <c r="C590" s="1" t="n">
        <v>45742</v>
      </c>
      <c r="D590" t="inlineStr">
        <is>
          <t>GÄVLEBORGS LÄN</t>
        </is>
      </c>
      <c r="E590" t="inlineStr">
        <is>
          <t>HUDIKSVALL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54565-2021</t>
        </is>
      </c>
      <c r="B591" s="1" t="n">
        <v>44473</v>
      </c>
      <c r="C591" s="1" t="n">
        <v>45742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55309-2021</t>
        </is>
      </c>
      <c r="B592" s="1" t="n">
        <v>44475</v>
      </c>
      <c r="C592" s="1" t="n">
        <v>45742</v>
      </c>
      <c r="D592" t="inlineStr">
        <is>
          <t>GÄVLEBORGS LÄN</t>
        </is>
      </c>
      <c r="E592" t="inlineStr">
        <is>
          <t>HUDIKSVALL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55336-2021</t>
        </is>
      </c>
      <c r="B593" s="1" t="n">
        <v>44475</v>
      </c>
      <c r="C593" s="1" t="n">
        <v>45742</v>
      </c>
      <c r="D593" t="inlineStr">
        <is>
          <t>GÄVLEBORGS LÄN</t>
        </is>
      </c>
      <c r="E593" t="inlineStr">
        <is>
          <t>HUDIKSVALL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55489-2021</t>
        </is>
      </c>
      <c r="B594" s="1" t="n">
        <v>44475</v>
      </c>
      <c r="C594" s="1" t="n">
        <v>45742</v>
      </c>
      <c r="D594" t="inlineStr">
        <is>
          <t>GÄVLEBORGS LÄN</t>
        </is>
      </c>
      <c r="E594" t="inlineStr">
        <is>
          <t>HUDIKSVALL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55319-2021</t>
        </is>
      </c>
      <c r="B595" s="1" t="n">
        <v>44475</v>
      </c>
      <c r="C595" s="1" t="n">
        <v>45742</v>
      </c>
      <c r="D595" t="inlineStr">
        <is>
          <t>GÄVLEBORGS LÄN</t>
        </is>
      </c>
      <c r="E595" t="inlineStr">
        <is>
          <t>HUDIKSVALL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55330-2021</t>
        </is>
      </c>
      <c r="B596" s="1" t="n">
        <v>44475</v>
      </c>
      <c r="C596" s="1" t="n">
        <v>45742</v>
      </c>
      <c r="D596" t="inlineStr">
        <is>
          <t>GÄVLEBORGS LÄN</t>
        </is>
      </c>
      <c r="E596" t="inlineStr">
        <is>
          <t>HUDIKSVALL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56136-2021</t>
        </is>
      </c>
      <c r="B597" s="1" t="n">
        <v>44477</v>
      </c>
      <c r="C597" s="1" t="n">
        <v>45742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Kommuner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56576-2021</t>
        </is>
      </c>
      <c r="B598" s="1" t="n">
        <v>44480</v>
      </c>
      <c r="C598" s="1" t="n">
        <v>45742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57369-2021</t>
        </is>
      </c>
      <c r="B599" s="1" t="n">
        <v>44483</v>
      </c>
      <c r="C599" s="1" t="n">
        <v>45742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57333-2021</t>
        </is>
      </c>
      <c r="B600" s="1" t="n">
        <v>44483</v>
      </c>
      <c r="C600" s="1" t="n">
        <v>45742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57658-2021</t>
        </is>
      </c>
      <c r="B601" s="1" t="n">
        <v>44484</v>
      </c>
      <c r="C601" s="1" t="n">
        <v>45742</v>
      </c>
      <c r="D601" t="inlineStr">
        <is>
          <t>GÄVLEBORGS LÄN</t>
        </is>
      </c>
      <c r="E601" t="inlineStr">
        <is>
          <t>HUDIKSVALL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57576-2021</t>
        </is>
      </c>
      <c r="B602" s="1" t="n">
        <v>44484</v>
      </c>
      <c r="C602" s="1" t="n">
        <v>45742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57638-2021</t>
        </is>
      </c>
      <c r="B603" s="1" t="n">
        <v>44484</v>
      </c>
      <c r="C603" s="1" t="n">
        <v>45742</v>
      </c>
      <c r="D603" t="inlineStr">
        <is>
          <t>GÄVLEBORGS LÄN</t>
        </is>
      </c>
      <c r="E603" t="inlineStr">
        <is>
          <t>HUDIKSVALL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59513-2021</t>
        </is>
      </c>
      <c r="B604" s="1" t="n">
        <v>44491</v>
      </c>
      <c r="C604" s="1" t="n">
        <v>45742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59593-2021</t>
        </is>
      </c>
      <c r="B605" s="1" t="n">
        <v>44491</v>
      </c>
      <c r="C605" s="1" t="n">
        <v>45742</v>
      </c>
      <c r="D605" t="inlineStr">
        <is>
          <t>GÄVLEBORGS LÄN</t>
        </is>
      </c>
      <c r="E605" t="inlineStr">
        <is>
          <t>HUDIKSVALL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60040-2021</t>
        </is>
      </c>
      <c r="B606" s="1" t="n">
        <v>44495</v>
      </c>
      <c r="C606" s="1" t="n">
        <v>45742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60626-2021</t>
        </is>
      </c>
      <c r="B607" s="1" t="n">
        <v>44496</v>
      </c>
      <c r="C607" s="1" t="n">
        <v>45742</v>
      </c>
      <c r="D607" t="inlineStr">
        <is>
          <t>GÄVLEBORGS LÄN</t>
        </is>
      </c>
      <c r="E607" t="inlineStr">
        <is>
          <t>HUDIKSVALL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60755-2021</t>
        </is>
      </c>
      <c r="B608" s="1" t="n">
        <v>44496</v>
      </c>
      <c r="C608" s="1" t="n">
        <v>45742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62522-2021</t>
        </is>
      </c>
      <c r="B609" s="1" t="n">
        <v>44503</v>
      </c>
      <c r="C609" s="1" t="n">
        <v>45742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62321-2021</t>
        </is>
      </c>
      <c r="B610" s="1" t="n">
        <v>44503</v>
      </c>
      <c r="C610" s="1" t="n">
        <v>45742</v>
      </c>
      <c r="D610" t="inlineStr">
        <is>
          <t>GÄVLEBORGS LÄN</t>
        </is>
      </c>
      <c r="E610" t="inlineStr">
        <is>
          <t>HUDIKSVALL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62532-2021</t>
        </is>
      </c>
      <c r="B611" s="1" t="n">
        <v>44503</v>
      </c>
      <c r="C611" s="1" t="n">
        <v>45742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62568-2021</t>
        </is>
      </c>
      <c r="B612" s="1" t="n">
        <v>44503</v>
      </c>
      <c r="C612" s="1" t="n">
        <v>45742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63825-2021</t>
        </is>
      </c>
      <c r="B613" s="1" t="n">
        <v>44509</v>
      </c>
      <c r="C613" s="1" t="n">
        <v>45742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63783-2021</t>
        </is>
      </c>
      <c r="B614" s="1" t="n">
        <v>44509</v>
      </c>
      <c r="C614" s="1" t="n">
        <v>45742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63798-2021</t>
        </is>
      </c>
      <c r="B615" s="1" t="n">
        <v>44509</v>
      </c>
      <c r="C615" s="1" t="n">
        <v>45742</v>
      </c>
      <c r="D615" t="inlineStr">
        <is>
          <t>GÄVLEBORGS LÄN</t>
        </is>
      </c>
      <c r="E615" t="inlineStr">
        <is>
          <t>HUDIKSVALL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64344-2021</t>
        </is>
      </c>
      <c r="B616" s="1" t="n">
        <v>44511</v>
      </c>
      <c r="C616" s="1" t="n">
        <v>45742</v>
      </c>
      <c r="D616" t="inlineStr">
        <is>
          <t>GÄVLEBORGS LÄN</t>
        </is>
      </c>
      <c r="E616" t="inlineStr">
        <is>
          <t>HUDIKSVALL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64632-2021</t>
        </is>
      </c>
      <c r="B617" s="1" t="n">
        <v>44511</v>
      </c>
      <c r="C617" s="1" t="n">
        <v>45742</v>
      </c>
      <c r="D617" t="inlineStr">
        <is>
          <t>GÄVLEBORGS LÄN</t>
        </is>
      </c>
      <c r="E617" t="inlineStr">
        <is>
          <t>HUDIKSVALL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65363-2021</t>
        </is>
      </c>
      <c r="B618" s="1" t="n">
        <v>44515</v>
      </c>
      <c r="C618" s="1" t="n">
        <v>45742</v>
      </c>
      <c r="D618" t="inlineStr">
        <is>
          <t>GÄVLEBORGS LÄN</t>
        </is>
      </c>
      <c r="E618" t="inlineStr">
        <is>
          <t>HUDIKSVALL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65907-2021</t>
        </is>
      </c>
      <c r="B619" s="1" t="n">
        <v>44517</v>
      </c>
      <c r="C619" s="1" t="n">
        <v>45742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65936-2021</t>
        </is>
      </c>
      <c r="B620" s="1" t="n">
        <v>44517</v>
      </c>
      <c r="C620" s="1" t="n">
        <v>45742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66418-2021</t>
        </is>
      </c>
      <c r="B621" s="1" t="n">
        <v>44518</v>
      </c>
      <c r="C621" s="1" t="n">
        <v>45742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66758-2021</t>
        </is>
      </c>
      <c r="B622" s="1" t="n">
        <v>44521</v>
      </c>
      <c r="C622" s="1" t="n">
        <v>45742</v>
      </c>
      <c r="D622" t="inlineStr">
        <is>
          <t>GÄVLEBORGS LÄN</t>
        </is>
      </c>
      <c r="E622" t="inlineStr">
        <is>
          <t>HUDIKSVALL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67049-2021</t>
        </is>
      </c>
      <c r="B623" s="1" t="n">
        <v>44522</v>
      </c>
      <c r="C623" s="1" t="n">
        <v>45742</v>
      </c>
      <c r="D623" t="inlineStr">
        <is>
          <t>GÄVLEBORGS LÄN</t>
        </is>
      </c>
      <c r="E623" t="inlineStr">
        <is>
          <t>HUDIKSVALL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67082-2021</t>
        </is>
      </c>
      <c r="B624" s="1" t="n">
        <v>44522</v>
      </c>
      <c r="C624" s="1" t="n">
        <v>45742</v>
      </c>
      <c r="D624" t="inlineStr">
        <is>
          <t>GÄVLEBORGS LÄN</t>
        </is>
      </c>
      <c r="E624" t="inlineStr">
        <is>
          <t>HUDIKSVALL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67043-2021</t>
        </is>
      </c>
      <c r="B625" s="1" t="n">
        <v>44522</v>
      </c>
      <c r="C625" s="1" t="n">
        <v>45742</v>
      </c>
      <c r="D625" t="inlineStr">
        <is>
          <t>GÄVLEBORGS LÄN</t>
        </is>
      </c>
      <c r="E625" t="inlineStr">
        <is>
          <t>HUDIKSVALL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67088-2021</t>
        </is>
      </c>
      <c r="B626" s="1" t="n">
        <v>44522</v>
      </c>
      <c r="C626" s="1" t="n">
        <v>45742</v>
      </c>
      <c r="D626" t="inlineStr">
        <is>
          <t>GÄVLEBORGS LÄN</t>
        </is>
      </c>
      <c r="E626" t="inlineStr">
        <is>
          <t>HUDIKSVALL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67307-2021</t>
        </is>
      </c>
      <c r="B627" s="1" t="n">
        <v>44523</v>
      </c>
      <c r="C627" s="1" t="n">
        <v>45742</v>
      </c>
      <c r="D627" t="inlineStr">
        <is>
          <t>GÄVLEBORGS LÄN</t>
        </is>
      </c>
      <c r="E627" t="inlineStr">
        <is>
          <t>HUDIKSVALL</t>
        </is>
      </c>
      <c r="F627" t="inlineStr">
        <is>
          <t>Naturvårdsverket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67558-2021</t>
        </is>
      </c>
      <c r="B628" s="1" t="n">
        <v>44524</v>
      </c>
      <c r="C628" s="1" t="n">
        <v>45742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68154-2021</t>
        </is>
      </c>
      <c r="B629" s="1" t="n">
        <v>44526</v>
      </c>
      <c r="C629" s="1" t="n">
        <v>45742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68342-2021</t>
        </is>
      </c>
      <c r="B630" s="1" t="n">
        <v>44528</v>
      </c>
      <c r="C630" s="1" t="n">
        <v>45742</v>
      </c>
      <c r="D630" t="inlineStr">
        <is>
          <t>GÄVLEBORGS LÄN</t>
        </is>
      </c>
      <c r="E630" t="inlineStr">
        <is>
          <t>HUDIKSVALL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68659-2021</t>
        </is>
      </c>
      <c r="B631" s="1" t="n">
        <v>44529</v>
      </c>
      <c r="C631" s="1" t="n">
        <v>45742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68662-2021</t>
        </is>
      </c>
      <c r="B632" s="1" t="n">
        <v>44529</v>
      </c>
      <c r="C632" s="1" t="n">
        <v>45742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68730-2021</t>
        </is>
      </c>
      <c r="B633" s="1" t="n">
        <v>44529</v>
      </c>
      <c r="C633" s="1" t="n">
        <v>45742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69851-2021</t>
        </is>
      </c>
      <c r="B634" s="1" t="n">
        <v>44532</v>
      </c>
      <c r="C634" s="1" t="n">
        <v>45742</v>
      </c>
      <c r="D634" t="inlineStr">
        <is>
          <t>GÄVLEBORGS LÄN</t>
        </is>
      </c>
      <c r="E634" t="inlineStr">
        <is>
          <t>HUDIKSVALL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70219-2021</t>
        </is>
      </c>
      <c r="B635" s="1" t="n">
        <v>44535</v>
      </c>
      <c r="C635" s="1" t="n">
        <v>45742</v>
      </c>
      <c r="D635" t="inlineStr">
        <is>
          <t>GÄVLEBORGS LÄN</t>
        </is>
      </c>
      <c r="E635" t="inlineStr">
        <is>
          <t>HUDIKSVALL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70264-2021</t>
        </is>
      </c>
      <c r="B636" s="1" t="n">
        <v>44536</v>
      </c>
      <c r="C636" s="1" t="n">
        <v>45742</v>
      </c>
      <c r="D636" t="inlineStr">
        <is>
          <t>GÄVLEBORGS LÄN</t>
        </is>
      </c>
      <c r="E636" t="inlineStr">
        <is>
          <t>HUDIKSVALL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70258-2021</t>
        </is>
      </c>
      <c r="B637" s="1" t="n">
        <v>44536</v>
      </c>
      <c r="C637" s="1" t="n">
        <v>45742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70432-2021</t>
        </is>
      </c>
      <c r="B638" s="1" t="n">
        <v>44536</v>
      </c>
      <c r="C638" s="1" t="n">
        <v>45742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70454-2021</t>
        </is>
      </c>
      <c r="B639" s="1" t="n">
        <v>44536</v>
      </c>
      <c r="C639" s="1" t="n">
        <v>45742</v>
      </c>
      <c r="D639" t="inlineStr">
        <is>
          <t>GÄVLEBORGS LÄN</t>
        </is>
      </c>
      <c r="E639" t="inlineStr">
        <is>
          <t>HUDIKSVALL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71408-2021</t>
        </is>
      </c>
      <c r="B640" s="1" t="n">
        <v>44540</v>
      </c>
      <c r="C640" s="1" t="n">
        <v>45742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72077-2021</t>
        </is>
      </c>
      <c r="B641" s="1" t="n">
        <v>44544</v>
      </c>
      <c r="C641" s="1" t="n">
        <v>45742</v>
      </c>
      <c r="D641" t="inlineStr">
        <is>
          <t>GÄVLEBORGS LÄN</t>
        </is>
      </c>
      <c r="E641" t="inlineStr">
        <is>
          <t>HUDIKSVALL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72083-2021</t>
        </is>
      </c>
      <c r="B642" s="1" t="n">
        <v>44544</v>
      </c>
      <c r="C642" s="1" t="n">
        <v>45742</v>
      </c>
      <c r="D642" t="inlineStr">
        <is>
          <t>GÄVLEBORGS LÄN</t>
        </is>
      </c>
      <c r="E642" t="inlineStr">
        <is>
          <t>HUDIKSVALL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72144-2021</t>
        </is>
      </c>
      <c r="B643" s="1" t="n">
        <v>44544</v>
      </c>
      <c r="C643" s="1" t="n">
        <v>45742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72229-2021</t>
        </is>
      </c>
      <c r="B644" s="1" t="n">
        <v>44544</v>
      </c>
      <c r="C644" s="1" t="n">
        <v>45742</v>
      </c>
      <c r="D644" t="inlineStr">
        <is>
          <t>GÄVLEBORGS LÄN</t>
        </is>
      </c>
      <c r="E644" t="inlineStr">
        <is>
          <t>HUDIKSVALL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72256-2021</t>
        </is>
      </c>
      <c r="B645" s="1" t="n">
        <v>44545</v>
      </c>
      <c r="C645" s="1" t="n">
        <v>45742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72535-2021</t>
        </is>
      </c>
      <c r="B646" s="1" t="n">
        <v>44546</v>
      </c>
      <c r="C646" s="1" t="n">
        <v>45742</v>
      </c>
      <c r="D646" t="inlineStr">
        <is>
          <t>GÄVLEBORGS LÄN</t>
        </is>
      </c>
      <c r="E646" t="inlineStr">
        <is>
          <t>HUDIKSVALL</t>
        </is>
      </c>
      <c r="F646" t="inlineStr">
        <is>
          <t>Sveaskog</t>
        </is>
      </c>
      <c r="G646" t="n">
        <v>23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72678-2021</t>
        </is>
      </c>
      <c r="B647" s="1" t="n">
        <v>44546</v>
      </c>
      <c r="C647" s="1" t="n">
        <v>45742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72899-2021</t>
        </is>
      </c>
      <c r="B648" s="1" t="n">
        <v>44547</v>
      </c>
      <c r="C648" s="1" t="n">
        <v>45742</v>
      </c>
      <c r="D648" t="inlineStr">
        <is>
          <t>GÄVLEBORGS LÄN</t>
        </is>
      </c>
      <c r="E648" t="inlineStr">
        <is>
          <t>HUDIKSVALL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73164-2021</t>
        </is>
      </c>
      <c r="B649" s="1" t="n">
        <v>44550</v>
      </c>
      <c r="C649" s="1" t="n">
        <v>45742</v>
      </c>
      <c r="D649" t="inlineStr">
        <is>
          <t>GÄVLEBORGS LÄN</t>
        </is>
      </c>
      <c r="E649" t="inlineStr">
        <is>
          <t>HUDIKSVALL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74009-2021</t>
        </is>
      </c>
      <c r="B650" s="1" t="n">
        <v>44557</v>
      </c>
      <c r="C650" s="1" t="n">
        <v>45742</v>
      </c>
      <c r="D650" t="inlineStr">
        <is>
          <t>GÄVLEBORGS LÄN</t>
        </is>
      </c>
      <c r="E650" t="inlineStr">
        <is>
          <t>HUDIKSVALL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480-2022</t>
        </is>
      </c>
      <c r="B651" s="1" t="n">
        <v>44566</v>
      </c>
      <c r="C651" s="1" t="n">
        <v>45742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486-2022</t>
        </is>
      </c>
      <c r="B652" s="1" t="n">
        <v>44566</v>
      </c>
      <c r="C652" s="1" t="n">
        <v>45742</v>
      </c>
      <c r="D652" t="inlineStr">
        <is>
          <t>GÄVLEBORGS LÄN</t>
        </is>
      </c>
      <c r="E652" t="inlineStr">
        <is>
          <t>HUDIKSVALL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884-2022</t>
        </is>
      </c>
      <c r="B653" s="1" t="n">
        <v>44568</v>
      </c>
      <c r="C653" s="1" t="n">
        <v>45742</v>
      </c>
      <c r="D653" t="inlineStr">
        <is>
          <t>GÄVLEBORGS LÄN</t>
        </is>
      </c>
      <c r="E653" t="inlineStr">
        <is>
          <t>HUDIKSVALL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816-2022</t>
        </is>
      </c>
      <c r="B654" s="1" t="n">
        <v>44571</v>
      </c>
      <c r="C654" s="1" t="n">
        <v>45742</v>
      </c>
      <c r="D654" t="inlineStr">
        <is>
          <t>GÄVLEBORGS LÄN</t>
        </is>
      </c>
      <c r="E654" t="inlineStr">
        <is>
          <t>HUDIKSVALL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1377-2022</t>
        </is>
      </c>
      <c r="B655" s="1" t="n">
        <v>44573</v>
      </c>
      <c r="C655" s="1" t="n">
        <v>45742</v>
      </c>
      <c r="D655" t="inlineStr">
        <is>
          <t>GÄVLEBORGS LÄN</t>
        </is>
      </c>
      <c r="E655" t="inlineStr">
        <is>
          <t>HUDIKSVALL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1699-2022</t>
        </is>
      </c>
      <c r="B656" s="1" t="n">
        <v>44574</v>
      </c>
      <c r="C656" s="1" t="n">
        <v>45742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1707-2022</t>
        </is>
      </c>
      <c r="B657" s="1" t="n">
        <v>44574</v>
      </c>
      <c r="C657" s="1" t="n">
        <v>45742</v>
      </c>
      <c r="D657" t="inlineStr">
        <is>
          <t>GÄVLEBORGS LÄN</t>
        </is>
      </c>
      <c r="E657" t="inlineStr">
        <is>
          <t>HUDIKSVALL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2267-2022</t>
        </is>
      </c>
      <c r="B658" s="1" t="n">
        <v>44578</v>
      </c>
      <c r="C658" s="1" t="n">
        <v>45742</v>
      </c>
      <c r="D658" t="inlineStr">
        <is>
          <t>GÄVLEBORGS LÄN</t>
        </is>
      </c>
      <c r="E658" t="inlineStr">
        <is>
          <t>HUDIKSVALL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2232-2022</t>
        </is>
      </c>
      <c r="B659" s="1" t="n">
        <v>44578</v>
      </c>
      <c r="C659" s="1" t="n">
        <v>45742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2280-2022</t>
        </is>
      </c>
      <c r="B660" s="1" t="n">
        <v>44578</v>
      </c>
      <c r="C660" s="1" t="n">
        <v>45742</v>
      </c>
      <c r="D660" t="inlineStr">
        <is>
          <t>GÄVLEBORGS LÄN</t>
        </is>
      </c>
      <c r="E660" t="inlineStr">
        <is>
          <t>HUDIKSVALL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3851-2022</t>
        </is>
      </c>
      <c r="B661" s="1" t="n">
        <v>44587</v>
      </c>
      <c r="C661" s="1" t="n">
        <v>45742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4225-2022</t>
        </is>
      </c>
      <c r="B662" s="1" t="n">
        <v>44588</v>
      </c>
      <c r="C662" s="1" t="n">
        <v>45742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4759-2022</t>
        </is>
      </c>
      <c r="B663" s="1" t="n">
        <v>44592</v>
      </c>
      <c r="C663" s="1" t="n">
        <v>45742</v>
      </c>
      <c r="D663" t="inlineStr">
        <is>
          <t>GÄVLEBORGS LÄN</t>
        </is>
      </c>
      <c r="E663" t="inlineStr">
        <is>
          <t>HUDIKSVALL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5033-2022</t>
        </is>
      </c>
      <c r="B664" s="1" t="n">
        <v>44593</v>
      </c>
      <c r="C664" s="1" t="n">
        <v>45742</v>
      </c>
      <c r="D664" t="inlineStr">
        <is>
          <t>GÄVLEBORGS LÄN</t>
        </is>
      </c>
      <c r="E664" t="inlineStr">
        <is>
          <t>HUDIKSVALL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5315-2022</t>
        </is>
      </c>
      <c r="B665" s="1" t="n">
        <v>44594</v>
      </c>
      <c r="C665" s="1" t="n">
        <v>45742</v>
      </c>
      <c r="D665" t="inlineStr">
        <is>
          <t>GÄVLEBORGS LÄN</t>
        </is>
      </c>
      <c r="E665" t="inlineStr">
        <is>
          <t>HUDIKSVALL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7548-2022</t>
        </is>
      </c>
      <c r="B666" s="1" t="n">
        <v>44607</v>
      </c>
      <c r="C666" s="1" t="n">
        <v>45742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8005-2022</t>
        </is>
      </c>
      <c r="B667" s="1" t="n">
        <v>44609</v>
      </c>
      <c r="C667" s="1" t="n">
        <v>45742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8081-2022</t>
        </is>
      </c>
      <c r="B668" s="1" t="n">
        <v>44609</v>
      </c>
      <c r="C668" s="1" t="n">
        <v>45742</v>
      </c>
      <c r="D668" t="inlineStr">
        <is>
          <t>GÄVLEBORGS LÄN</t>
        </is>
      </c>
      <c r="E668" t="inlineStr">
        <is>
          <t>HUDIKSVALL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8133-2022</t>
        </is>
      </c>
      <c r="B669" s="1" t="n">
        <v>44609</v>
      </c>
      <c r="C669" s="1" t="n">
        <v>45742</v>
      </c>
      <c r="D669" t="inlineStr">
        <is>
          <t>GÄVLEBORGS LÄN</t>
        </is>
      </c>
      <c r="E669" t="inlineStr">
        <is>
          <t>HUDIKSVALL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8246-2022</t>
        </is>
      </c>
      <c r="B670" s="1" t="n">
        <v>44610</v>
      </c>
      <c r="C670" s="1" t="n">
        <v>45742</v>
      </c>
      <c r="D670" t="inlineStr">
        <is>
          <t>GÄVLEBORGS LÄN</t>
        </is>
      </c>
      <c r="E670" t="inlineStr">
        <is>
          <t>HUDIKSVALL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8268-2022</t>
        </is>
      </c>
      <c r="B671" s="1" t="n">
        <v>44610</v>
      </c>
      <c r="C671" s="1" t="n">
        <v>45742</v>
      </c>
      <c r="D671" t="inlineStr">
        <is>
          <t>GÄVLEBORGS LÄN</t>
        </is>
      </c>
      <c r="E671" t="inlineStr">
        <is>
          <t>HUDIKSVALL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8328-2022</t>
        </is>
      </c>
      <c r="B672" s="1" t="n">
        <v>44610</v>
      </c>
      <c r="C672" s="1" t="n">
        <v>45742</v>
      </c>
      <c r="D672" t="inlineStr">
        <is>
          <t>GÄVLEBORGS LÄN</t>
        </is>
      </c>
      <c r="E672" t="inlineStr">
        <is>
          <t>HUDIKSVALL</t>
        </is>
      </c>
      <c r="G672" t="n">
        <v>11.9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8269-2022</t>
        </is>
      </c>
      <c r="B673" s="1" t="n">
        <v>44610</v>
      </c>
      <c r="C673" s="1" t="n">
        <v>45742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8281-2022</t>
        </is>
      </c>
      <c r="B674" s="1" t="n">
        <v>44610</v>
      </c>
      <c r="C674" s="1" t="n">
        <v>45742</v>
      </c>
      <c r="D674" t="inlineStr">
        <is>
          <t>GÄVLEBORGS LÄN</t>
        </is>
      </c>
      <c r="E674" t="inlineStr">
        <is>
          <t>HUDIKSVALL</t>
        </is>
      </c>
      <c r="G674" t="n">
        <v>13.9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8680-2022</t>
        </is>
      </c>
      <c r="B675" s="1" t="n">
        <v>44613</v>
      </c>
      <c r="C675" s="1" t="n">
        <v>45742</v>
      </c>
      <c r="D675" t="inlineStr">
        <is>
          <t>GÄVLEBORGS LÄN</t>
        </is>
      </c>
      <c r="E675" t="inlineStr">
        <is>
          <t>HUDIKSVALL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8952-2022</t>
        </is>
      </c>
      <c r="B676" s="1" t="n">
        <v>44614</v>
      </c>
      <c r="C676" s="1" t="n">
        <v>45742</v>
      </c>
      <c r="D676" t="inlineStr">
        <is>
          <t>GÄVLEBORGS LÄN</t>
        </is>
      </c>
      <c r="E676" t="inlineStr">
        <is>
          <t>HUDIKSVALL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9309-2022</t>
        </is>
      </c>
      <c r="B677" s="1" t="n">
        <v>44616</v>
      </c>
      <c r="C677" s="1" t="n">
        <v>45742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10829-2022</t>
        </is>
      </c>
      <c r="B678" s="1" t="n">
        <v>44627</v>
      </c>
      <c r="C678" s="1" t="n">
        <v>45742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10858-2022</t>
        </is>
      </c>
      <c r="B679" s="1" t="n">
        <v>44627</v>
      </c>
      <c r="C679" s="1" t="n">
        <v>45742</v>
      </c>
      <c r="D679" t="inlineStr">
        <is>
          <t>GÄVLEBORGS LÄN</t>
        </is>
      </c>
      <c r="E679" t="inlineStr">
        <is>
          <t>HUDIKSVALL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10843-2022</t>
        </is>
      </c>
      <c r="B680" s="1" t="n">
        <v>44627</v>
      </c>
      <c r="C680" s="1" t="n">
        <v>45742</v>
      </c>
      <c r="D680" t="inlineStr">
        <is>
          <t>GÄVLEBORGS LÄN</t>
        </is>
      </c>
      <c r="E680" t="inlineStr">
        <is>
          <t>HUDIKSVALL</t>
        </is>
      </c>
      <c r="G680" t="n">
        <v>15.4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11172-2022</t>
        </is>
      </c>
      <c r="B681" s="1" t="n">
        <v>44629</v>
      </c>
      <c r="C681" s="1" t="n">
        <v>45742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11519-2022</t>
        </is>
      </c>
      <c r="B682" s="1" t="n">
        <v>44631</v>
      </c>
      <c r="C682" s="1" t="n">
        <v>45742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11759-2022</t>
        </is>
      </c>
      <c r="B683" s="1" t="n">
        <v>44634</v>
      </c>
      <c r="C683" s="1" t="n">
        <v>45742</v>
      </c>
      <c r="D683" t="inlineStr">
        <is>
          <t>GÄVLEBORGS LÄN</t>
        </is>
      </c>
      <c r="E683" t="inlineStr">
        <is>
          <t>HUDIKSVALL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11969-2022</t>
        </is>
      </c>
      <c r="B684" s="1" t="n">
        <v>44635</v>
      </c>
      <c r="C684" s="1" t="n">
        <v>45742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11964-2022</t>
        </is>
      </c>
      <c r="B685" s="1" t="n">
        <v>44635</v>
      </c>
      <c r="C685" s="1" t="n">
        <v>45742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12340-2022</t>
        </is>
      </c>
      <c r="B686" s="1" t="n">
        <v>44637</v>
      </c>
      <c r="C686" s="1" t="n">
        <v>45742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13235-2022</t>
        </is>
      </c>
      <c r="B687" s="1" t="n">
        <v>44644</v>
      </c>
      <c r="C687" s="1" t="n">
        <v>45742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13795-2022</t>
        </is>
      </c>
      <c r="B688" s="1" t="n">
        <v>44649</v>
      </c>
      <c r="C688" s="1" t="n">
        <v>45742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13738-2022</t>
        </is>
      </c>
      <c r="B689" s="1" t="n">
        <v>44649</v>
      </c>
      <c r="C689" s="1" t="n">
        <v>45742</v>
      </c>
      <c r="D689" t="inlineStr">
        <is>
          <t>GÄVLEBORGS LÄN</t>
        </is>
      </c>
      <c r="E689" t="inlineStr">
        <is>
          <t>HUDIKSVALL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13819-2022</t>
        </is>
      </c>
      <c r="B690" s="1" t="n">
        <v>44649</v>
      </c>
      <c r="C690" s="1" t="n">
        <v>45742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13734-2022</t>
        </is>
      </c>
      <c r="B691" s="1" t="n">
        <v>44649</v>
      </c>
      <c r="C691" s="1" t="n">
        <v>45742</v>
      </c>
      <c r="D691" t="inlineStr">
        <is>
          <t>GÄVLEBORGS LÄN</t>
        </is>
      </c>
      <c r="E691" t="inlineStr">
        <is>
          <t>HUDIKSVALL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13740-2022</t>
        </is>
      </c>
      <c r="B692" s="1" t="n">
        <v>44649</v>
      </c>
      <c r="C692" s="1" t="n">
        <v>45742</v>
      </c>
      <c r="D692" t="inlineStr">
        <is>
          <t>GÄVLEBORGS LÄN</t>
        </is>
      </c>
      <c r="E692" t="inlineStr">
        <is>
          <t>HUDIKSVALL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13759-2022</t>
        </is>
      </c>
      <c r="B693" s="1" t="n">
        <v>44649</v>
      </c>
      <c r="C693" s="1" t="n">
        <v>45742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13809-2022</t>
        </is>
      </c>
      <c r="B694" s="1" t="n">
        <v>44649</v>
      </c>
      <c r="C694" s="1" t="n">
        <v>45742</v>
      </c>
      <c r="D694" t="inlineStr">
        <is>
          <t>GÄVLEBORGS LÄN</t>
        </is>
      </c>
      <c r="E694" t="inlineStr">
        <is>
          <t>HUDIKSVALL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13816-2022</t>
        </is>
      </c>
      <c r="B695" s="1" t="n">
        <v>44649</v>
      </c>
      <c r="C695" s="1" t="n">
        <v>45742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14399-2022</t>
        </is>
      </c>
      <c r="B696" s="1" t="n">
        <v>44652</v>
      </c>
      <c r="C696" s="1" t="n">
        <v>45742</v>
      </c>
      <c r="D696" t="inlineStr">
        <is>
          <t>GÄVLEBORGS LÄN</t>
        </is>
      </c>
      <c r="E696" t="inlineStr">
        <is>
          <t>HUDIKSVALL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14394-2022</t>
        </is>
      </c>
      <c r="B697" s="1" t="n">
        <v>44652</v>
      </c>
      <c r="C697" s="1" t="n">
        <v>45742</v>
      </c>
      <c r="D697" t="inlineStr">
        <is>
          <t>GÄVLEBORGS LÄN</t>
        </is>
      </c>
      <c r="E697" t="inlineStr">
        <is>
          <t>HUDIKSVALL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14409-2022</t>
        </is>
      </c>
      <c r="B698" s="1" t="n">
        <v>44652</v>
      </c>
      <c r="C698" s="1" t="n">
        <v>45742</v>
      </c>
      <c r="D698" t="inlineStr">
        <is>
          <t>GÄVLEBORGS LÄN</t>
        </is>
      </c>
      <c r="E698" t="inlineStr">
        <is>
          <t>HUDIKSVALL</t>
        </is>
      </c>
      <c r="G698" t="n">
        <v>23.2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14621-2022</t>
        </is>
      </c>
      <c r="B699" s="1" t="n">
        <v>44655</v>
      </c>
      <c r="C699" s="1" t="n">
        <v>45742</v>
      </c>
      <c r="D699" t="inlineStr">
        <is>
          <t>GÄVLEBORGS LÄN</t>
        </is>
      </c>
      <c r="E699" t="inlineStr">
        <is>
          <t>HUDIKSVALL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14710-2022</t>
        </is>
      </c>
      <c r="B700" s="1" t="n">
        <v>44656</v>
      </c>
      <c r="C700" s="1" t="n">
        <v>45742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15097-2022</t>
        </is>
      </c>
      <c r="B701" s="1" t="n">
        <v>44658</v>
      </c>
      <c r="C701" s="1" t="n">
        <v>45742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15151-2022</t>
        </is>
      </c>
      <c r="B702" s="1" t="n">
        <v>44658</v>
      </c>
      <c r="C702" s="1" t="n">
        <v>45742</v>
      </c>
      <c r="D702" t="inlineStr">
        <is>
          <t>GÄVLEBORGS LÄN</t>
        </is>
      </c>
      <c r="E702" t="inlineStr">
        <is>
          <t>HUDIKSVALL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15114-2022</t>
        </is>
      </c>
      <c r="B703" s="1" t="n">
        <v>44658</v>
      </c>
      <c r="C703" s="1" t="n">
        <v>45742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15144-2022</t>
        </is>
      </c>
      <c r="B704" s="1" t="n">
        <v>44658</v>
      </c>
      <c r="C704" s="1" t="n">
        <v>45742</v>
      </c>
      <c r="D704" t="inlineStr">
        <is>
          <t>GÄVLEBORGS LÄN</t>
        </is>
      </c>
      <c r="E704" t="inlineStr">
        <is>
          <t>HUDIKSVALL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15387-2022</t>
        </is>
      </c>
      <c r="B705" s="1" t="n">
        <v>44659</v>
      </c>
      <c r="C705" s="1" t="n">
        <v>45742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15616-2022</t>
        </is>
      </c>
      <c r="B706" s="1" t="n">
        <v>44662</v>
      </c>
      <c r="C706" s="1" t="n">
        <v>45742</v>
      </c>
      <c r="D706" t="inlineStr">
        <is>
          <t>GÄVLEBORGS LÄN</t>
        </is>
      </c>
      <c r="E706" t="inlineStr">
        <is>
          <t>HUDIKSVALL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15876-2022</t>
        </is>
      </c>
      <c r="B707" s="1" t="n">
        <v>44664</v>
      </c>
      <c r="C707" s="1" t="n">
        <v>45742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15918-2022</t>
        </is>
      </c>
      <c r="B708" s="1" t="n">
        <v>44664</v>
      </c>
      <c r="C708" s="1" t="n">
        <v>45742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16344-2022</t>
        </is>
      </c>
      <c r="B709" s="1" t="n">
        <v>44670</v>
      </c>
      <c r="C709" s="1" t="n">
        <v>45742</v>
      </c>
      <c r="D709" t="inlineStr">
        <is>
          <t>GÄVLEBORGS LÄN</t>
        </is>
      </c>
      <c r="E709" t="inlineStr">
        <is>
          <t>HUDIKSVALL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16357-2022</t>
        </is>
      </c>
      <c r="B710" s="1" t="n">
        <v>44671</v>
      </c>
      <c r="C710" s="1" t="n">
        <v>45742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16355-2022</t>
        </is>
      </c>
      <c r="B711" s="1" t="n">
        <v>44671</v>
      </c>
      <c r="C711" s="1" t="n">
        <v>45742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16356-2022</t>
        </is>
      </c>
      <c r="B712" s="1" t="n">
        <v>44671</v>
      </c>
      <c r="C712" s="1" t="n">
        <v>45742</v>
      </c>
      <c r="D712" t="inlineStr">
        <is>
          <t>GÄVLEBORGS LÄN</t>
        </is>
      </c>
      <c r="E712" t="inlineStr">
        <is>
          <t>HUDIKSVALL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16919-2022</t>
        </is>
      </c>
      <c r="B713" s="1" t="n">
        <v>44676</v>
      </c>
      <c r="C713" s="1" t="n">
        <v>45742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17322-2022</t>
        </is>
      </c>
      <c r="B714" s="1" t="n">
        <v>44678</v>
      </c>
      <c r="C714" s="1" t="n">
        <v>45742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17342-2022</t>
        </is>
      </c>
      <c r="B715" s="1" t="n">
        <v>44678</v>
      </c>
      <c r="C715" s="1" t="n">
        <v>45742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17293-2022</t>
        </is>
      </c>
      <c r="B716" s="1" t="n">
        <v>44678</v>
      </c>
      <c r="C716" s="1" t="n">
        <v>45742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17962-2022</t>
        </is>
      </c>
      <c r="B717" s="1" t="n">
        <v>44683</v>
      </c>
      <c r="C717" s="1" t="n">
        <v>45742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18309-2022</t>
        </is>
      </c>
      <c r="B718" s="1" t="n">
        <v>44685</v>
      </c>
      <c r="C718" s="1" t="n">
        <v>45742</v>
      </c>
      <c r="D718" t="inlineStr">
        <is>
          <t>GÄVLEBORGS LÄN</t>
        </is>
      </c>
      <c r="E718" t="inlineStr">
        <is>
          <t>HUDIKSVALL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18235-2022</t>
        </is>
      </c>
      <c r="B719" s="1" t="n">
        <v>44685</v>
      </c>
      <c r="C719" s="1" t="n">
        <v>45742</v>
      </c>
      <c r="D719" t="inlineStr">
        <is>
          <t>GÄVLEBORGS LÄN</t>
        </is>
      </c>
      <c r="E719" t="inlineStr">
        <is>
          <t>HUDIKSVALL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18480-2022</t>
        </is>
      </c>
      <c r="B720" s="1" t="n">
        <v>44686</v>
      </c>
      <c r="C720" s="1" t="n">
        <v>45742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18797-2022</t>
        </is>
      </c>
      <c r="B721" s="1" t="n">
        <v>44690</v>
      </c>
      <c r="C721" s="1" t="n">
        <v>45742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18864-2022</t>
        </is>
      </c>
      <c r="B722" s="1" t="n">
        <v>44690</v>
      </c>
      <c r="C722" s="1" t="n">
        <v>45742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18874-2022</t>
        </is>
      </c>
      <c r="B723" s="1" t="n">
        <v>44690</v>
      </c>
      <c r="C723" s="1" t="n">
        <v>45742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18919-2022</t>
        </is>
      </c>
      <c r="B724" s="1" t="n">
        <v>44690</v>
      </c>
      <c r="C724" s="1" t="n">
        <v>45742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19187-2022</t>
        </is>
      </c>
      <c r="B725" s="1" t="n">
        <v>44691</v>
      </c>
      <c r="C725" s="1" t="n">
        <v>45742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19346-2022</t>
        </is>
      </c>
      <c r="B726" s="1" t="n">
        <v>44692</v>
      </c>
      <c r="C726" s="1" t="n">
        <v>45742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19343-2022</t>
        </is>
      </c>
      <c r="B727" s="1" t="n">
        <v>44692</v>
      </c>
      <c r="C727" s="1" t="n">
        <v>45742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19365-2022</t>
        </is>
      </c>
      <c r="B728" s="1" t="n">
        <v>44692</v>
      </c>
      <c r="C728" s="1" t="n">
        <v>45742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19660-2022</t>
        </is>
      </c>
      <c r="B729" s="1" t="n">
        <v>44694</v>
      </c>
      <c r="C729" s="1" t="n">
        <v>45742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20017-2022</t>
        </is>
      </c>
      <c r="B730" s="1" t="n">
        <v>44697</v>
      </c>
      <c r="C730" s="1" t="n">
        <v>45742</v>
      </c>
      <c r="D730" t="inlineStr">
        <is>
          <t>GÄVLEBORGS LÄN</t>
        </is>
      </c>
      <c r="E730" t="inlineStr">
        <is>
          <t>HUDIKSVALL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20022-2022</t>
        </is>
      </c>
      <c r="B731" s="1" t="n">
        <v>44697</v>
      </c>
      <c r="C731" s="1" t="n">
        <v>45742</v>
      </c>
      <c r="D731" t="inlineStr">
        <is>
          <t>GÄVLEBORGS LÄN</t>
        </is>
      </c>
      <c r="E731" t="inlineStr">
        <is>
          <t>HUDIKSVALL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20602-2022</t>
        </is>
      </c>
      <c r="B732" s="1" t="n">
        <v>44700</v>
      </c>
      <c r="C732" s="1" t="n">
        <v>45742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20675-2022</t>
        </is>
      </c>
      <c r="B733" s="1" t="n">
        <v>44700</v>
      </c>
      <c r="C733" s="1" t="n">
        <v>45742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20670-2022</t>
        </is>
      </c>
      <c r="B734" s="1" t="n">
        <v>44700</v>
      </c>
      <c r="C734" s="1" t="n">
        <v>45742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21382-2022</t>
        </is>
      </c>
      <c r="B735" s="1" t="n">
        <v>44705</v>
      </c>
      <c r="C735" s="1" t="n">
        <v>45742</v>
      </c>
      <c r="D735" t="inlineStr">
        <is>
          <t>GÄVLEBORGS LÄN</t>
        </is>
      </c>
      <c r="E735" t="inlineStr">
        <is>
          <t>HUDIKSVALL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21436-2022</t>
        </is>
      </c>
      <c r="B736" s="1" t="n">
        <v>44706</v>
      </c>
      <c r="C736" s="1" t="n">
        <v>45742</v>
      </c>
      <c r="D736" t="inlineStr">
        <is>
          <t>GÄVLEBORGS LÄN</t>
        </is>
      </c>
      <c r="E736" t="inlineStr">
        <is>
          <t>HUDIKSVALL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21525-2022</t>
        </is>
      </c>
      <c r="B737" s="1" t="n">
        <v>44706</v>
      </c>
      <c r="C737" s="1" t="n">
        <v>45742</v>
      </c>
      <c r="D737" t="inlineStr">
        <is>
          <t>GÄVLEBORGS LÄN</t>
        </is>
      </c>
      <c r="E737" t="inlineStr">
        <is>
          <t>HUDIKSVALL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21540-2022</t>
        </is>
      </c>
      <c r="B738" s="1" t="n">
        <v>44706</v>
      </c>
      <c r="C738" s="1" t="n">
        <v>45742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21561-2022</t>
        </is>
      </c>
      <c r="B739" s="1" t="n">
        <v>44706</v>
      </c>
      <c r="C739" s="1" t="n">
        <v>45742</v>
      </c>
      <c r="D739" t="inlineStr">
        <is>
          <t>GÄVLEBORGS LÄN</t>
        </is>
      </c>
      <c r="E739" t="inlineStr">
        <is>
          <t>HUDIKSVALL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21877-2022</t>
        </is>
      </c>
      <c r="B740" s="1" t="n">
        <v>44711</v>
      </c>
      <c r="C740" s="1" t="n">
        <v>45742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22136-2022</t>
        </is>
      </c>
      <c r="B741" s="1" t="n">
        <v>44712</v>
      </c>
      <c r="C741" s="1" t="n">
        <v>45742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22165-2022</t>
        </is>
      </c>
      <c r="B742" s="1" t="n">
        <v>44712</v>
      </c>
      <c r="C742" s="1" t="n">
        <v>45742</v>
      </c>
      <c r="D742" t="inlineStr">
        <is>
          <t>GÄVLEBORGS LÄN</t>
        </is>
      </c>
      <c r="E742" t="inlineStr">
        <is>
          <t>HUDIKSVALL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22198-2022</t>
        </is>
      </c>
      <c r="B743" s="1" t="n">
        <v>44712</v>
      </c>
      <c r="C743" s="1" t="n">
        <v>45742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23132-2022</t>
        </is>
      </c>
      <c r="B744" s="1" t="n">
        <v>44719</v>
      </c>
      <c r="C744" s="1" t="n">
        <v>45742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23919-2022</t>
        </is>
      </c>
      <c r="B745" s="1" t="n">
        <v>44722</v>
      </c>
      <c r="C745" s="1" t="n">
        <v>45742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24470-2022</t>
        </is>
      </c>
      <c r="B746" s="1" t="n">
        <v>44726</v>
      </c>
      <c r="C746" s="1" t="n">
        <v>45742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24806-2022</t>
        </is>
      </c>
      <c r="B747" s="1" t="n">
        <v>44728</v>
      </c>
      <c r="C747" s="1" t="n">
        <v>45742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7.1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24808-2022</t>
        </is>
      </c>
      <c r="B748" s="1" t="n">
        <v>44728</v>
      </c>
      <c r="C748" s="1" t="n">
        <v>45742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24872-2022</t>
        </is>
      </c>
      <c r="B749" s="1" t="n">
        <v>44728</v>
      </c>
      <c r="C749" s="1" t="n">
        <v>45742</v>
      </c>
      <c r="D749" t="inlineStr">
        <is>
          <t>GÄVLEBORGS LÄN</t>
        </is>
      </c>
      <c r="E749" t="inlineStr">
        <is>
          <t>HUDIKSVALL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25349-2022</t>
        </is>
      </c>
      <c r="B750" s="1" t="n">
        <v>44732</v>
      </c>
      <c r="C750" s="1" t="n">
        <v>45742</v>
      </c>
      <c r="D750" t="inlineStr">
        <is>
          <t>GÄVLEBORGS LÄN</t>
        </is>
      </c>
      <c r="E750" t="inlineStr">
        <is>
          <t>HUDIKSVALL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26651-2022</t>
        </is>
      </c>
      <c r="B751" s="1" t="n">
        <v>44739</v>
      </c>
      <c r="C751" s="1" t="n">
        <v>45742</v>
      </c>
      <c r="D751" t="inlineStr">
        <is>
          <t>GÄVLEBORGS LÄN</t>
        </is>
      </c>
      <c r="E751" t="inlineStr">
        <is>
          <t>HUDIKSVALL</t>
        </is>
      </c>
      <c r="F751" t="inlineStr">
        <is>
          <t>Naturvårdsverket</t>
        </is>
      </c>
      <c r="G751" t="n">
        <v>14.7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27060-2022</t>
        </is>
      </c>
      <c r="B752" s="1" t="n">
        <v>44741</v>
      </c>
      <c r="C752" s="1" t="n">
        <v>45742</v>
      </c>
      <c r="D752" t="inlineStr">
        <is>
          <t>GÄVLEBORGS LÄN</t>
        </is>
      </c>
      <c r="E752" t="inlineStr">
        <is>
          <t>HUDIKSVALL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27051-2022</t>
        </is>
      </c>
      <c r="B753" s="1" t="n">
        <v>44741</v>
      </c>
      <c r="C753" s="1" t="n">
        <v>45742</v>
      </c>
      <c r="D753" t="inlineStr">
        <is>
          <t>GÄVLEBORGS LÄN</t>
        </is>
      </c>
      <c r="E753" t="inlineStr">
        <is>
          <t>HUDIKSVALL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28007-2022</t>
        </is>
      </c>
      <c r="B754" s="1" t="n">
        <v>44746</v>
      </c>
      <c r="C754" s="1" t="n">
        <v>45742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28023-2022</t>
        </is>
      </c>
      <c r="B755" s="1" t="n">
        <v>44746</v>
      </c>
      <c r="C755" s="1" t="n">
        <v>45742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28546-2022</t>
        </is>
      </c>
      <c r="B756" s="1" t="n">
        <v>44748</v>
      </c>
      <c r="C756" s="1" t="n">
        <v>45742</v>
      </c>
      <c r="D756" t="inlineStr">
        <is>
          <t>GÄVLEBORGS LÄN</t>
        </is>
      </c>
      <c r="E756" t="inlineStr">
        <is>
          <t>HUDIKSVALL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28967-2022</t>
        </is>
      </c>
      <c r="B757" s="1" t="n">
        <v>44749</v>
      </c>
      <c r="C757" s="1" t="n">
        <v>45742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29659-2022</t>
        </is>
      </c>
      <c r="B758" s="1" t="n">
        <v>44754</v>
      </c>
      <c r="C758" s="1" t="n">
        <v>45742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30589-2022</t>
        </is>
      </c>
      <c r="B759" s="1" t="n">
        <v>44762</v>
      </c>
      <c r="C759" s="1" t="n">
        <v>45742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30591-2022</t>
        </is>
      </c>
      <c r="B760" s="1" t="n">
        <v>44762</v>
      </c>
      <c r="C760" s="1" t="n">
        <v>45742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30590-2022</t>
        </is>
      </c>
      <c r="B761" s="1" t="n">
        <v>44762</v>
      </c>
      <c r="C761" s="1" t="n">
        <v>45742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30825-2022</t>
        </is>
      </c>
      <c r="B762" s="1" t="n">
        <v>44767</v>
      </c>
      <c r="C762" s="1" t="n">
        <v>45742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30844-2022</t>
        </is>
      </c>
      <c r="B763" s="1" t="n">
        <v>44767</v>
      </c>
      <c r="C763" s="1" t="n">
        <v>45742</v>
      </c>
      <c r="D763" t="inlineStr">
        <is>
          <t>GÄVLEBORGS LÄN</t>
        </is>
      </c>
      <c r="E763" t="inlineStr">
        <is>
          <t>HUDIKSVALL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30959-2022</t>
        </is>
      </c>
      <c r="B764" s="1" t="n">
        <v>44768</v>
      </c>
      <c r="C764" s="1" t="n">
        <v>45742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30960-2022</t>
        </is>
      </c>
      <c r="B765" s="1" t="n">
        <v>44768</v>
      </c>
      <c r="C765" s="1" t="n">
        <v>45742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31204-2022</t>
        </is>
      </c>
      <c r="B766" s="1" t="n">
        <v>44771</v>
      </c>
      <c r="C766" s="1" t="n">
        <v>45742</v>
      </c>
      <c r="D766" t="inlineStr">
        <is>
          <t>GÄVLEBORGS LÄN</t>
        </is>
      </c>
      <c r="E766" t="inlineStr">
        <is>
          <t>HUDIKSVALL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32087-2022</t>
        </is>
      </c>
      <c r="B767" s="1" t="n">
        <v>44778</v>
      </c>
      <c r="C767" s="1" t="n">
        <v>45742</v>
      </c>
      <c r="D767" t="inlineStr">
        <is>
          <t>GÄVLEBORGS LÄN</t>
        </is>
      </c>
      <c r="E767" t="inlineStr">
        <is>
          <t>HUDIKSVALL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32004-2022</t>
        </is>
      </c>
      <c r="B768" s="1" t="n">
        <v>44778</v>
      </c>
      <c r="C768" s="1" t="n">
        <v>45742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32199-2022</t>
        </is>
      </c>
      <c r="B769" s="1" t="n">
        <v>44781</v>
      </c>
      <c r="C769" s="1" t="n">
        <v>45742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32201-2022</t>
        </is>
      </c>
      <c r="B770" s="1" t="n">
        <v>44781</v>
      </c>
      <c r="C770" s="1" t="n">
        <v>45742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33138-2022</t>
        </is>
      </c>
      <c r="B771" s="1" t="n">
        <v>44785</v>
      </c>
      <c r="C771" s="1" t="n">
        <v>45742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33567-2022</t>
        </is>
      </c>
      <c r="B772" s="1" t="n">
        <v>44789</v>
      </c>
      <c r="C772" s="1" t="n">
        <v>45742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33752-2022</t>
        </is>
      </c>
      <c r="B773" s="1" t="n">
        <v>44790</v>
      </c>
      <c r="C773" s="1" t="n">
        <v>45742</v>
      </c>
      <c r="D773" t="inlineStr">
        <is>
          <t>GÄVLEBORGS LÄN</t>
        </is>
      </c>
      <c r="E773" t="inlineStr">
        <is>
          <t>HUDIKSVALL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33968-2022</t>
        </is>
      </c>
      <c r="B774" s="1" t="n">
        <v>44790</v>
      </c>
      <c r="C774" s="1" t="n">
        <v>45742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34116-2022</t>
        </is>
      </c>
      <c r="B775" s="1" t="n">
        <v>44791</v>
      </c>
      <c r="C775" s="1" t="n">
        <v>45742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34363-2022</t>
        </is>
      </c>
      <c r="B776" s="1" t="n">
        <v>44792</v>
      </c>
      <c r="C776" s="1" t="n">
        <v>45742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34370-2022</t>
        </is>
      </c>
      <c r="B777" s="1" t="n">
        <v>44792</v>
      </c>
      <c r="C777" s="1" t="n">
        <v>45742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34352-2022</t>
        </is>
      </c>
      <c r="B778" s="1" t="n">
        <v>44792</v>
      </c>
      <c r="C778" s="1" t="n">
        <v>45742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34427-2022</t>
        </is>
      </c>
      <c r="B779" s="1" t="n">
        <v>44792</v>
      </c>
      <c r="C779" s="1" t="n">
        <v>45742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34664-2022</t>
        </is>
      </c>
      <c r="B780" s="1" t="n">
        <v>44795</v>
      </c>
      <c r="C780" s="1" t="n">
        <v>45742</v>
      </c>
      <c r="D780" t="inlineStr">
        <is>
          <t>GÄVLEBORGS LÄN</t>
        </is>
      </c>
      <c r="E780" t="inlineStr">
        <is>
          <t>HUDIKSVALL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35179-2022</t>
        </is>
      </c>
      <c r="B781" s="1" t="n">
        <v>44797</v>
      </c>
      <c r="C781" s="1" t="n">
        <v>45742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35159-2022</t>
        </is>
      </c>
      <c r="B782" s="1" t="n">
        <v>44797</v>
      </c>
      <c r="C782" s="1" t="n">
        <v>45742</v>
      </c>
      <c r="D782" t="inlineStr">
        <is>
          <t>GÄVLEBORGS LÄN</t>
        </is>
      </c>
      <c r="E782" t="inlineStr">
        <is>
          <t>HUDIKSVALL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35268-2022</t>
        </is>
      </c>
      <c r="B783" s="1" t="n">
        <v>44798</v>
      </c>
      <c r="C783" s="1" t="n">
        <v>45742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35433-2022</t>
        </is>
      </c>
      <c r="B784" s="1" t="n">
        <v>44798</v>
      </c>
      <c r="C784" s="1" t="n">
        <v>45742</v>
      </c>
      <c r="D784" t="inlineStr">
        <is>
          <t>GÄVLEBORGS LÄN</t>
        </is>
      </c>
      <c r="E784" t="inlineStr">
        <is>
          <t>HUDIKSVALL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35937-2022</t>
        </is>
      </c>
      <c r="B785" s="1" t="n">
        <v>44802</v>
      </c>
      <c r="C785" s="1" t="n">
        <v>45742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36160-2022</t>
        </is>
      </c>
      <c r="B786" s="1" t="n">
        <v>44803</v>
      </c>
      <c r="C786" s="1" t="n">
        <v>45742</v>
      </c>
      <c r="D786" t="inlineStr">
        <is>
          <t>GÄVLEBORGS LÄN</t>
        </is>
      </c>
      <c r="E786" t="inlineStr">
        <is>
          <t>HUDIKSVALL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36236-2022</t>
        </is>
      </c>
      <c r="B787" s="1" t="n">
        <v>44803</v>
      </c>
      <c r="C787" s="1" t="n">
        <v>45742</v>
      </c>
      <c r="D787" t="inlineStr">
        <is>
          <t>GÄVLEBORGS LÄN</t>
        </is>
      </c>
      <c r="E787" t="inlineStr">
        <is>
          <t>HUDIKSVALL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36516-2022</t>
        </is>
      </c>
      <c r="B788" s="1" t="n">
        <v>44804</v>
      </c>
      <c r="C788" s="1" t="n">
        <v>45742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36912-2022</t>
        </is>
      </c>
      <c r="B789" s="1" t="n">
        <v>44805</v>
      </c>
      <c r="C789" s="1" t="n">
        <v>45742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36979-2022</t>
        </is>
      </c>
      <c r="B790" s="1" t="n">
        <v>44806</v>
      </c>
      <c r="C790" s="1" t="n">
        <v>45742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37402-2022</t>
        </is>
      </c>
      <c r="B791" s="1" t="n">
        <v>44809</v>
      </c>
      <c r="C791" s="1" t="n">
        <v>45742</v>
      </c>
      <c r="D791" t="inlineStr">
        <is>
          <t>GÄVLEBORGS LÄN</t>
        </is>
      </c>
      <c r="E791" t="inlineStr">
        <is>
          <t>HUDIKSVALL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37638-2022</t>
        </is>
      </c>
      <c r="B792" s="1" t="n">
        <v>44810</v>
      </c>
      <c r="C792" s="1" t="n">
        <v>45742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37681-2022</t>
        </is>
      </c>
      <c r="B793" s="1" t="n">
        <v>44810</v>
      </c>
      <c r="C793" s="1" t="n">
        <v>45742</v>
      </c>
      <c r="D793" t="inlineStr">
        <is>
          <t>GÄVLEBORGS LÄN</t>
        </is>
      </c>
      <c r="E793" t="inlineStr">
        <is>
          <t>HUDIKSVALL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37931-2022</t>
        </is>
      </c>
      <c r="B794" s="1" t="n">
        <v>44811</v>
      </c>
      <c r="C794" s="1" t="n">
        <v>45742</v>
      </c>
      <c r="D794" t="inlineStr">
        <is>
          <t>GÄVLEBORGS LÄN</t>
        </is>
      </c>
      <c r="E794" t="inlineStr">
        <is>
          <t>HUDIKSVALL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38185-2022</t>
        </is>
      </c>
      <c r="B795" s="1" t="n">
        <v>44812</v>
      </c>
      <c r="C795" s="1" t="n">
        <v>45742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8.5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38296-2022</t>
        </is>
      </c>
      <c r="B796" s="1" t="n">
        <v>44812</v>
      </c>
      <c r="C796" s="1" t="n">
        <v>45742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38341-2022</t>
        </is>
      </c>
      <c r="B797" s="1" t="n">
        <v>44812</v>
      </c>
      <c r="C797" s="1" t="n">
        <v>45742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38480-2022</t>
        </is>
      </c>
      <c r="B798" s="1" t="n">
        <v>44813</v>
      </c>
      <c r="C798" s="1" t="n">
        <v>45742</v>
      </c>
      <c r="D798" t="inlineStr">
        <is>
          <t>GÄVLEBORGS LÄN</t>
        </is>
      </c>
      <c r="E798" t="inlineStr">
        <is>
          <t>HUDIKSVALL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38744-2022</t>
        </is>
      </c>
      <c r="B799" s="1" t="n">
        <v>44816</v>
      </c>
      <c r="C799" s="1" t="n">
        <v>45742</v>
      </c>
      <c r="D799" t="inlineStr">
        <is>
          <t>GÄVLEBORGS LÄN</t>
        </is>
      </c>
      <c r="E799" t="inlineStr">
        <is>
          <t>HUDIKSVALL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39114-2022</t>
        </is>
      </c>
      <c r="B800" s="1" t="n">
        <v>44817</v>
      </c>
      <c r="C800" s="1" t="n">
        <v>45742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39041-2022</t>
        </is>
      </c>
      <c r="B801" s="1" t="n">
        <v>44817</v>
      </c>
      <c r="C801" s="1" t="n">
        <v>45742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39258-2022</t>
        </is>
      </c>
      <c r="B802" s="1" t="n">
        <v>44817</v>
      </c>
      <c r="C802" s="1" t="n">
        <v>45742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39267-2022</t>
        </is>
      </c>
      <c r="B803" s="1" t="n">
        <v>44817</v>
      </c>
      <c r="C803" s="1" t="n">
        <v>45742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39443-2022</t>
        </is>
      </c>
      <c r="B804" s="1" t="n">
        <v>44818</v>
      </c>
      <c r="C804" s="1" t="n">
        <v>45742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39557-2022</t>
        </is>
      </c>
      <c r="B805" s="1" t="n">
        <v>44818</v>
      </c>
      <c r="C805" s="1" t="n">
        <v>45742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39510-2022</t>
        </is>
      </c>
      <c r="B806" s="1" t="n">
        <v>44818</v>
      </c>
      <c r="C806" s="1" t="n">
        <v>45742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39669-2022</t>
        </is>
      </c>
      <c r="B807" s="1" t="n">
        <v>44818</v>
      </c>
      <c r="C807" s="1" t="n">
        <v>45742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40937-2022</t>
        </is>
      </c>
      <c r="B808" s="1" t="n">
        <v>44820</v>
      </c>
      <c r="C808" s="1" t="n">
        <v>45742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40593-2022</t>
        </is>
      </c>
      <c r="B809" s="1" t="n">
        <v>44823</v>
      </c>
      <c r="C809" s="1" t="n">
        <v>45742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40876-2022</t>
        </is>
      </c>
      <c r="B810" s="1" t="n">
        <v>44825</v>
      </c>
      <c r="C810" s="1" t="n">
        <v>45742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40909-2022</t>
        </is>
      </c>
      <c r="B811" s="1" t="n">
        <v>44825</v>
      </c>
      <c r="C811" s="1" t="n">
        <v>45742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40861-2022</t>
        </is>
      </c>
      <c r="B812" s="1" t="n">
        <v>44825</v>
      </c>
      <c r="C812" s="1" t="n">
        <v>45742</v>
      </c>
      <c r="D812" t="inlineStr">
        <is>
          <t>GÄVLEBORGS LÄN</t>
        </is>
      </c>
      <c r="E812" t="inlineStr">
        <is>
          <t>HUDIKSVALL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41115-2022</t>
        </is>
      </c>
      <c r="B813" s="1" t="n">
        <v>44825</v>
      </c>
      <c r="C813" s="1" t="n">
        <v>45742</v>
      </c>
      <c r="D813" t="inlineStr">
        <is>
          <t>GÄVLEBORGS LÄN</t>
        </is>
      </c>
      <c r="E813" t="inlineStr">
        <is>
          <t>HUDIKSVALL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41231-2022</t>
        </is>
      </c>
      <c r="B814" s="1" t="n">
        <v>44825</v>
      </c>
      <c r="C814" s="1" t="n">
        <v>45742</v>
      </c>
      <c r="D814" t="inlineStr">
        <is>
          <t>GÄVLEBORGS LÄN</t>
        </is>
      </c>
      <c r="E814" t="inlineStr">
        <is>
          <t>HUDIKSVALL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42353-2022</t>
        </is>
      </c>
      <c r="B815" s="1" t="n">
        <v>44831</v>
      </c>
      <c r="C815" s="1" t="n">
        <v>45742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42507-2022</t>
        </is>
      </c>
      <c r="B816" s="1" t="n">
        <v>44831</v>
      </c>
      <c r="C816" s="1" t="n">
        <v>45742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42683-2022</t>
        </is>
      </c>
      <c r="B817" s="1" t="n">
        <v>44832</v>
      </c>
      <c r="C817" s="1" t="n">
        <v>45742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43010-2022</t>
        </is>
      </c>
      <c r="B818" s="1" t="n">
        <v>44833</v>
      </c>
      <c r="C818" s="1" t="n">
        <v>45742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42981-2022</t>
        </is>
      </c>
      <c r="B819" s="1" t="n">
        <v>44833</v>
      </c>
      <c r="C819" s="1" t="n">
        <v>45742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43578-2022</t>
        </is>
      </c>
      <c r="B820" s="1" t="n">
        <v>44837</v>
      </c>
      <c r="C820" s="1" t="n">
        <v>45742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43803-2022</t>
        </is>
      </c>
      <c r="B821" s="1" t="n">
        <v>44838</v>
      </c>
      <c r="C821" s="1" t="n">
        <v>45742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44058-2022</t>
        </is>
      </c>
      <c r="B822" s="1" t="n">
        <v>44839</v>
      </c>
      <c r="C822" s="1" t="n">
        <v>45742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44090-2022</t>
        </is>
      </c>
      <c r="B823" s="1" t="n">
        <v>44839</v>
      </c>
      <c r="C823" s="1" t="n">
        <v>45742</v>
      </c>
      <c r="D823" t="inlineStr">
        <is>
          <t>GÄVLEBORGS LÄN</t>
        </is>
      </c>
      <c r="E823" t="inlineStr">
        <is>
          <t>HUDIKSVALL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44168-2022</t>
        </is>
      </c>
      <c r="B824" s="1" t="n">
        <v>44839</v>
      </c>
      <c r="C824" s="1" t="n">
        <v>45742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44181-2022</t>
        </is>
      </c>
      <c r="B825" s="1" t="n">
        <v>44839</v>
      </c>
      <c r="C825" s="1" t="n">
        <v>45742</v>
      </c>
      <c r="D825" t="inlineStr">
        <is>
          <t>GÄVLEBORGS LÄN</t>
        </is>
      </c>
      <c r="E825" t="inlineStr">
        <is>
          <t>HUDIKSVALL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44426-2022</t>
        </is>
      </c>
      <c r="B826" s="1" t="n">
        <v>44840</v>
      </c>
      <c r="C826" s="1" t="n">
        <v>45742</v>
      </c>
      <c r="D826" t="inlineStr">
        <is>
          <t>GÄVLEBORGS LÄN</t>
        </is>
      </c>
      <c r="E826" t="inlineStr">
        <is>
          <t>HUDIKSVALL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44425-2022</t>
        </is>
      </c>
      <c r="B827" s="1" t="n">
        <v>44840</v>
      </c>
      <c r="C827" s="1" t="n">
        <v>45742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44178-2022</t>
        </is>
      </c>
      <c r="B828" s="1" t="n">
        <v>44839</v>
      </c>
      <c r="C828" s="1" t="n">
        <v>45742</v>
      </c>
      <c r="D828" t="inlineStr">
        <is>
          <t>GÄVLEBORGS LÄN</t>
        </is>
      </c>
      <c r="E828" t="inlineStr">
        <is>
          <t>HUDIKSVALL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44287-2022</t>
        </is>
      </c>
      <c r="B829" s="1" t="n">
        <v>44839</v>
      </c>
      <c r="C829" s="1" t="n">
        <v>45742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44427-2022</t>
        </is>
      </c>
      <c r="B830" s="1" t="n">
        <v>44840</v>
      </c>
      <c r="C830" s="1" t="n">
        <v>45742</v>
      </c>
      <c r="D830" t="inlineStr">
        <is>
          <t>GÄVLEBORGS LÄN</t>
        </is>
      </c>
      <c r="E830" t="inlineStr">
        <is>
          <t>HUDIKSVALL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45924-2022</t>
        </is>
      </c>
      <c r="B831" s="1" t="n">
        <v>44845</v>
      </c>
      <c r="C831" s="1" t="n">
        <v>45742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45784-2022</t>
        </is>
      </c>
      <c r="B832" s="1" t="n">
        <v>44846</v>
      </c>
      <c r="C832" s="1" t="n">
        <v>45742</v>
      </c>
      <c r="D832" t="inlineStr">
        <is>
          <t>GÄVLEBORGS LÄN</t>
        </is>
      </c>
      <c r="E832" t="inlineStr">
        <is>
          <t>HUDIKSVALL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46063-2022</t>
        </is>
      </c>
      <c r="B833" s="1" t="n">
        <v>44847</v>
      </c>
      <c r="C833" s="1" t="n">
        <v>45742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Naturvårdsverket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46248-2022</t>
        </is>
      </c>
      <c r="B834" s="1" t="n">
        <v>44847</v>
      </c>
      <c r="C834" s="1" t="n">
        <v>45742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46064-2022</t>
        </is>
      </c>
      <c r="B835" s="1" t="n">
        <v>44847</v>
      </c>
      <c r="C835" s="1" t="n">
        <v>45742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46464-2022</t>
        </is>
      </c>
      <c r="B836" s="1" t="n">
        <v>44848</v>
      </c>
      <c r="C836" s="1" t="n">
        <v>45742</v>
      </c>
      <c r="D836" t="inlineStr">
        <is>
          <t>GÄVLEBORGS LÄN</t>
        </is>
      </c>
      <c r="E836" t="inlineStr">
        <is>
          <t>HUDIKSVALL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46469-2022</t>
        </is>
      </c>
      <c r="B837" s="1" t="n">
        <v>44848</v>
      </c>
      <c r="C837" s="1" t="n">
        <v>45742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46466-2022</t>
        </is>
      </c>
      <c r="B838" s="1" t="n">
        <v>44848</v>
      </c>
      <c r="C838" s="1" t="n">
        <v>45742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46465-2022</t>
        </is>
      </c>
      <c r="B839" s="1" t="n">
        <v>44848</v>
      </c>
      <c r="C839" s="1" t="n">
        <v>45742</v>
      </c>
      <c r="D839" t="inlineStr">
        <is>
          <t>GÄVLEBORGS LÄN</t>
        </is>
      </c>
      <c r="E839" t="inlineStr">
        <is>
          <t>HUDIKSVALL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46467-2022</t>
        </is>
      </c>
      <c r="B840" s="1" t="n">
        <v>44848</v>
      </c>
      <c r="C840" s="1" t="n">
        <v>45742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46727-2022</t>
        </is>
      </c>
      <c r="B841" s="1" t="n">
        <v>44851</v>
      </c>
      <c r="C841" s="1" t="n">
        <v>45742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46754-2022</t>
        </is>
      </c>
      <c r="B842" s="1" t="n">
        <v>44851</v>
      </c>
      <c r="C842" s="1" t="n">
        <v>45742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47683-2022</t>
        </is>
      </c>
      <c r="B843" s="1" t="n">
        <v>44854</v>
      </c>
      <c r="C843" s="1" t="n">
        <v>45742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48665-2022</t>
        </is>
      </c>
      <c r="B844" s="1" t="n">
        <v>44859</v>
      </c>
      <c r="C844" s="1" t="n">
        <v>45742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48889-2022</t>
        </is>
      </c>
      <c r="B845" s="1" t="n">
        <v>44860</v>
      </c>
      <c r="C845" s="1" t="n">
        <v>45742</v>
      </c>
      <c r="D845" t="inlineStr">
        <is>
          <t>GÄVLEBORGS LÄN</t>
        </is>
      </c>
      <c r="E845" t="inlineStr">
        <is>
          <t>HUDIKSVALL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49222-2022</t>
        </is>
      </c>
      <c r="B846" s="1" t="n">
        <v>44861</v>
      </c>
      <c r="C846" s="1" t="n">
        <v>45742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7.4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49616-2022</t>
        </is>
      </c>
      <c r="B847" s="1" t="n">
        <v>44862</v>
      </c>
      <c r="C847" s="1" t="n">
        <v>45742</v>
      </c>
      <c r="D847" t="inlineStr">
        <is>
          <t>GÄVLEBORGS LÄN</t>
        </is>
      </c>
      <c r="E847" t="inlineStr">
        <is>
          <t>HUDIKSVALL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49713-2022</t>
        </is>
      </c>
      <c r="B848" s="1" t="n">
        <v>44862</v>
      </c>
      <c r="C848" s="1" t="n">
        <v>45742</v>
      </c>
      <c r="D848" t="inlineStr">
        <is>
          <t>GÄVLEBORGS LÄN</t>
        </is>
      </c>
      <c r="E848" t="inlineStr">
        <is>
          <t>HUDIKSVALL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49926-2022</t>
        </is>
      </c>
      <c r="B849" s="1" t="n">
        <v>44865</v>
      </c>
      <c r="C849" s="1" t="n">
        <v>45742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50150-2022</t>
        </is>
      </c>
      <c r="B850" s="1" t="n">
        <v>44865</v>
      </c>
      <c r="C850" s="1" t="n">
        <v>45742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50205-2022</t>
        </is>
      </c>
      <c r="B851" s="1" t="n">
        <v>44865</v>
      </c>
      <c r="C851" s="1" t="n">
        <v>45742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50226-2022</t>
        </is>
      </c>
      <c r="B852" s="1" t="n">
        <v>44865</v>
      </c>
      <c r="C852" s="1" t="n">
        <v>45742</v>
      </c>
      <c r="D852" t="inlineStr">
        <is>
          <t>GÄVLEBORGS LÄN</t>
        </is>
      </c>
      <c r="E852" t="inlineStr">
        <is>
          <t>HUDIKSVALL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50235-2022</t>
        </is>
      </c>
      <c r="B853" s="1" t="n">
        <v>44865</v>
      </c>
      <c r="C853" s="1" t="n">
        <v>45742</v>
      </c>
      <c r="D853" t="inlineStr">
        <is>
          <t>GÄVLEBORGS LÄN</t>
        </is>
      </c>
      <c r="E853" t="inlineStr">
        <is>
          <t>HUDIKSVALL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50534-2022</t>
        </is>
      </c>
      <c r="B854" s="1" t="n">
        <v>44866</v>
      </c>
      <c r="C854" s="1" t="n">
        <v>45742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50553-2022</t>
        </is>
      </c>
      <c r="B855" s="1" t="n">
        <v>44866</v>
      </c>
      <c r="C855" s="1" t="n">
        <v>45742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50574-2022</t>
        </is>
      </c>
      <c r="B856" s="1" t="n">
        <v>44866</v>
      </c>
      <c r="C856" s="1" t="n">
        <v>45742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50588-2022</t>
        </is>
      </c>
      <c r="B857" s="1" t="n">
        <v>44866</v>
      </c>
      <c r="C857" s="1" t="n">
        <v>45742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50818-2022</t>
        </is>
      </c>
      <c r="B858" s="1" t="n">
        <v>44867</v>
      </c>
      <c r="C858" s="1" t="n">
        <v>45742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51432-2022</t>
        </is>
      </c>
      <c r="B859" s="1" t="n">
        <v>44869</v>
      </c>
      <c r="C859" s="1" t="n">
        <v>45742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51567-2022</t>
        </is>
      </c>
      <c r="B860" s="1" t="n">
        <v>44870</v>
      </c>
      <c r="C860" s="1" t="n">
        <v>45742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51590-2022</t>
        </is>
      </c>
      <c r="B861" s="1" t="n">
        <v>44871</v>
      </c>
      <c r="C861" s="1" t="n">
        <v>45742</v>
      </c>
      <c r="D861" t="inlineStr">
        <is>
          <t>GÄVLEBORGS LÄN</t>
        </is>
      </c>
      <c r="E861" t="inlineStr">
        <is>
          <t>HUDIKSVALL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51865-2022</t>
        </is>
      </c>
      <c r="B862" s="1" t="n">
        <v>44872</v>
      </c>
      <c r="C862" s="1" t="n">
        <v>45742</v>
      </c>
      <c r="D862" t="inlineStr">
        <is>
          <t>GÄVLEBORGS LÄN</t>
        </is>
      </c>
      <c r="E862" t="inlineStr">
        <is>
          <t>HUDIKSVALL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51937-2022</t>
        </is>
      </c>
      <c r="B863" s="1" t="n">
        <v>44872</v>
      </c>
      <c r="C863" s="1" t="n">
        <v>45742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51851-2022</t>
        </is>
      </c>
      <c r="B864" s="1" t="n">
        <v>44872</v>
      </c>
      <c r="C864" s="1" t="n">
        <v>45742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52397-2022</t>
        </is>
      </c>
      <c r="B865" s="1" t="n">
        <v>44874</v>
      </c>
      <c r="C865" s="1" t="n">
        <v>45742</v>
      </c>
      <c r="D865" t="inlineStr">
        <is>
          <t>GÄVLEBORGS LÄN</t>
        </is>
      </c>
      <c r="E865" t="inlineStr">
        <is>
          <t>HUDIKSVALL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52947-2022</t>
        </is>
      </c>
      <c r="B866" s="1" t="n">
        <v>44875</v>
      </c>
      <c r="C866" s="1" t="n">
        <v>45742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52966-2022</t>
        </is>
      </c>
      <c r="B867" s="1" t="n">
        <v>44875</v>
      </c>
      <c r="C867" s="1" t="n">
        <v>45742</v>
      </c>
      <c r="D867" t="inlineStr">
        <is>
          <t>GÄVLEBORGS LÄN</t>
        </is>
      </c>
      <c r="E867" t="inlineStr">
        <is>
          <t>HUDIKSVALL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53339-2022</t>
        </is>
      </c>
      <c r="B868" s="1" t="n">
        <v>44879</v>
      </c>
      <c r="C868" s="1" t="n">
        <v>45742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53438-2022</t>
        </is>
      </c>
      <c r="B869" s="1" t="n">
        <v>44879</v>
      </c>
      <c r="C869" s="1" t="n">
        <v>45742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54014-2022</t>
        </is>
      </c>
      <c r="B870" s="1" t="n">
        <v>44881</v>
      </c>
      <c r="C870" s="1" t="n">
        <v>45742</v>
      </c>
      <c r="D870" t="inlineStr">
        <is>
          <t>GÄVLEBORGS LÄN</t>
        </is>
      </c>
      <c r="E870" t="inlineStr">
        <is>
          <t>HUDIKSVALL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54085-2022</t>
        </is>
      </c>
      <c r="B871" s="1" t="n">
        <v>44881</v>
      </c>
      <c r="C871" s="1" t="n">
        <v>45742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54272-2022</t>
        </is>
      </c>
      <c r="B872" s="1" t="n">
        <v>44882</v>
      </c>
      <c r="C872" s="1" t="n">
        <v>45742</v>
      </c>
      <c r="D872" t="inlineStr">
        <is>
          <t>GÄVLEBORGS LÄN</t>
        </is>
      </c>
      <c r="E872" t="inlineStr">
        <is>
          <t>HUDIKSVALL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54706-2022</t>
        </is>
      </c>
      <c r="B873" s="1" t="n">
        <v>44883</v>
      </c>
      <c r="C873" s="1" t="n">
        <v>45742</v>
      </c>
      <c r="D873" t="inlineStr">
        <is>
          <t>GÄVLEBORGS LÄN</t>
        </is>
      </c>
      <c r="E873" t="inlineStr">
        <is>
          <t>HUDIKSVALL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55386-2022</t>
        </is>
      </c>
      <c r="B874" s="1" t="n">
        <v>44887</v>
      </c>
      <c r="C874" s="1" t="n">
        <v>45742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55434-2022</t>
        </is>
      </c>
      <c r="B875" s="1" t="n">
        <v>44887</v>
      </c>
      <c r="C875" s="1" t="n">
        <v>45742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56637-2022</t>
        </is>
      </c>
      <c r="B876" s="1" t="n">
        <v>44893</v>
      </c>
      <c r="C876" s="1" t="n">
        <v>45742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56477-2022</t>
        </is>
      </c>
      <c r="B877" s="1" t="n">
        <v>44893</v>
      </c>
      <c r="C877" s="1" t="n">
        <v>45742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56516-2022</t>
        </is>
      </c>
      <c r="B878" s="1" t="n">
        <v>44893</v>
      </c>
      <c r="C878" s="1" t="n">
        <v>45742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56808-2022</t>
        </is>
      </c>
      <c r="B879" s="1" t="n">
        <v>44894</v>
      </c>
      <c r="C879" s="1" t="n">
        <v>45742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56813-2022</t>
        </is>
      </c>
      <c r="B880" s="1" t="n">
        <v>44894</v>
      </c>
      <c r="C880" s="1" t="n">
        <v>45742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Kommuner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56820-2022</t>
        </is>
      </c>
      <c r="B881" s="1" t="n">
        <v>44894</v>
      </c>
      <c r="C881" s="1" t="n">
        <v>45742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Kommuner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56754-2022</t>
        </is>
      </c>
      <c r="B882" s="1" t="n">
        <v>44894</v>
      </c>
      <c r="C882" s="1" t="n">
        <v>45742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56805-2022</t>
        </is>
      </c>
      <c r="B883" s="1" t="n">
        <v>44894</v>
      </c>
      <c r="C883" s="1" t="n">
        <v>45742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56953-2022</t>
        </is>
      </c>
      <c r="B884" s="1" t="n">
        <v>44894</v>
      </c>
      <c r="C884" s="1" t="n">
        <v>45742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56891-2022</t>
        </is>
      </c>
      <c r="B885" s="1" t="n">
        <v>44894</v>
      </c>
      <c r="C885" s="1" t="n">
        <v>45742</v>
      </c>
      <c r="D885" t="inlineStr">
        <is>
          <t>GÄVLEBORGS LÄN</t>
        </is>
      </c>
      <c r="E885" t="inlineStr">
        <is>
          <t>HUDIKSVALL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57199-2022</t>
        </is>
      </c>
      <c r="B886" s="1" t="n">
        <v>44895</v>
      </c>
      <c r="C886" s="1" t="n">
        <v>45742</v>
      </c>
      <c r="D886" t="inlineStr">
        <is>
          <t>GÄVLEBORGS LÄN</t>
        </is>
      </c>
      <c r="E886" t="inlineStr">
        <is>
          <t>HUDIKSVALL</t>
        </is>
      </c>
      <c r="G886" t="n">
        <v>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57650-2022</t>
        </is>
      </c>
      <c r="B887" s="1" t="n">
        <v>44897</v>
      </c>
      <c r="C887" s="1" t="n">
        <v>45742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Naturvårdsverket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57716-2022</t>
        </is>
      </c>
      <c r="B888" s="1" t="n">
        <v>44897</v>
      </c>
      <c r="C888" s="1" t="n">
        <v>45742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57679-2022</t>
        </is>
      </c>
      <c r="B889" s="1" t="n">
        <v>44897</v>
      </c>
      <c r="C889" s="1" t="n">
        <v>45742</v>
      </c>
      <c r="D889" t="inlineStr">
        <is>
          <t>GÄVLEBORGS LÄN</t>
        </is>
      </c>
      <c r="E889" t="inlineStr">
        <is>
          <t>HUDIKSVALL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57967-2022</t>
        </is>
      </c>
      <c r="B890" s="1" t="n">
        <v>44900</v>
      </c>
      <c r="C890" s="1" t="n">
        <v>45742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58088-2022</t>
        </is>
      </c>
      <c r="B891" s="1" t="n">
        <v>44900</v>
      </c>
      <c r="C891" s="1" t="n">
        <v>45742</v>
      </c>
      <c r="D891" t="inlineStr">
        <is>
          <t>GÄVLEBORGS LÄN</t>
        </is>
      </c>
      <c r="E891" t="inlineStr">
        <is>
          <t>HUDIKSVALL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58423-2022</t>
        </is>
      </c>
      <c r="B892" s="1" t="n">
        <v>44901</v>
      </c>
      <c r="C892" s="1" t="n">
        <v>45742</v>
      </c>
      <c r="D892" t="inlineStr">
        <is>
          <t>GÄVLEBORGS LÄN</t>
        </is>
      </c>
      <c r="E892" t="inlineStr">
        <is>
          <t>HUDIKSVALL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58723-2022</t>
        </is>
      </c>
      <c r="B893" s="1" t="n">
        <v>44902</v>
      </c>
      <c r="C893" s="1" t="n">
        <v>45742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58942-2022</t>
        </is>
      </c>
      <c r="B894" s="1" t="n">
        <v>44903</v>
      </c>
      <c r="C894" s="1" t="n">
        <v>45742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59118-2022</t>
        </is>
      </c>
      <c r="B895" s="1" t="n">
        <v>44904</v>
      </c>
      <c r="C895" s="1" t="n">
        <v>45742</v>
      </c>
      <c r="D895" t="inlineStr">
        <is>
          <t>GÄVLEBORGS LÄN</t>
        </is>
      </c>
      <c r="E895" t="inlineStr">
        <is>
          <t>HUDIKSVALL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59064-2022</t>
        </is>
      </c>
      <c r="B896" s="1" t="n">
        <v>44904</v>
      </c>
      <c r="C896" s="1" t="n">
        <v>45742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59522-2022</t>
        </is>
      </c>
      <c r="B897" s="1" t="n">
        <v>44907</v>
      </c>
      <c r="C897" s="1" t="n">
        <v>45742</v>
      </c>
      <c r="D897" t="inlineStr">
        <is>
          <t>GÄVLEBORGS LÄN</t>
        </is>
      </c>
      <c r="E897" t="inlineStr">
        <is>
          <t>HUDIKSVALL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59571-2022</t>
        </is>
      </c>
      <c r="B898" s="1" t="n">
        <v>44907</v>
      </c>
      <c r="C898" s="1" t="n">
        <v>45742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59672-2022</t>
        </is>
      </c>
      <c r="B899" s="1" t="n">
        <v>44908</v>
      </c>
      <c r="C899" s="1" t="n">
        <v>45742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59742-2022</t>
        </is>
      </c>
      <c r="B900" s="1" t="n">
        <v>44908</v>
      </c>
      <c r="C900" s="1" t="n">
        <v>45742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59741-2022</t>
        </is>
      </c>
      <c r="B901" s="1" t="n">
        <v>44908</v>
      </c>
      <c r="C901" s="1" t="n">
        <v>45742</v>
      </c>
      <c r="D901" t="inlineStr">
        <is>
          <t>GÄVLEBORGS LÄN</t>
        </is>
      </c>
      <c r="E901" t="inlineStr">
        <is>
          <t>HUDIKSVALL</t>
        </is>
      </c>
      <c r="G901" t="n">
        <v>7.3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59759-2022</t>
        </is>
      </c>
      <c r="B902" s="1" t="n">
        <v>44908</v>
      </c>
      <c r="C902" s="1" t="n">
        <v>45742</v>
      </c>
      <c r="D902" t="inlineStr">
        <is>
          <t>GÄVLEBORGS LÄN</t>
        </is>
      </c>
      <c r="E902" t="inlineStr">
        <is>
          <t>HUDIKSVALL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59790-2022</t>
        </is>
      </c>
      <c r="B903" s="1" t="n">
        <v>44908</v>
      </c>
      <c r="C903" s="1" t="n">
        <v>45742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59856-2022</t>
        </is>
      </c>
      <c r="B904" s="1" t="n">
        <v>44908</v>
      </c>
      <c r="C904" s="1" t="n">
        <v>45742</v>
      </c>
      <c r="D904" t="inlineStr">
        <is>
          <t>GÄVLEBORGS LÄN</t>
        </is>
      </c>
      <c r="E904" t="inlineStr">
        <is>
          <t>HUDIKSVALL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59798-2022</t>
        </is>
      </c>
      <c r="B905" s="1" t="n">
        <v>44908</v>
      </c>
      <c r="C905" s="1" t="n">
        <v>45742</v>
      </c>
      <c r="D905" t="inlineStr">
        <is>
          <t>GÄVLEBORGS LÄN</t>
        </is>
      </c>
      <c r="E905" t="inlineStr">
        <is>
          <t>HUDIKSVALL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59808-2022</t>
        </is>
      </c>
      <c r="B906" s="1" t="n">
        <v>44908</v>
      </c>
      <c r="C906" s="1" t="n">
        <v>45742</v>
      </c>
      <c r="D906" t="inlineStr">
        <is>
          <t>GÄVLEBORGS LÄN</t>
        </is>
      </c>
      <c r="E906" t="inlineStr">
        <is>
          <t>HUDIKSVALL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60111-2022</t>
        </is>
      </c>
      <c r="B907" s="1" t="n">
        <v>44909</v>
      </c>
      <c r="C907" s="1" t="n">
        <v>45742</v>
      </c>
      <c r="D907" t="inlineStr">
        <is>
          <t>GÄVLEBORGS LÄN</t>
        </is>
      </c>
      <c r="E907" t="inlineStr">
        <is>
          <t>HUDIKSVALL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59973-2022</t>
        </is>
      </c>
      <c r="B908" s="1" t="n">
        <v>44909</v>
      </c>
      <c r="C908" s="1" t="n">
        <v>45742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60197-2022</t>
        </is>
      </c>
      <c r="B909" s="1" t="n">
        <v>44910</v>
      </c>
      <c r="C909" s="1" t="n">
        <v>45742</v>
      </c>
      <c r="D909" t="inlineStr">
        <is>
          <t>GÄVLEBORGS LÄN</t>
        </is>
      </c>
      <c r="E909" t="inlineStr">
        <is>
          <t>HUDIKSVALL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60229-2022</t>
        </is>
      </c>
      <c r="B910" s="1" t="n">
        <v>44910</v>
      </c>
      <c r="C910" s="1" t="n">
        <v>45742</v>
      </c>
      <c r="D910" t="inlineStr">
        <is>
          <t>GÄVLEBORGS LÄN</t>
        </is>
      </c>
      <c r="E910" t="inlineStr">
        <is>
          <t>HUDIKSVALL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60209-2022</t>
        </is>
      </c>
      <c r="B911" s="1" t="n">
        <v>44910</v>
      </c>
      <c r="C911" s="1" t="n">
        <v>45742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60208-2022</t>
        </is>
      </c>
      <c r="B912" s="1" t="n">
        <v>44910</v>
      </c>
      <c r="C912" s="1" t="n">
        <v>45742</v>
      </c>
      <c r="D912" t="inlineStr">
        <is>
          <t>GÄVLEBORGS LÄN</t>
        </is>
      </c>
      <c r="E912" t="inlineStr">
        <is>
          <t>HUDIKSVALL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60283-2022</t>
        </is>
      </c>
      <c r="B913" s="1" t="n">
        <v>44910</v>
      </c>
      <c r="C913" s="1" t="n">
        <v>45742</v>
      </c>
      <c r="D913" t="inlineStr">
        <is>
          <t>GÄVLEBORGS LÄN</t>
        </is>
      </c>
      <c r="E913" t="inlineStr">
        <is>
          <t>HUDIKSVALL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60375-2022</t>
        </is>
      </c>
      <c r="B914" s="1" t="n">
        <v>44910</v>
      </c>
      <c r="C914" s="1" t="n">
        <v>45742</v>
      </c>
      <c r="D914" t="inlineStr">
        <is>
          <t>GÄVLEBORGS LÄN</t>
        </is>
      </c>
      <c r="E914" t="inlineStr">
        <is>
          <t>HUDIKSVALL</t>
        </is>
      </c>
      <c r="G914" t="n">
        <v>15.2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60370-2022</t>
        </is>
      </c>
      <c r="B915" s="1" t="n">
        <v>44910</v>
      </c>
      <c r="C915" s="1" t="n">
        <v>45742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60588-2022</t>
        </is>
      </c>
      <c r="B916" s="1" t="n">
        <v>44911</v>
      </c>
      <c r="C916" s="1" t="n">
        <v>45742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60517-2022</t>
        </is>
      </c>
      <c r="B917" s="1" t="n">
        <v>44911</v>
      </c>
      <c r="C917" s="1" t="n">
        <v>45742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60500-2022</t>
        </is>
      </c>
      <c r="B918" s="1" t="n">
        <v>44911</v>
      </c>
      <c r="C918" s="1" t="n">
        <v>45742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60839-2022</t>
        </is>
      </c>
      <c r="B919" s="1" t="n">
        <v>44914</v>
      </c>
      <c r="C919" s="1" t="n">
        <v>45742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60847-2022</t>
        </is>
      </c>
      <c r="B920" s="1" t="n">
        <v>44914</v>
      </c>
      <c r="C920" s="1" t="n">
        <v>45742</v>
      </c>
      <c r="D920" t="inlineStr">
        <is>
          <t>GÄVLEBORGS LÄN</t>
        </is>
      </c>
      <c r="E920" t="inlineStr">
        <is>
          <t>HUDIKSVALL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60945-2022</t>
        </is>
      </c>
      <c r="B921" s="1" t="n">
        <v>44914</v>
      </c>
      <c r="C921" s="1" t="n">
        <v>45742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60886-2022</t>
        </is>
      </c>
      <c r="B922" s="1" t="n">
        <v>44914</v>
      </c>
      <c r="C922" s="1" t="n">
        <v>45742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60903-2022</t>
        </is>
      </c>
      <c r="B923" s="1" t="n">
        <v>44914</v>
      </c>
      <c r="C923" s="1" t="n">
        <v>45742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61207-2022</t>
        </is>
      </c>
      <c r="B924" s="1" t="n">
        <v>44915</v>
      </c>
      <c r="C924" s="1" t="n">
        <v>45742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61258-2022</t>
        </is>
      </c>
      <c r="B925" s="1" t="n">
        <v>44915</v>
      </c>
      <c r="C925" s="1" t="n">
        <v>45742</v>
      </c>
      <c r="D925" t="inlineStr">
        <is>
          <t>GÄVLEBORGS LÄN</t>
        </is>
      </c>
      <c r="E925" t="inlineStr">
        <is>
          <t>HUDIKSVALL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61536-2022</t>
        </is>
      </c>
      <c r="B926" s="1" t="n">
        <v>44916</v>
      </c>
      <c r="C926" s="1" t="n">
        <v>45742</v>
      </c>
      <c r="D926" t="inlineStr">
        <is>
          <t>GÄVLEBORGS LÄN</t>
        </is>
      </c>
      <c r="E926" t="inlineStr">
        <is>
          <t>HUDIKSVALL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61938-2022</t>
        </is>
      </c>
      <c r="B927" s="1" t="n">
        <v>44918</v>
      </c>
      <c r="C927" s="1" t="n">
        <v>45742</v>
      </c>
      <c r="D927" t="inlineStr">
        <is>
          <t>GÄVLEBORGS LÄN</t>
        </is>
      </c>
      <c r="E927" t="inlineStr">
        <is>
          <t>HUDIKSVALL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61977-2022</t>
        </is>
      </c>
      <c r="B928" s="1" t="n">
        <v>44918</v>
      </c>
      <c r="C928" s="1" t="n">
        <v>45742</v>
      </c>
      <c r="D928" t="inlineStr">
        <is>
          <t>GÄVLEBORGS LÄN</t>
        </is>
      </c>
      <c r="E928" t="inlineStr">
        <is>
          <t>HUDIKSVALL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62213-2022</t>
        </is>
      </c>
      <c r="B929" s="1" t="n">
        <v>44922</v>
      </c>
      <c r="C929" s="1" t="n">
        <v>45742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104-2023</t>
        </is>
      </c>
      <c r="B930" s="1" t="n">
        <v>44928</v>
      </c>
      <c r="C930" s="1" t="n">
        <v>45742</v>
      </c>
      <c r="D930" t="inlineStr">
        <is>
          <t>GÄVLEBORGS LÄN</t>
        </is>
      </c>
      <c r="E930" t="inlineStr">
        <is>
          <t>HUDIKSVALL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313-2023</t>
        </is>
      </c>
      <c r="B931" s="1" t="n">
        <v>44929</v>
      </c>
      <c r="C931" s="1" t="n">
        <v>45742</v>
      </c>
      <c r="D931" t="inlineStr">
        <is>
          <t>GÄVLEBORGS LÄN</t>
        </is>
      </c>
      <c r="E931" t="inlineStr">
        <is>
          <t>HUDIKSVALL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314-2023</t>
        </is>
      </c>
      <c r="B932" s="1" t="n">
        <v>44929</v>
      </c>
      <c r="C932" s="1" t="n">
        <v>45742</v>
      </c>
      <c r="D932" t="inlineStr">
        <is>
          <t>GÄVLEBORGS LÄN</t>
        </is>
      </c>
      <c r="E932" t="inlineStr">
        <is>
          <t>HUDIKSVALL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310-2023</t>
        </is>
      </c>
      <c r="B933" s="1" t="n">
        <v>44929</v>
      </c>
      <c r="C933" s="1" t="n">
        <v>45742</v>
      </c>
      <c r="D933" t="inlineStr">
        <is>
          <t>GÄVLEBORGS LÄN</t>
        </is>
      </c>
      <c r="E933" t="inlineStr">
        <is>
          <t>HUDIKSVALL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386-2023</t>
        </is>
      </c>
      <c r="B934" s="1" t="n">
        <v>44929</v>
      </c>
      <c r="C934" s="1" t="n">
        <v>45742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572-2023</t>
        </is>
      </c>
      <c r="B935" s="1" t="n">
        <v>44930</v>
      </c>
      <c r="C935" s="1" t="n">
        <v>45742</v>
      </c>
      <c r="D935" t="inlineStr">
        <is>
          <t>GÄVLEBORGS LÄN</t>
        </is>
      </c>
      <c r="E935" t="inlineStr">
        <is>
          <t>HUDIKSVALL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1406-2023</t>
        </is>
      </c>
      <c r="B936" s="1" t="n">
        <v>44936</v>
      </c>
      <c r="C936" s="1" t="n">
        <v>45742</v>
      </c>
      <c r="D936" t="inlineStr">
        <is>
          <t>GÄVLEBORGS LÄN</t>
        </is>
      </c>
      <c r="E936" t="inlineStr">
        <is>
          <t>HUDIKSVALL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1404-2023</t>
        </is>
      </c>
      <c r="B937" s="1" t="n">
        <v>44936</v>
      </c>
      <c r="C937" s="1" t="n">
        <v>45742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1453-2023</t>
        </is>
      </c>
      <c r="B938" s="1" t="n">
        <v>44937</v>
      </c>
      <c r="C938" s="1" t="n">
        <v>45742</v>
      </c>
      <c r="D938" t="inlineStr">
        <is>
          <t>GÄVLEBORGS LÄN</t>
        </is>
      </c>
      <c r="E938" t="inlineStr">
        <is>
          <t>HUDIKSVALL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1485-2023</t>
        </is>
      </c>
      <c r="B939" s="1" t="n">
        <v>44937</v>
      </c>
      <c r="C939" s="1" t="n">
        <v>45742</v>
      </c>
      <c r="D939" t="inlineStr">
        <is>
          <t>GÄVLEBORGS LÄN</t>
        </is>
      </c>
      <c r="E939" t="inlineStr">
        <is>
          <t>HUDIKSVALL</t>
        </is>
      </c>
      <c r="G939" t="n">
        <v>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1537-2023</t>
        </is>
      </c>
      <c r="B940" s="1" t="n">
        <v>44937</v>
      </c>
      <c r="C940" s="1" t="n">
        <v>45742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1809-2023</t>
        </is>
      </c>
      <c r="B941" s="1" t="n">
        <v>44938</v>
      </c>
      <c r="C941" s="1" t="n">
        <v>45742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45742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1891-2023</t>
        </is>
      </c>
      <c r="B943" s="1" t="n">
        <v>44939</v>
      </c>
      <c r="C943" s="1" t="n">
        <v>45742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2215-2023</t>
        </is>
      </c>
      <c r="B944" s="1" t="n">
        <v>44942</v>
      </c>
      <c r="C944" s="1" t="n">
        <v>45742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2226-2023</t>
        </is>
      </c>
      <c r="B945" s="1" t="n">
        <v>44942</v>
      </c>
      <c r="C945" s="1" t="n">
        <v>45742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2249-2023</t>
        </is>
      </c>
      <c r="B946" s="1" t="n">
        <v>44942</v>
      </c>
      <c r="C946" s="1" t="n">
        <v>45742</v>
      </c>
      <c r="D946" t="inlineStr">
        <is>
          <t>GÄVLEBORGS LÄN</t>
        </is>
      </c>
      <c r="E946" t="inlineStr">
        <is>
          <t>HUDIKSVALL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2591-2023</t>
        </is>
      </c>
      <c r="B947" s="1" t="n">
        <v>44943</v>
      </c>
      <c r="C947" s="1" t="n">
        <v>45742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2811-2023</t>
        </is>
      </c>
      <c r="B948" s="1" t="n">
        <v>44944</v>
      </c>
      <c r="C948" s="1" t="n">
        <v>45742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2833-2023</t>
        </is>
      </c>
      <c r="B949" s="1" t="n">
        <v>44945</v>
      </c>
      <c r="C949" s="1" t="n">
        <v>45742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3162-2023</t>
        </is>
      </c>
      <c r="B950" s="1" t="n">
        <v>44946</v>
      </c>
      <c r="C950" s="1" t="n">
        <v>45742</v>
      </c>
      <c r="D950" t="inlineStr">
        <is>
          <t>GÄVLEBORGS LÄN</t>
        </is>
      </c>
      <c r="E950" t="inlineStr">
        <is>
          <t>HUDIKSVALL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3143-2023</t>
        </is>
      </c>
      <c r="B951" s="1" t="n">
        <v>44946</v>
      </c>
      <c r="C951" s="1" t="n">
        <v>45742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3942-2023</t>
        </is>
      </c>
      <c r="B952" s="1" t="n">
        <v>44952</v>
      </c>
      <c r="C952" s="1" t="n">
        <v>45742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4019-2023</t>
        </is>
      </c>
      <c r="B953" s="1" t="n">
        <v>44952</v>
      </c>
      <c r="C953" s="1" t="n">
        <v>45742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4301-2023</t>
        </is>
      </c>
      <c r="B954" s="1" t="n">
        <v>44953</v>
      </c>
      <c r="C954" s="1" t="n">
        <v>45742</v>
      </c>
      <c r="D954" t="inlineStr">
        <is>
          <t>GÄVLEBORGS LÄN</t>
        </is>
      </c>
      <c r="E954" t="inlineStr">
        <is>
          <t>HUDIKSVALL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4605-2023</t>
        </is>
      </c>
      <c r="B955" s="1" t="n">
        <v>44956</v>
      </c>
      <c r="C955" s="1" t="n">
        <v>45742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4693-2023</t>
        </is>
      </c>
      <c r="B956" s="1" t="n">
        <v>44957</v>
      </c>
      <c r="C956" s="1" t="n">
        <v>45742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4776-2023</t>
        </is>
      </c>
      <c r="B957" s="1" t="n">
        <v>44957</v>
      </c>
      <c r="C957" s="1" t="n">
        <v>45742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5076-2023</t>
        </is>
      </c>
      <c r="B958" s="1" t="n">
        <v>44958</v>
      </c>
      <c r="C958" s="1" t="n">
        <v>45742</v>
      </c>
      <c r="D958" t="inlineStr">
        <is>
          <t>GÄVLEBORGS LÄN</t>
        </is>
      </c>
      <c r="E958" t="inlineStr">
        <is>
          <t>HUDIKSVALL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5187-2023</t>
        </is>
      </c>
      <c r="B959" s="1" t="n">
        <v>44959</v>
      </c>
      <c r="C959" s="1" t="n">
        <v>45742</v>
      </c>
      <c r="D959" t="inlineStr">
        <is>
          <t>GÄVLEBORGS LÄN</t>
        </is>
      </c>
      <c r="E959" t="inlineStr">
        <is>
          <t>HUDIKSVALL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5442-2023</t>
        </is>
      </c>
      <c r="B960" s="1" t="n">
        <v>44959</v>
      </c>
      <c r="C960" s="1" t="n">
        <v>45742</v>
      </c>
      <c r="D960" t="inlineStr">
        <is>
          <t>GÄVLEBORGS LÄN</t>
        </is>
      </c>
      <c r="E960" t="inlineStr">
        <is>
          <t>HUDIKSVALL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5208-2023</t>
        </is>
      </c>
      <c r="B961" s="1" t="n">
        <v>44959</v>
      </c>
      <c r="C961" s="1" t="n">
        <v>45742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6227-2023</t>
        </is>
      </c>
      <c r="B962" s="1" t="n">
        <v>44964</v>
      </c>
      <c r="C962" s="1" t="n">
        <v>45742</v>
      </c>
      <c r="D962" t="inlineStr">
        <is>
          <t>GÄVLEBORGS LÄN</t>
        </is>
      </c>
      <c r="E962" t="inlineStr">
        <is>
          <t>HUDIKSVALL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7369-2023</t>
        </is>
      </c>
      <c r="B963" s="1" t="n">
        <v>44966</v>
      </c>
      <c r="C963" s="1" t="n">
        <v>45742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6767-2023</t>
        </is>
      </c>
      <c r="B964" s="1" t="n">
        <v>44966</v>
      </c>
      <c r="C964" s="1" t="n">
        <v>45742</v>
      </c>
      <c r="D964" t="inlineStr">
        <is>
          <t>GÄVLEBORGS LÄN</t>
        </is>
      </c>
      <c r="E964" t="inlineStr">
        <is>
          <t>HUDIKSVALL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6826-2023</t>
        </is>
      </c>
      <c r="B965" s="1" t="n">
        <v>44967</v>
      </c>
      <c r="C965" s="1" t="n">
        <v>45742</v>
      </c>
      <c r="D965" t="inlineStr">
        <is>
          <t>GÄVLEBORGS LÄN</t>
        </is>
      </c>
      <c r="E965" t="inlineStr">
        <is>
          <t>HUDIKSVALL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6809-2023</t>
        </is>
      </c>
      <c r="B966" s="1" t="n">
        <v>44967</v>
      </c>
      <c r="C966" s="1" t="n">
        <v>45742</v>
      </c>
      <c r="D966" t="inlineStr">
        <is>
          <t>GÄVLEBORGS LÄN</t>
        </is>
      </c>
      <c r="E966" t="inlineStr">
        <is>
          <t>HUDIKSVALL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7065-2023</t>
        </is>
      </c>
      <c r="B967" s="1" t="n">
        <v>44969</v>
      </c>
      <c r="C967" s="1" t="n">
        <v>45742</v>
      </c>
      <c r="D967" t="inlineStr">
        <is>
          <t>GÄVLEBORGS LÄN</t>
        </is>
      </c>
      <c r="E967" t="inlineStr">
        <is>
          <t>HUDIKSVALL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7066-2023</t>
        </is>
      </c>
      <c r="B968" s="1" t="n">
        <v>44969</v>
      </c>
      <c r="C968" s="1" t="n">
        <v>45742</v>
      </c>
      <c r="D968" t="inlineStr">
        <is>
          <t>GÄVLEBORGS LÄN</t>
        </is>
      </c>
      <c r="E968" t="inlineStr">
        <is>
          <t>HUDIKSVALL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7593-2023</t>
        </is>
      </c>
      <c r="B969" s="1" t="n">
        <v>44972</v>
      </c>
      <c r="C969" s="1" t="n">
        <v>45742</v>
      </c>
      <c r="D969" t="inlineStr">
        <is>
          <t>GÄVLEBORGS LÄN</t>
        </is>
      </c>
      <c r="E969" t="inlineStr">
        <is>
          <t>HUDIKSVALL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7605-2023</t>
        </is>
      </c>
      <c r="B970" s="1" t="n">
        <v>44972</v>
      </c>
      <c r="C970" s="1" t="n">
        <v>45742</v>
      </c>
      <c r="D970" t="inlineStr">
        <is>
          <t>GÄVLEBORGS LÄN</t>
        </is>
      </c>
      <c r="E970" t="inlineStr">
        <is>
          <t>HUDIKSVALL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7662-2023</t>
        </is>
      </c>
      <c r="B971" s="1" t="n">
        <v>44972</v>
      </c>
      <c r="C971" s="1" t="n">
        <v>45742</v>
      </c>
      <c r="D971" t="inlineStr">
        <is>
          <t>GÄVLEBORGS LÄN</t>
        </is>
      </c>
      <c r="E971" t="inlineStr">
        <is>
          <t>HUDIKSVALL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8137-2023</t>
        </is>
      </c>
      <c r="B972" s="1" t="n">
        <v>44974</v>
      </c>
      <c r="C972" s="1" t="n">
        <v>45742</v>
      </c>
      <c r="D972" t="inlineStr">
        <is>
          <t>GÄVLEBORGS LÄN</t>
        </is>
      </c>
      <c r="E972" t="inlineStr">
        <is>
          <t>HUDIKSVALL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8441-2023</t>
        </is>
      </c>
      <c r="B973" s="1" t="n">
        <v>44977</v>
      </c>
      <c r="C973" s="1" t="n">
        <v>45742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8391-2023</t>
        </is>
      </c>
      <c r="B974" s="1" t="n">
        <v>44977</v>
      </c>
      <c r="C974" s="1" t="n">
        <v>45742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8595-2023</t>
        </is>
      </c>
      <c r="B975" s="1" t="n">
        <v>44977</v>
      </c>
      <c r="C975" s="1" t="n">
        <v>45742</v>
      </c>
      <c r="D975" t="inlineStr">
        <is>
          <t>GÄVLEBORGS LÄN</t>
        </is>
      </c>
      <c r="E975" t="inlineStr">
        <is>
          <t>HUDIKSVALL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8714-2023</t>
        </is>
      </c>
      <c r="B976" s="1" t="n">
        <v>44978</v>
      </c>
      <c r="C976" s="1" t="n">
        <v>45742</v>
      </c>
      <c r="D976" t="inlineStr">
        <is>
          <t>GÄVLEBORGS LÄN</t>
        </is>
      </c>
      <c r="E976" t="inlineStr">
        <is>
          <t>HUDIKSVALL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8754-2023</t>
        </is>
      </c>
      <c r="B977" s="1" t="n">
        <v>44978</v>
      </c>
      <c r="C977" s="1" t="n">
        <v>45742</v>
      </c>
      <c r="D977" t="inlineStr">
        <is>
          <t>GÄVLEBORGS LÄN</t>
        </is>
      </c>
      <c r="E977" t="inlineStr">
        <is>
          <t>HUDIKSVALL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8732-2023</t>
        </is>
      </c>
      <c r="B978" s="1" t="n">
        <v>44978</v>
      </c>
      <c r="C978" s="1" t="n">
        <v>45742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8752-2023</t>
        </is>
      </c>
      <c r="B979" s="1" t="n">
        <v>44978</v>
      </c>
      <c r="C979" s="1" t="n">
        <v>45742</v>
      </c>
      <c r="D979" t="inlineStr">
        <is>
          <t>GÄVLEBORGS LÄN</t>
        </is>
      </c>
      <c r="E979" t="inlineStr">
        <is>
          <t>HUDIKSVALL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8809-2023</t>
        </is>
      </c>
      <c r="B980" s="1" t="n">
        <v>44978</v>
      </c>
      <c r="C980" s="1" t="n">
        <v>45742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8810-2023</t>
        </is>
      </c>
      <c r="B981" s="1" t="n">
        <v>44978</v>
      </c>
      <c r="C981" s="1" t="n">
        <v>45742</v>
      </c>
      <c r="D981" t="inlineStr">
        <is>
          <t>GÄVLEBORGS LÄN</t>
        </is>
      </c>
      <c r="E981" t="inlineStr">
        <is>
          <t>HUDIKSVALL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8822-2023</t>
        </is>
      </c>
      <c r="B982" s="1" t="n">
        <v>44978</v>
      </c>
      <c r="C982" s="1" t="n">
        <v>45742</v>
      </c>
      <c r="D982" t="inlineStr">
        <is>
          <t>GÄVLEBORGS LÄN</t>
        </is>
      </c>
      <c r="E982" t="inlineStr">
        <is>
          <t>HUDIKSVALL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9026-2023</t>
        </is>
      </c>
      <c r="B983" s="1" t="n">
        <v>44979</v>
      </c>
      <c r="C983" s="1" t="n">
        <v>45742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9163-2023</t>
        </is>
      </c>
      <c r="B984" s="1" t="n">
        <v>44980</v>
      </c>
      <c r="C984" s="1" t="n">
        <v>45742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9140-2023</t>
        </is>
      </c>
      <c r="B985" s="1" t="n">
        <v>44980</v>
      </c>
      <c r="C985" s="1" t="n">
        <v>45742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9179-2023</t>
        </is>
      </c>
      <c r="B986" s="1" t="n">
        <v>44980</v>
      </c>
      <c r="C986" s="1" t="n">
        <v>45742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9135-2023</t>
        </is>
      </c>
      <c r="B987" s="1" t="n">
        <v>44980</v>
      </c>
      <c r="C987" s="1" t="n">
        <v>45742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9172-2023</t>
        </is>
      </c>
      <c r="B988" s="1" t="n">
        <v>44980</v>
      </c>
      <c r="C988" s="1" t="n">
        <v>45742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10193-2023</t>
        </is>
      </c>
      <c r="B989" s="1" t="n">
        <v>44986</v>
      </c>
      <c r="C989" s="1" t="n">
        <v>45742</v>
      </c>
      <c r="D989" t="inlineStr">
        <is>
          <t>GÄVLEBORGS LÄN</t>
        </is>
      </c>
      <c r="E989" t="inlineStr">
        <is>
          <t>HUDIKSVALL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10190-2023</t>
        </is>
      </c>
      <c r="B990" s="1" t="n">
        <v>44986</v>
      </c>
      <c r="C990" s="1" t="n">
        <v>45742</v>
      </c>
      <c r="D990" t="inlineStr">
        <is>
          <t>GÄVLEBORGS LÄN</t>
        </is>
      </c>
      <c r="E990" t="inlineStr">
        <is>
          <t>HUDIKSVALL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10195-2023</t>
        </is>
      </c>
      <c r="B991" s="1" t="n">
        <v>44986</v>
      </c>
      <c r="C991" s="1" t="n">
        <v>45742</v>
      </c>
      <c r="D991" t="inlineStr">
        <is>
          <t>GÄVLEBORGS LÄN</t>
        </is>
      </c>
      <c r="E991" t="inlineStr">
        <is>
          <t>HUDIKSVALL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10375-2023</t>
        </is>
      </c>
      <c r="B992" s="1" t="n">
        <v>44987</v>
      </c>
      <c r="C992" s="1" t="n">
        <v>45742</v>
      </c>
      <c r="D992" t="inlineStr">
        <is>
          <t>GÄVLEBORGS LÄN</t>
        </is>
      </c>
      <c r="E992" t="inlineStr">
        <is>
          <t>HUDIKSVALL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10332-2023</t>
        </is>
      </c>
      <c r="B993" s="1" t="n">
        <v>44987</v>
      </c>
      <c r="C993" s="1" t="n">
        <v>45742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11082-2023</t>
        </is>
      </c>
      <c r="B994" s="1" t="n">
        <v>44992</v>
      </c>
      <c r="C994" s="1" t="n">
        <v>45742</v>
      </c>
      <c r="D994" t="inlineStr">
        <is>
          <t>GÄVLEBORGS LÄN</t>
        </is>
      </c>
      <c r="E994" t="inlineStr">
        <is>
          <t>HUDIKSVALL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11108-2023</t>
        </is>
      </c>
      <c r="B995" s="1" t="n">
        <v>44992</v>
      </c>
      <c r="C995" s="1" t="n">
        <v>45742</v>
      </c>
      <c r="D995" t="inlineStr">
        <is>
          <t>GÄVLEBORGS LÄN</t>
        </is>
      </c>
      <c r="E995" t="inlineStr">
        <is>
          <t>HUDIKSVALL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11267-2023</t>
        </is>
      </c>
      <c r="B996" s="1" t="n">
        <v>44992</v>
      </c>
      <c r="C996" s="1" t="n">
        <v>45742</v>
      </c>
      <c r="D996" t="inlineStr">
        <is>
          <t>GÄVLEBORGS LÄN</t>
        </is>
      </c>
      <c r="E996" t="inlineStr">
        <is>
          <t>HUDIKSVALL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11432-2023</t>
        </is>
      </c>
      <c r="B997" s="1" t="n">
        <v>44993</v>
      </c>
      <c r="C997" s="1" t="n">
        <v>45742</v>
      </c>
      <c r="D997" t="inlineStr">
        <is>
          <t>GÄVLEBORGS LÄN</t>
        </is>
      </c>
      <c r="E997" t="inlineStr">
        <is>
          <t>HUDIKSVALL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12239-2023</t>
        </is>
      </c>
      <c r="B998" s="1" t="n">
        <v>44998</v>
      </c>
      <c r="C998" s="1" t="n">
        <v>45742</v>
      </c>
      <c r="D998" t="inlineStr">
        <is>
          <t>GÄVLEBORGS LÄN</t>
        </is>
      </c>
      <c r="E998" t="inlineStr">
        <is>
          <t>HUDIKSVALL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12226-2023</t>
        </is>
      </c>
      <c r="B999" s="1" t="n">
        <v>44998</v>
      </c>
      <c r="C999" s="1" t="n">
        <v>45742</v>
      </c>
      <c r="D999" t="inlineStr">
        <is>
          <t>GÄVLEBORGS LÄN</t>
        </is>
      </c>
      <c r="E999" t="inlineStr">
        <is>
          <t>HUDIKSVALL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12674-2023</t>
        </is>
      </c>
      <c r="B1000" s="1" t="n">
        <v>45000</v>
      </c>
      <c r="C1000" s="1" t="n">
        <v>45742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12880-2023</t>
        </is>
      </c>
      <c r="B1001" s="1" t="n">
        <v>45001</v>
      </c>
      <c r="C1001" s="1" t="n">
        <v>45742</v>
      </c>
      <c r="D1001" t="inlineStr">
        <is>
          <t>GÄVLEBORGS LÄN</t>
        </is>
      </c>
      <c r="E1001" t="inlineStr">
        <is>
          <t>HUDIKSVALL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13039-2023</t>
        </is>
      </c>
      <c r="B1002" s="1" t="n">
        <v>45002</v>
      </c>
      <c r="C1002" s="1" t="n">
        <v>45742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13085-2023</t>
        </is>
      </c>
      <c r="B1003" s="1" t="n">
        <v>45002</v>
      </c>
      <c r="C1003" s="1" t="n">
        <v>45742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13159-2023</t>
        </is>
      </c>
      <c r="B1004" s="1" t="n">
        <v>45002</v>
      </c>
      <c r="C1004" s="1" t="n">
        <v>45742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13324-2023</t>
        </is>
      </c>
      <c r="B1005" s="1" t="n">
        <v>45005</v>
      </c>
      <c r="C1005" s="1" t="n">
        <v>45742</v>
      </c>
      <c r="D1005" t="inlineStr">
        <is>
          <t>GÄVLEBORGS LÄN</t>
        </is>
      </c>
      <c r="E1005" t="inlineStr">
        <is>
          <t>HUDIKSVALL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13484-2023</t>
        </is>
      </c>
      <c r="B1006" s="1" t="n">
        <v>45005</v>
      </c>
      <c r="C1006" s="1" t="n">
        <v>45742</v>
      </c>
      <c r="D1006" t="inlineStr">
        <is>
          <t>GÄVLEBORGS LÄN</t>
        </is>
      </c>
      <c r="E1006" t="inlineStr">
        <is>
          <t>HUDIKSVALL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13398-2023</t>
        </is>
      </c>
      <c r="B1007" s="1" t="n">
        <v>45005</v>
      </c>
      <c r="C1007" s="1" t="n">
        <v>45742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7.6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14016-2023</t>
        </is>
      </c>
      <c r="B1008" s="1" t="n">
        <v>45008</v>
      </c>
      <c r="C1008" s="1" t="n">
        <v>45742</v>
      </c>
      <c r="D1008" t="inlineStr">
        <is>
          <t>GÄVLEBORGS LÄN</t>
        </is>
      </c>
      <c r="E1008" t="inlineStr">
        <is>
          <t>HUDIKSVALL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14384-2023</t>
        </is>
      </c>
      <c r="B1009" s="1" t="n">
        <v>45012</v>
      </c>
      <c r="C1009" s="1" t="n">
        <v>45742</v>
      </c>
      <c r="D1009" t="inlineStr">
        <is>
          <t>GÄVLEBORGS LÄN</t>
        </is>
      </c>
      <c r="E1009" t="inlineStr">
        <is>
          <t>HUDIKSVALL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14401-2023</t>
        </is>
      </c>
      <c r="B1010" s="1" t="n">
        <v>45012</v>
      </c>
      <c r="C1010" s="1" t="n">
        <v>45742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14707-2023</t>
        </is>
      </c>
      <c r="B1011" s="1" t="n">
        <v>45014</v>
      </c>
      <c r="C1011" s="1" t="n">
        <v>45742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14796-2023</t>
        </is>
      </c>
      <c r="B1012" s="1" t="n">
        <v>45014</v>
      </c>
      <c r="C1012" s="1" t="n">
        <v>45742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14783-2023</t>
        </is>
      </c>
      <c r="B1013" s="1" t="n">
        <v>45014</v>
      </c>
      <c r="C1013" s="1" t="n">
        <v>45742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14955-2023</t>
        </is>
      </c>
      <c r="B1014" s="1" t="n">
        <v>45015</v>
      </c>
      <c r="C1014" s="1" t="n">
        <v>45742</v>
      </c>
      <c r="D1014" t="inlineStr">
        <is>
          <t>GÄVLEBORGS LÄN</t>
        </is>
      </c>
      <c r="E1014" t="inlineStr">
        <is>
          <t>HUDIKSVALL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15004-2023</t>
        </is>
      </c>
      <c r="B1015" s="1" t="n">
        <v>45015</v>
      </c>
      <c r="C1015" s="1" t="n">
        <v>45742</v>
      </c>
      <c r="D1015" t="inlineStr">
        <is>
          <t>GÄVLEBORGS LÄN</t>
        </is>
      </c>
      <c r="E1015" t="inlineStr">
        <is>
          <t>HUDIKSVALL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15107-2023</t>
        </is>
      </c>
      <c r="B1016" s="1" t="n">
        <v>45016</v>
      </c>
      <c r="C1016" s="1" t="n">
        <v>45742</v>
      </c>
      <c r="D1016" t="inlineStr">
        <is>
          <t>GÄVLEBORGS LÄN</t>
        </is>
      </c>
      <c r="E1016" t="inlineStr">
        <is>
          <t>HUDIKSVALL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15242-2023</t>
        </is>
      </c>
      <c r="B1017" s="1" t="n">
        <v>45019</v>
      </c>
      <c r="C1017" s="1" t="n">
        <v>45742</v>
      </c>
      <c r="D1017" t="inlineStr">
        <is>
          <t>GÄVLEBORGS LÄN</t>
        </is>
      </c>
      <c r="E1017" t="inlineStr">
        <is>
          <t>HUDIKSVALL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15233-2023</t>
        </is>
      </c>
      <c r="B1018" s="1" t="n">
        <v>45019</v>
      </c>
      <c r="C1018" s="1" t="n">
        <v>45742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15336-2023</t>
        </is>
      </c>
      <c r="B1019" s="1" t="n">
        <v>45019</v>
      </c>
      <c r="C1019" s="1" t="n">
        <v>45742</v>
      </c>
      <c r="D1019" t="inlineStr">
        <is>
          <t>GÄVLEBORGS LÄN</t>
        </is>
      </c>
      <c r="E1019" t="inlineStr">
        <is>
          <t>HUDIKSVALL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15306-2023</t>
        </is>
      </c>
      <c r="B1020" s="1" t="n">
        <v>45019</v>
      </c>
      <c r="C1020" s="1" t="n">
        <v>45742</v>
      </c>
      <c r="D1020" t="inlineStr">
        <is>
          <t>GÄVLEBORGS LÄN</t>
        </is>
      </c>
      <c r="E1020" t="inlineStr">
        <is>
          <t>HUDIKSVALL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15521-2023</t>
        </is>
      </c>
      <c r="B1021" s="1" t="n">
        <v>45020</v>
      </c>
      <c r="C1021" s="1" t="n">
        <v>45742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15553-2023</t>
        </is>
      </c>
      <c r="B1022" s="1" t="n">
        <v>45020</v>
      </c>
      <c r="C1022" s="1" t="n">
        <v>45742</v>
      </c>
      <c r="D1022" t="inlineStr">
        <is>
          <t>GÄVLEBORGS LÄN</t>
        </is>
      </c>
      <c r="E1022" t="inlineStr">
        <is>
          <t>HUDIKSVALL</t>
        </is>
      </c>
      <c r="G1022" t="n">
        <v>11.1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15736-2023</t>
        </is>
      </c>
      <c r="B1023" s="1" t="n">
        <v>45021</v>
      </c>
      <c r="C1023" s="1" t="n">
        <v>45742</v>
      </c>
      <c r="D1023" t="inlineStr">
        <is>
          <t>GÄVLEBORGS LÄN</t>
        </is>
      </c>
      <c r="E1023" t="inlineStr">
        <is>
          <t>HUDIKSVALL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15859-2023</t>
        </is>
      </c>
      <c r="B1024" s="1" t="n">
        <v>45022</v>
      </c>
      <c r="C1024" s="1" t="n">
        <v>45742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15961-2023</t>
        </is>
      </c>
      <c r="B1025" s="1" t="n">
        <v>45022</v>
      </c>
      <c r="C1025" s="1" t="n">
        <v>45742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15872-2023</t>
        </is>
      </c>
      <c r="B1026" s="1" t="n">
        <v>45022</v>
      </c>
      <c r="C1026" s="1" t="n">
        <v>45742</v>
      </c>
      <c r="D1026" t="inlineStr">
        <is>
          <t>GÄVLEBORGS LÄN</t>
        </is>
      </c>
      <c r="E1026" t="inlineStr">
        <is>
          <t>HUDIKSVALL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15877-2023</t>
        </is>
      </c>
      <c r="B1027" s="1" t="n">
        <v>45022</v>
      </c>
      <c r="C1027" s="1" t="n">
        <v>45742</v>
      </c>
      <c r="D1027" t="inlineStr">
        <is>
          <t>GÄVLEBORGS LÄN</t>
        </is>
      </c>
      <c r="E1027" t="inlineStr">
        <is>
          <t>HUDIKSVALL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15883-2023</t>
        </is>
      </c>
      <c r="B1028" s="1" t="n">
        <v>45022</v>
      </c>
      <c r="C1028" s="1" t="n">
        <v>45742</v>
      </c>
      <c r="D1028" t="inlineStr">
        <is>
          <t>GÄVLEBORGS LÄN</t>
        </is>
      </c>
      <c r="E1028" t="inlineStr">
        <is>
          <t>HUDIKSVALL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  <c r="U1028">
        <f>HYPERLINK("https://klasma.github.io/Logging_2184/knärot/A 15883-2023 karta knärot.png", "A 15883-2023")</f>
        <v/>
      </c>
      <c r="V1028">
        <f>HYPERLINK("https://klasma.github.io/Logging_2184/klagomål/A 15883-2023 FSC-klagomål.docx", "A 15883-2023")</f>
        <v/>
      </c>
      <c r="W1028">
        <f>HYPERLINK("https://klasma.github.io/Logging_2184/klagomålsmail/A 15883-2023 FSC-klagomål mail.docx", "A 15883-2023")</f>
        <v/>
      </c>
      <c r="X1028">
        <f>HYPERLINK("https://klasma.github.io/Logging_2184/tillsyn/A 15883-2023 tillsynsbegäran.docx", "A 15883-2023")</f>
        <v/>
      </c>
      <c r="Y1028">
        <f>HYPERLINK("https://klasma.github.io/Logging_2184/tillsynsmail/A 15883-2023 tillsynsbegäran mail.docx", "A 15883-2023")</f>
        <v/>
      </c>
    </row>
    <row r="1029" ht="15" customHeight="1">
      <c r="A1029" t="inlineStr">
        <is>
          <t>A 16025-2023</t>
        </is>
      </c>
      <c r="B1029" s="1" t="n">
        <v>45027</v>
      </c>
      <c r="C1029" s="1" t="n">
        <v>45742</v>
      </c>
      <c r="D1029" t="inlineStr">
        <is>
          <t>GÄVLEBORGS LÄN</t>
        </is>
      </c>
      <c r="E1029" t="inlineStr">
        <is>
          <t>HUDIKSVALL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16123-2023</t>
        </is>
      </c>
      <c r="B1030" s="1" t="n">
        <v>45027</v>
      </c>
      <c r="C1030" s="1" t="n">
        <v>45742</v>
      </c>
      <c r="D1030" t="inlineStr">
        <is>
          <t>GÄVLEBORGS LÄN</t>
        </is>
      </c>
      <c r="E1030" t="inlineStr">
        <is>
          <t>HUDIKSVALL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16073-2023</t>
        </is>
      </c>
      <c r="B1031" s="1" t="n">
        <v>45027</v>
      </c>
      <c r="C1031" s="1" t="n">
        <v>45742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16327-2023</t>
        </is>
      </c>
      <c r="B1032" s="1" t="n">
        <v>45028</v>
      </c>
      <c r="C1032" s="1" t="n">
        <v>45742</v>
      </c>
      <c r="D1032" t="inlineStr">
        <is>
          <t>GÄVLEBORGS LÄN</t>
        </is>
      </c>
      <c r="E1032" t="inlineStr">
        <is>
          <t>HUDIKSVALL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16849-2023</t>
        </is>
      </c>
      <c r="B1033" s="1" t="n">
        <v>45033</v>
      </c>
      <c r="C1033" s="1" t="n">
        <v>45742</v>
      </c>
      <c r="D1033" t="inlineStr">
        <is>
          <t>GÄVLEBORGS LÄN</t>
        </is>
      </c>
      <c r="E1033" t="inlineStr">
        <is>
          <t>HUDIKSVALL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16934-2023</t>
        </is>
      </c>
      <c r="B1034" s="1" t="n">
        <v>45033</v>
      </c>
      <c r="C1034" s="1" t="n">
        <v>45742</v>
      </c>
      <c r="D1034" t="inlineStr">
        <is>
          <t>GÄVLEBORGS LÄN</t>
        </is>
      </c>
      <c r="E1034" t="inlineStr">
        <is>
          <t>HUDIKSVALL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17360-2023</t>
        </is>
      </c>
      <c r="B1035" s="1" t="n">
        <v>45033</v>
      </c>
      <c r="C1035" s="1" t="n">
        <v>45742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17097-2023</t>
        </is>
      </c>
      <c r="B1036" s="1" t="n">
        <v>45034</v>
      </c>
      <c r="C1036" s="1" t="n">
        <v>45742</v>
      </c>
      <c r="D1036" t="inlineStr">
        <is>
          <t>GÄVLEBORGS LÄN</t>
        </is>
      </c>
      <c r="E1036" t="inlineStr">
        <is>
          <t>HUDIKSVALL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17164-2023</t>
        </is>
      </c>
      <c r="B1037" s="1" t="n">
        <v>45034</v>
      </c>
      <c r="C1037" s="1" t="n">
        <v>45742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17182-2023</t>
        </is>
      </c>
      <c r="B1038" s="1" t="n">
        <v>45034</v>
      </c>
      <c r="C1038" s="1" t="n">
        <v>45742</v>
      </c>
      <c r="D1038" t="inlineStr">
        <is>
          <t>GÄVLEBORGS LÄN</t>
        </is>
      </c>
      <c r="E1038" t="inlineStr">
        <is>
          <t>HUDIKSVALL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17426-2023</t>
        </is>
      </c>
      <c r="B1039" s="1" t="n">
        <v>45035</v>
      </c>
      <c r="C1039" s="1" t="n">
        <v>45742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17966-2023</t>
        </is>
      </c>
      <c r="B1040" s="1" t="n">
        <v>45040</v>
      </c>
      <c r="C1040" s="1" t="n">
        <v>45742</v>
      </c>
      <c r="D1040" t="inlineStr">
        <is>
          <t>GÄVLEBORGS LÄN</t>
        </is>
      </c>
      <c r="E1040" t="inlineStr">
        <is>
          <t>HUDIKSVALL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18251-2023</t>
        </is>
      </c>
      <c r="B1041" s="1" t="n">
        <v>45041</v>
      </c>
      <c r="C1041" s="1" t="n">
        <v>45742</v>
      </c>
      <c r="D1041" t="inlineStr">
        <is>
          <t>GÄVLEBORGS LÄN</t>
        </is>
      </c>
      <c r="E1041" t="inlineStr">
        <is>
          <t>HUDIKSVALL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18180-2023</t>
        </is>
      </c>
      <c r="B1042" s="1" t="n">
        <v>45041</v>
      </c>
      <c r="C1042" s="1" t="n">
        <v>45742</v>
      </c>
      <c r="D1042" t="inlineStr">
        <is>
          <t>GÄVLEBORGS LÄN</t>
        </is>
      </c>
      <c r="E1042" t="inlineStr">
        <is>
          <t>HUDIKSVALL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18189-2023</t>
        </is>
      </c>
      <c r="B1043" s="1" t="n">
        <v>45041</v>
      </c>
      <c r="C1043" s="1" t="n">
        <v>45742</v>
      </c>
      <c r="D1043" t="inlineStr">
        <is>
          <t>GÄVLEBORGS LÄN</t>
        </is>
      </c>
      <c r="E1043" t="inlineStr">
        <is>
          <t>HUDIKSVALL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18205-2023</t>
        </is>
      </c>
      <c r="B1044" s="1" t="n">
        <v>45041</v>
      </c>
      <c r="C1044" s="1" t="n">
        <v>45742</v>
      </c>
      <c r="D1044" t="inlineStr">
        <is>
          <t>GÄVLEBORGS LÄN</t>
        </is>
      </c>
      <c r="E1044" t="inlineStr">
        <is>
          <t>HUDIKSVALL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18226-2023</t>
        </is>
      </c>
      <c r="B1045" s="1" t="n">
        <v>45041</v>
      </c>
      <c r="C1045" s="1" t="n">
        <v>45742</v>
      </c>
      <c r="D1045" t="inlineStr">
        <is>
          <t>GÄVLEBORGS LÄN</t>
        </is>
      </c>
      <c r="E1045" t="inlineStr">
        <is>
          <t>HUDIKSVALL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18284-2023</t>
        </is>
      </c>
      <c r="B1046" s="1" t="n">
        <v>45041</v>
      </c>
      <c r="C1046" s="1" t="n">
        <v>45742</v>
      </c>
      <c r="D1046" t="inlineStr">
        <is>
          <t>GÄVLEBORGS LÄN</t>
        </is>
      </c>
      <c r="E1046" t="inlineStr">
        <is>
          <t>HUDIKSVALL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18568-2023</t>
        </is>
      </c>
      <c r="B1047" s="1" t="n">
        <v>45043</v>
      </c>
      <c r="C1047" s="1" t="n">
        <v>45742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18657-2023</t>
        </is>
      </c>
      <c r="B1048" s="1" t="n">
        <v>45043</v>
      </c>
      <c r="C1048" s="1" t="n">
        <v>45742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18835-2023</t>
        </is>
      </c>
      <c r="B1049" s="1" t="n">
        <v>45044</v>
      </c>
      <c r="C1049" s="1" t="n">
        <v>45742</v>
      </c>
      <c r="D1049" t="inlineStr">
        <is>
          <t>GÄVLEBORGS LÄN</t>
        </is>
      </c>
      <c r="E1049" t="inlineStr">
        <is>
          <t>HUDIKSVALL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18904-2023</t>
        </is>
      </c>
      <c r="B1050" s="1" t="n">
        <v>45044</v>
      </c>
      <c r="C1050" s="1" t="n">
        <v>45742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18887-2023</t>
        </is>
      </c>
      <c r="B1051" s="1" t="n">
        <v>45044</v>
      </c>
      <c r="C1051" s="1" t="n">
        <v>45742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18910-2023</t>
        </is>
      </c>
      <c r="B1052" s="1" t="n">
        <v>45044</v>
      </c>
      <c r="C1052" s="1" t="n">
        <v>45742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19156-2023</t>
        </is>
      </c>
      <c r="B1053" s="1" t="n">
        <v>45048</v>
      </c>
      <c r="C1053" s="1" t="n">
        <v>45742</v>
      </c>
      <c r="D1053" t="inlineStr">
        <is>
          <t>GÄVLEBORGS LÄN</t>
        </is>
      </c>
      <c r="E1053" t="inlineStr">
        <is>
          <t>HUDIKSVALL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19171-2023</t>
        </is>
      </c>
      <c r="B1054" s="1" t="n">
        <v>45048</v>
      </c>
      <c r="C1054" s="1" t="n">
        <v>45742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19096-2023</t>
        </is>
      </c>
      <c r="B1055" s="1" t="n">
        <v>45048</v>
      </c>
      <c r="C1055" s="1" t="n">
        <v>45742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19104-2023</t>
        </is>
      </c>
      <c r="B1056" s="1" t="n">
        <v>45048</v>
      </c>
      <c r="C1056" s="1" t="n">
        <v>45742</v>
      </c>
      <c r="D1056" t="inlineStr">
        <is>
          <t>GÄVLEBORGS LÄN</t>
        </is>
      </c>
      <c r="E1056" t="inlineStr">
        <is>
          <t>HUDIKSVALL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HYPERLINK("https://klasma.github.io/Logging_2184/knärot/A 19104-2023 karta knärot.png", "A 19104-2023")</f>
        <v/>
      </c>
      <c r="V1056">
        <f>HYPERLINK("https://klasma.github.io/Logging_2184/klagomål/A 19104-2023 FSC-klagomål.docx", "A 19104-2023")</f>
        <v/>
      </c>
      <c r="W1056">
        <f>HYPERLINK("https://klasma.github.io/Logging_2184/klagomålsmail/A 19104-2023 FSC-klagomål mail.docx", "A 19104-2023")</f>
        <v/>
      </c>
      <c r="X1056">
        <f>HYPERLINK("https://klasma.github.io/Logging_2184/tillsyn/A 19104-2023 tillsynsbegäran.docx", "A 19104-2023")</f>
        <v/>
      </c>
      <c r="Y1056">
        <f>HYPERLINK("https://klasma.github.io/Logging_2184/tillsynsmail/A 19104-2023 tillsynsbegäran mail.docx", "A 19104-2023")</f>
        <v/>
      </c>
    </row>
    <row r="1057" ht="15" customHeight="1">
      <c r="A1057" t="inlineStr">
        <is>
          <t>A 19130-2023</t>
        </is>
      </c>
      <c r="B1057" s="1" t="n">
        <v>45048</v>
      </c>
      <c r="C1057" s="1" t="n">
        <v>45742</v>
      </c>
      <c r="D1057" t="inlineStr">
        <is>
          <t>GÄVLEBORGS LÄN</t>
        </is>
      </c>
      <c r="E1057" t="inlineStr">
        <is>
          <t>HUDIKSVALL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19282-2023</t>
        </is>
      </c>
      <c r="B1058" s="1" t="n">
        <v>45049</v>
      </c>
      <c r="C1058" s="1" t="n">
        <v>45742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19499-2023</t>
        </is>
      </c>
      <c r="B1059" s="1" t="n">
        <v>45050</v>
      </c>
      <c r="C1059" s="1" t="n">
        <v>45742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8.199999999999999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19484-2023</t>
        </is>
      </c>
      <c r="B1060" s="1" t="n">
        <v>45050</v>
      </c>
      <c r="C1060" s="1" t="n">
        <v>45742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19641-2023</t>
        </is>
      </c>
      <c r="B1061" s="1" t="n">
        <v>45051</v>
      </c>
      <c r="C1061" s="1" t="n">
        <v>45742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19738-2023</t>
        </is>
      </c>
      <c r="B1062" s="1" t="n">
        <v>45051</v>
      </c>
      <c r="C1062" s="1" t="n">
        <v>45742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19736-2023</t>
        </is>
      </c>
      <c r="B1063" s="1" t="n">
        <v>45051</v>
      </c>
      <c r="C1063" s="1" t="n">
        <v>45742</v>
      </c>
      <c r="D1063" t="inlineStr">
        <is>
          <t>GÄVLEBORGS LÄN</t>
        </is>
      </c>
      <c r="E1063" t="inlineStr">
        <is>
          <t>HUDIKSVALL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19850-2023</t>
        </is>
      </c>
      <c r="B1064" s="1" t="n">
        <v>45053</v>
      </c>
      <c r="C1064" s="1" t="n">
        <v>45742</v>
      </c>
      <c r="D1064" t="inlineStr">
        <is>
          <t>GÄVLEBORGS LÄN</t>
        </is>
      </c>
      <c r="E1064" t="inlineStr">
        <is>
          <t>HUDIKSVALL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19931-2023</t>
        </is>
      </c>
      <c r="B1065" s="1" t="n">
        <v>45054</v>
      </c>
      <c r="C1065" s="1" t="n">
        <v>45742</v>
      </c>
      <c r="D1065" t="inlineStr">
        <is>
          <t>GÄVLEBORGS LÄN</t>
        </is>
      </c>
      <c r="E1065" t="inlineStr">
        <is>
          <t>HUDIKSVALL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19921-2023</t>
        </is>
      </c>
      <c r="B1066" s="1" t="n">
        <v>45054</v>
      </c>
      <c r="C1066" s="1" t="n">
        <v>45742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19979-2023</t>
        </is>
      </c>
      <c r="B1067" s="1" t="n">
        <v>45054</v>
      </c>
      <c r="C1067" s="1" t="n">
        <v>45742</v>
      </c>
      <c r="D1067" t="inlineStr">
        <is>
          <t>GÄVLEBORGS LÄN</t>
        </is>
      </c>
      <c r="E1067" t="inlineStr">
        <is>
          <t>HUDIKSVALL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19922-2023</t>
        </is>
      </c>
      <c r="B1068" s="1" t="n">
        <v>45054</v>
      </c>
      <c r="C1068" s="1" t="n">
        <v>45742</v>
      </c>
      <c r="D1068" t="inlineStr">
        <is>
          <t>GÄVLEBORGS LÄN</t>
        </is>
      </c>
      <c r="E1068" t="inlineStr">
        <is>
          <t>HUDIKSVALL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20208-2023</t>
        </is>
      </c>
      <c r="B1069" s="1" t="n">
        <v>45055</v>
      </c>
      <c r="C1069" s="1" t="n">
        <v>45742</v>
      </c>
      <c r="D1069" t="inlineStr">
        <is>
          <t>GÄVLEBORGS LÄN</t>
        </is>
      </c>
      <c r="E1069" t="inlineStr">
        <is>
          <t>HUDIKSVALL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20200-2023</t>
        </is>
      </c>
      <c r="B1070" s="1" t="n">
        <v>45055</v>
      </c>
      <c r="C1070" s="1" t="n">
        <v>45742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20235-2023</t>
        </is>
      </c>
      <c r="B1071" s="1" t="n">
        <v>45055</v>
      </c>
      <c r="C1071" s="1" t="n">
        <v>45742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20257-2023</t>
        </is>
      </c>
      <c r="B1072" s="1" t="n">
        <v>45055</v>
      </c>
      <c r="C1072" s="1" t="n">
        <v>45742</v>
      </c>
      <c r="D1072" t="inlineStr">
        <is>
          <t>GÄVLEBORGS LÄN</t>
        </is>
      </c>
      <c r="E1072" t="inlineStr">
        <is>
          <t>HUDIKSVALL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20313-2023</t>
        </is>
      </c>
      <c r="B1073" s="1" t="n">
        <v>45056</v>
      </c>
      <c r="C1073" s="1" t="n">
        <v>45742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Kommuner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20287-2023</t>
        </is>
      </c>
      <c r="B1074" s="1" t="n">
        <v>45056</v>
      </c>
      <c r="C1074" s="1" t="n">
        <v>45742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20589-2023</t>
        </is>
      </c>
      <c r="B1075" s="1" t="n">
        <v>45057</v>
      </c>
      <c r="C1075" s="1" t="n">
        <v>45742</v>
      </c>
      <c r="D1075" t="inlineStr">
        <is>
          <t>GÄVLEBORGS LÄN</t>
        </is>
      </c>
      <c r="E1075" t="inlineStr">
        <is>
          <t>HUDIKSVALL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20711-2023</t>
        </is>
      </c>
      <c r="B1076" s="1" t="n">
        <v>45058</v>
      </c>
      <c r="C1076" s="1" t="n">
        <v>45742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21040-2023</t>
        </is>
      </c>
      <c r="B1077" s="1" t="n">
        <v>45061</v>
      </c>
      <c r="C1077" s="1" t="n">
        <v>45742</v>
      </c>
      <c r="D1077" t="inlineStr">
        <is>
          <t>GÄVLEBORGS LÄN</t>
        </is>
      </c>
      <c r="E1077" t="inlineStr">
        <is>
          <t>HUDIKSVALL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20963-2023</t>
        </is>
      </c>
      <c r="B1078" s="1" t="n">
        <v>45061</v>
      </c>
      <c r="C1078" s="1" t="n">
        <v>45742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21251-2023</t>
        </is>
      </c>
      <c r="B1079" s="1" t="n">
        <v>45062</v>
      </c>
      <c r="C1079" s="1" t="n">
        <v>45742</v>
      </c>
      <c r="D1079" t="inlineStr">
        <is>
          <t>GÄVLEBORGS LÄN</t>
        </is>
      </c>
      <c r="E1079" t="inlineStr">
        <is>
          <t>HUDIKSVALL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21305-2023</t>
        </is>
      </c>
      <c r="B1080" s="1" t="n">
        <v>45062</v>
      </c>
      <c r="C1080" s="1" t="n">
        <v>45742</v>
      </c>
      <c r="D1080" t="inlineStr">
        <is>
          <t>GÄVLEBORGS LÄN</t>
        </is>
      </c>
      <c r="E1080" t="inlineStr">
        <is>
          <t>HUDIKSVALL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21611-2023</t>
        </is>
      </c>
      <c r="B1081" s="1" t="n">
        <v>45062</v>
      </c>
      <c r="C1081" s="1" t="n">
        <v>45742</v>
      </c>
      <c r="D1081" t="inlineStr">
        <is>
          <t>GÄVLEBORGS LÄN</t>
        </is>
      </c>
      <c r="E1081" t="inlineStr">
        <is>
          <t>HUDIKSVALL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21459-2023</t>
        </is>
      </c>
      <c r="B1082" s="1" t="n">
        <v>45063</v>
      </c>
      <c r="C1082" s="1" t="n">
        <v>45742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21452-2023</t>
        </is>
      </c>
      <c r="B1083" s="1" t="n">
        <v>45063</v>
      </c>
      <c r="C1083" s="1" t="n">
        <v>45742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21618-2023</t>
        </is>
      </c>
      <c r="B1084" s="1" t="n">
        <v>45063</v>
      </c>
      <c r="C1084" s="1" t="n">
        <v>45742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21724-2023</t>
        </is>
      </c>
      <c r="B1085" s="1" t="n">
        <v>45065</v>
      </c>
      <c r="C1085" s="1" t="n">
        <v>45742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21750-2023</t>
        </is>
      </c>
      <c r="B1086" s="1" t="n">
        <v>45065</v>
      </c>
      <c r="C1086" s="1" t="n">
        <v>45742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21715-2023</t>
        </is>
      </c>
      <c r="B1087" s="1" t="n">
        <v>45065</v>
      </c>
      <c r="C1087" s="1" t="n">
        <v>45742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21774-2023</t>
        </is>
      </c>
      <c r="B1088" s="1" t="n">
        <v>45066</v>
      </c>
      <c r="C1088" s="1" t="n">
        <v>45742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21773-2023</t>
        </is>
      </c>
      <c r="B1089" s="1" t="n">
        <v>45066</v>
      </c>
      <c r="C1089" s="1" t="n">
        <v>45742</v>
      </c>
      <c r="D1089" t="inlineStr">
        <is>
          <t>GÄVLEBORGS LÄN</t>
        </is>
      </c>
      <c r="E1089" t="inlineStr">
        <is>
          <t>HUDIKSVALL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21772-2023</t>
        </is>
      </c>
      <c r="B1090" s="1" t="n">
        <v>45066</v>
      </c>
      <c r="C1090" s="1" t="n">
        <v>45742</v>
      </c>
      <c r="D1090" t="inlineStr">
        <is>
          <t>GÄVLEBORGS LÄN</t>
        </is>
      </c>
      <c r="E1090" t="inlineStr">
        <is>
          <t>HUDIKSVALL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21819-2023</t>
        </is>
      </c>
      <c r="B1091" s="1" t="n">
        <v>45068</v>
      </c>
      <c r="C1091" s="1" t="n">
        <v>45742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21966-2023</t>
        </is>
      </c>
      <c r="B1092" s="1" t="n">
        <v>45068</v>
      </c>
      <c r="C1092" s="1" t="n">
        <v>45742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21880-2023</t>
        </is>
      </c>
      <c r="B1093" s="1" t="n">
        <v>45068</v>
      </c>
      <c r="C1093" s="1" t="n">
        <v>45742</v>
      </c>
      <c r="D1093" t="inlineStr">
        <is>
          <t>GÄVLEBORGS LÄN</t>
        </is>
      </c>
      <c r="E1093" t="inlineStr">
        <is>
          <t>HUDIKSVALL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21982-2023</t>
        </is>
      </c>
      <c r="B1094" s="1" t="n">
        <v>45068</v>
      </c>
      <c r="C1094" s="1" t="n">
        <v>45742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22130-2023</t>
        </is>
      </c>
      <c r="B1095" s="1" t="n">
        <v>45069</v>
      </c>
      <c r="C1095" s="1" t="n">
        <v>45742</v>
      </c>
      <c r="D1095" t="inlineStr">
        <is>
          <t>GÄVLEBORGS LÄN</t>
        </is>
      </c>
      <c r="E1095" t="inlineStr">
        <is>
          <t>HUDIKSVALL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22372-2023</t>
        </is>
      </c>
      <c r="B1096" s="1" t="n">
        <v>45070</v>
      </c>
      <c r="C1096" s="1" t="n">
        <v>45742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22377-2023</t>
        </is>
      </c>
      <c r="B1097" s="1" t="n">
        <v>45070</v>
      </c>
      <c r="C1097" s="1" t="n">
        <v>45742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22349-2023</t>
        </is>
      </c>
      <c r="B1098" s="1" t="n">
        <v>45070</v>
      </c>
      <c r="C1098" s="1" t="n">
        <v>45742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22438-2023</t>
        </is>
      </c>
      <c r="B1099" s="1" t="n">
        <v>45070</v>
      </c>
      <c r="C1099" s="1" t="n">
        <v>45742</v>
      </c>
      <c r="D1099" t="inlineStr">
        <is>
          <t>GÄVLEBORGS LÄN</t>
        </is>
      </c>
      <c r="E1099" t="inlineStr">
        <is>
          <t>HUDIKSVALL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22348-2023</t>
        </is>
      </c>
      <c r="B1100" s="1" t="n">
        <v>45070</v>
      </c>
      <c r="C1100" s="1" t="n">
        <v>45742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22588-2023</t>
        </is>
      </c>
      <c r="B1101" s="1" t="n">
        <v>45071</v>
      </c>
      <c r="C1101" s="1" t="n">
        <v>45742</v>
      </c>
      <c r="D1101" t="inlineStr">
        <is>
          <t>GÄVLEBORGS LÄN</t>
        </is>
      </c>
      <c r="E1101" t="inlineStr">
        <is>
          <t>HUDIKSVALL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22593-2023</t>
        </is>
      </c>
      <c r="B1102" s="1" t="n">
        <v>45071</v>
      </c>
      <c r="C1102" s="1" t="n">
        <v>45742</v>
      </c>
      <c r="D1102" t="inlineStr">
        <is>
          <t>GÄVLEBORGS LÄN</t>
        </is>
      </c>
      <c r="E1102" t="inlineStr">
        <is>
          <t>HUDIKSVALL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22575-2023</t>
        </is>
      </c>
      <c r="B1103" s="1" t="n">
        <v>45071</v>
      </c>
      <c r="C1103" s="1" t="n">
        <v>45742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22892-2023</t>
        </is>
      </c>
      <c r="B1104" s="1" t="n">
        <v>45072</v>
      </c>
      <c r="C1104" s="1" t="n">
        <v>45742</v>
      </c>
      <c r="D1104" t="inlineStr">
        <is>
          <t>GÄVLEBORGS LÄN</t>
        </is>
      </c>
      <c r="E1104" t="inlineStr">
        <is>
          <t>HUDIKSVALL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22945-2023</t>
        </is>
      </c>
      <c r="B1105" s="1" t="n">
        <v>45072</v>
      </c>
      <c r="C1105" s="1" t="n">
        <v>45742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23219-2023</t>
        </is>
      </c>
      <c r="B1106" s="1" t="n">
        <v>45075</v>
      </c>
      <c r="C1106" s="1" t="n">
        <v>45742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23252-2023</t>
        </is>
      </c>
      <c r="B1107" s="1" t="n">
        <v>45075</v>
      </c>
      <c r="C1107" s="1" t="n">
        <v>45742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23276-2023</t>
        </is>
      </c>
      <c r="B1108" s="1" t="n">
        <v>45076</v>
      </c>
      <c r="C1108" s="1" t="n">
        <v>45742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23169-2023</t>
        </is>
      </c>
      <c r="B1109" s="1" t="n">
        <v>45075</v>
      </c>
      <c r="C1109" s="1" t="n">
        <v>45742</v>
      </c>
      <c r="D1109" t="inlineStr">
        <is>
          <t>GÄVLEBORGS LÄN</t>
        </is>
      </c>
      <c r="E1109" t="inlineStr">
        <is>
          <t>HUDIKSVALL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23187-2023</t>
        </is>
      </c>
      <c r="B1110" s="1" t="n">
        <v>45075</v>
      </c>
      <c r="C1110" s="1" t="n">
        <v>45742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Kommuner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23468-2023</t>
        </is>
      </c>
      <c r="B1111" s="1" t="n">
        <v>45076</v>
      </c>
      <c r="C1111" s="1" t="n">
        <v>45742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23365-2023</t>
        </is>
      </c>
      <c r="B1112" s="1" t="n">
        <v>45076</v>
      </c>
      <c r="C1112" s="1" t="n">
        <v>45742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7.3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23657-2023</t>
        </is>
      </c>
      <c r="B1113" s="1" t="n">
        <v>45077</v>
      </c>
      <c r="C1113" s="1" t="n">
        <v>45742</v>
      </c>
      <c r="D1113" t="inlineStr">
        <is>
          <t>GÄVLEBORGS LÄN</t>
        </is>
      </c>
      <c r="E1113" t="inlineStr">
        <is>
          <t>HUDIKSVALL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23784-2023</t>
        </is>
      </c>
      <c r="B1114" s="1" t="n">
        <v>45078</v>
      </c>
      <c r="C1114" s="1" t="n">
        <v>45742</v>
      </c>
      <c r="D1114" t="inlineStr">
        <is>
          <t>GÄVLEBORGS LÄN</t>
        </is>
      </c>
      <c r="E1114" t="inlineStr">
        <is>
          <t>HUDIKSVALL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23792-2023</t>
        </is>
      </c>
      <c r="B1115" s="1" t="n">
        <v>45078</v>
      </c>
      <c r="C1115" s="1" t="n">
        <v>45742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23921-2023</t>
        </is>
      </c>
      <c r="B1116" s="1" t="n">
        <v>45078</v>
      </c>
      <c r="C1116" s="1" t="n">
        <v>45742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23787-2023</t>
        </is>
      </c>
      <c r="B1117" s="1" t="n">
        <v>45078</v>
      </c>
      <c r="C1117" s="1" t="n">
        <v>45742</v>
      </c>
      <c r="D1117" t="inlineStr">
        <is>
          <t>GÄVLEBORGS LÄN</t>
        </is>
      </c>
      <c r="E1117" t="inlineStr">
        <is>
          <t>HUDIKSVALL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HYPERLINK("https://klasma.github.io/Logging_2184/knärot/A 23787-2023 karta knärot.png", "A 23787-2023")</f>
        <v/>
      </c>
      <c r="V1117">
        <f>HYPERLINK("https://klasma.github.io/Logging_2184/klagomål/A 23787-2023 FSC-klagomål.docx", "A 23787-2023")</f>
        <v/>
      </c>
      <c r="W1117">
        <f>HYPERLINK("https://klasma.github.io/Logging_2184/klagomålsmail/A 23787-2023 FSC-klagomål mail.docx", "A 23787-2023")</f>
        <v/>
      </c>
      <c r="X1117">
        <f>HYPERLINK("https://klasma.github.io/Logging_2184/tillsyn/A 23787-2023 tillsynsbegäran.docx", "A 23787-2023")</f>
        <v/>
      </c>
      <c r="Y1117">
        <f>HYPERLINK("https://klasma.github.io/Logging_2184/tillsynsmail/A 23787-2023 tillsynsbegäran mail.docx", "A 23787-2023")</f>
        <v/>
      </c>
    </row>
    <row r="1118" ht="15" customHeight="1">
      <c r="A1118" t="inlineStr">
        <is>
          <t>A 23928-2023</t>
        </is>
      </c>
      <c r="B1118" s="1" t="n">
        <v>45078</v>
      </c>
      <c r="C1118" s="1" t="n">
        <v>45742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23845-2023</t>
        </is>
      </c>
      <c r="B1119" s="1" t="n">
        <v>45078</v>
      </c>
      <c r="C1119" s="1" t="n">
        <v>45742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23924-2023</t>
        </is>
      </c>
      <c r="B1120" s="1" t="n">
        <v>45078</v>
      </c>
      <c r="C1120" s="1" t="n">
        <v>45742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24199-2023</t>
        </is>
      </c>
      <c r="B1121" s="1" t="n">
        <v>45079</v>
      </c>
      <c r="C1121" s="1" t="n">
        <v>45742</v>
      </c>
      <c r="D1121" t="inlineStr">
        <is>
          <t>GÄVLEBORGS LÄN</t>
        </is>
      </c>
      <c r="E1121" t="inlineStr">
        <is>
          <t>HUDIKSVALL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24217-2023</t>
        </is>
      </c>
      <c r="B1122" s="1" t="n">
        <v>45079</v>
      </c>
      <c r="C1122" s="1" t="n">
        <v>45742</v>
      </c>
      <c r="D1122" t="inlineStr">
        <is>
          <t>GÄVLEBORGS LÄN</t>
        </is>
      </c>
      <c r="E1122" t="inlineStr">
        <is>
          <t>HUDIKSVALL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24088-2023</t>
        </is>
      </c>
      <c r="B1123" s="1" t="n">
        <v>45079</v>
      </c>
      <c r="C1123" s="1" t="n">
        <v>45742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24092-2023</t>
        </is>
      </c>
      <c r="B1124" s="1" t="n">
        <v>45079</v>
      </c>
      <c r="C1124" s="1" t="n">
        <v>45742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24201-2023</t>
        </is>
      </c>
      <c r="B1125" s="1" t="n">
        <v>45079</v>
      </c>
      <c r="C1125" s="1" t="n">
        <v>45742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24205-2023</t>
        </is>
      </c>
      <c r="B1126" s="1" t="n">
        <v>45079</v>
      </c>
      <c r="C1126" s="1" t="n">
        <v>45742</v>
      </c>
      <c r="D1126" t="inlineStr">
        <is>
          <t>GÄVLEBORGS LÄN</t>
        </is>
      </c>
      <c r="E1126" t="inlineStr">
        <is>
          <t>HUDIKSVALL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24209-2023</t>
        </is>
      </c>
      <c r="B1127" s="1" t="n">
        <v>45079</v>
      </c>
      <c r="C1127" s="1" t="n">
        <v>45742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24223-2023</t>
        </is>
      </c>
      <c r="B1128" s="1" t="n">
        <v>45079</v>
      </c>
      <c r="C1128" s="1" t="n">
        <v>45742</v>
      </c>
      <c r="D1128" t="inlineStr">
        <is>
          <t>GÄVLEBORGS LÄN</t>
        </is>
      </c>
      <c r="E1128" t="inlineStr">
        <is>
          <t>HUDIKSVALL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24210-2023</t>
        </is>
      </c>
      <c r="B1129" s="1" t="n">
        <v>45079</v>
      </c>
      <c r="C1129" s="1" t="n">
        <v>45742</v>
      </c>
      <c r="D1129" t="inlineStr">
        <is>
          <t>GÄVLEBORGS LÄN</t>
        </is>
      </c>
      <c r="E1129" t="inlineStr">
        <is>
          <t>HUDIKSVALL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24213-2023</t>
        </is>
      </c>
      <c r="B1130" s="1" t="n">
        <v>45079</v>
      </c>
      <c r="C1130" s="1" t="n">
        <v>45742</v>
      </c>
      <c r="D1130" t="inlineStr">
        <is>
          <t>GÄVLEBORGS LÄN</t>
        </is>
      </c>
      <c r="E1130" t="inlineStr">
        <is>
          <t>HUDIKSVALL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24372-2023</t>
        </is>
      </c>
      <c r="B1131" s="1" t="n">
        <v>45082</v>
      </c>
      <c r="C1131" s="1" t="n">
        <v>45742</v>
      </c>
      <c r="D1131" t="inlineStr">
        <is>
          <t>GÄVLEBORGS LÄN</t>
        </is>
      </c>
      <c r="E1131" t="inlineStr">
        <is>
          <t>HUDIKSVALL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24412-2023</t>
        </is>
      </c>
      <c r="B1132" s="1" t="n">
        <v>45082</v>
      </c>
      <c r="C1132" s="1" t="n">
        <v>45742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24445-2023</t>
        </is>
      </c>
      <c r="B1133" s="1" t="n">
        <v>45082</v>
      </c>
      <c r="C1133" s="1" t="n">
        <v>45742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24764-2023</t>
        </is>
      </c>
      <c r="B1134" s="1" t="n">
        <v>45084</v>
      </c>
      <c r="C1134" s="1" t="n">
        <v>45742</v>
      </c>
      <c r="D1134" t="inlineStr">
        <is>
          <t>GÄVLEBORGS LÄN</t>
        </is>
      </c>
      <c r="E1134" t="inlineStr">
        <is>
          <t>HUDIKSVALL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24779-2023</t>
        </is>
      </c>
      <c r="B1135" s="1" t="n">
        <v>45084</v>
      </c>
      <c r="C1135" s="1" t="n">
        <v>45742</v>
      </c>
      <c r="D1135" t="inlineStr">
        <is>
          <t>GÄVLEBORGS LÄN</t>
        </is>
      </c>
      <c r="E1135" t="inlineStr">
        <is>
          <t>HUDIKSVALL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24890-2023</t>
        </is>
      </c>
      <c r="B1136" s="1" t="n">
        <v>45085</v>
      </c>
      <c r="C1136" s="1" t="n">
        <v>45742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24885-2023</t>
        </is>
      </c>
      <c r="B1137" s="1" t="n">
        <v>45085</v>
      </c>
      <c r="C1137" s="1" t="n">
        <v>45742</v>
      </c>
      <c r="D1137" t="inlineStr">
        <is>
          <t>GÄVLEBORGS LÄN</t>
        </is>
      </c>
      <c r="E1137" t="inlineStr">
        <is>
          <t>HUDIKSVALL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25377-2023</t>
        </is>
      </c>
      <c r="B1138" s="1" t="n">
        <v>45089</v>
      </c>
      <c r="C1138" s="1" t="n">
        <v>45742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26456-2023</t>
        </is>
      </c>
      <c r="B1139" s="1" t="n">
        <v>45092</v>
      </c>
      <c r="C1139" s="1" t="n">
        <v>45742</v>
      </c>
      <c r="D1139" t="inlineStr">
        <is>
          <t>GÄVLEBORGS LÄN</t>
        </is>
      </c>
      <c r="E1139" t="inlineStr">
        <is>
          <t>HUDIKSVALL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26458-2023</t>
        </is>
      </c>
      <c r="B1140" s="1" t="n">
        <v>45092</v>
      </c>
      <c r="C1140" s="1" t="n">
        <v>45742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26874-2023</t>
        </is>
      </c>
      <c r="B1141" s="1" t="n">
        <v>45093</v>
      </c>
      <c r="C1141" s="1" t="n">
        <v>45742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26958-2023</t>
        </is>
      </c>
      <c r="B1142" s="1" t="n">
        <v>45093</v>
      </c>
      <c r="C1142" s="1" t="n">
        <v>45742</v>
      </c>
      <c r="D1142" t="inlineStr">
        <is>
          <t>GÄVLEBORGS LÄN</t>
        </is>
      </c>
      <c r="E1142" t="inlineStr">
        <is>
          <t>HUDIKSVALL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27204-2023</t>
        </is>
      </c>
      <c r="B1143" s="1" t="n">
        <v>45096</v>
      </c>
      <c r="C1143" s="1" t="n">
        <v>45742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27289-2023</t>
        </is>
      </c>
      <c r="B1144" s="1" t="n">
        <v>45096</v>
      </c>
      <c r="C1144" s="1" t="n">
        <v>45742</v>
      </c>
      <c r="D1144" t="inlineStr">
        <is>
          <t>GÄVLEBORGS LÄN</t>
        </is>
      </c>
      <c r="E1144" t="inlineStr">
        <is>
          <t>HUDIKSVALL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27302-2023</t>
        </is>
      </c>
      <c r="B1145" s="1" t="n">
        <v>45096</v>
      </c>
      <c r="C1145" s="1" t="n">
        <v>45742</v>
      </c>
      <c r="D1145" t="inlineStr">
        <is>
          <t>GÄVLEBORGS LÄN</t>
        </is>
      </c>
      <c r="E1145" t="inlineStr">
        <is>
          <t>HUDIKSVALL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27296-2023</t>
        </is>
      </c>
      <c r="B1146" s="1" t="n">
        <v>45096</v>
      </c>
      <c r="C1146" s="1" t="n">
        <v>45742</v>
      </c>
      <c r="D1146" t="inlineStr">
        <is>
          <t>GÄVLEBORGS LÄN</t>
        </is>
      </c>
      <c r="E1146" t="inlineStr">
        <is>
          <t>HUDIKSVALL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27475-2023</t>
        </is>
      </c>
      <c r="B1147" s="1" t="n">
        <v>45097</v>
      </c>
      <c r="C1147" s="1" t="n">
        <v>45742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27710-2023</t>
        </is>
      </c>
      <c r="B1148" s="1" t="n">
        <v>45098</v>
      </c>
      <c r="C1148" s="1" t="n">
        <v>45742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Kommuner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27817-2023</t>
        </is>
      </c>
      <c r="B1149" s="1" t="n">
        <v>45098</v>
      </c>
      <c r="C1149" s="1" t="n">
        <v>45742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27866-2023</t>
        </is>
      </c>
      <c r="B1150" s="1" t="n">
        <v>45098</v>
      </c>
      <c r="C1150" s="1" t="n">
        <v>45742</v>
      </c>
      <c r="D1150" t="inlineStr">
        <is>
          <t>GÄVLEBORGS LÄN</t>
        </is>
      </c>
      <c r="E1150" t="inlineStr">
        <is>
          <t>HUDIKSVALL</t>
        </is>
      </c>
      <c r="G1150" t="n">
        <v>0.1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28040-2023</t>
        </is>
      </c>
      <c r="B1151" s="1" t="n">
        <v>45099</v>
      </c>
      <c r="C1151" s="1" t="n">
        <v>45742</v>
      </c>
      <c r="D1151" t="inlineStr">
        <is>
          <t>GÄVLEBORGS LÄN</t>
        </is>
      </c>
      <c r="E1151" t="inlineStr">
        <is>
          <t>HUDIKSVALL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28115-2023</t>
        </is>
      </c>
      <c r="B1152" s="1" t="n">
        <v>45099</v>
      </c>
      <c r="C1152" s="1" t="n">
        <v>45742</v>
      </c>
      <c r="D1152" t="inlineStr">
        <is>
          <t>GÄVLEBORGS LÄN</t>
        </is>
      </c>
      <c r="E1152" t="inlineStr">
        <is>
          <t>HUDIKSVALL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28174-2023</t>
        </is>
      </c>
      <c r="B1153" s="1" t="n">
        <v>45099</v>
      </c>
      <c r="C1153" s="1" t="n">
        <v>45742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28622-2023</t>
        </is>
      </c>
      <c r="B1154" s="1" t="n">
        <v>45103</v>
      </c>
      <c r="C1154" s="1" t="n">
        <v>45742</v>
      </c>
      <c r="D1154" t="inlineStr">
        <is>
          <t>GÄVLEBORGS LÄN</t>
        </is>
      </c>
      <c r="E1154" t="inlineStr">
        <is>
          <t>HUDIKSVALL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28626-2023</t>
        </is>
      </c>
      <c r="B1155" s="1" t="n">
        <v>45103</v>
      </c>
      <c r="C1155" s="1" t="n">
        <v>45742</v>
      </c>
      <c r="D1155" t="inlineStr">
        <is>
          <t>GÄVLEBORGS LÄN</t>
        </is>
      </c>
      <c r="E1155" t="inlineStr">
        <is>
          <t>HUDIKSVALL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29156-2023</t>
        </is>
      </c>
      <c r="B1156" s="1" t="n">
        <v>45105</v>
      </c>
      <c r="C1156" s="1" t="n">
        <v>45742</v>
      </c>
      <c r="D1156" t="inlineStr">
        <is>
          <t>GÄVLEBORGS LÄN</t>
        </is>
      </c>
      <c r="E1156" t="inlineStr">
        <is>
          <t>HUDIKSVALL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29153-2023</t>
        </is>
      </c>
      <c r="B1157" s="1" t="n">
        <v>45105</v>
      </c>
      <c r="C1157" s="1" t="n">
        <v>45742</v>
      </c>
      <c r="D1157" t="inlineStr">
        <is>
          <t>GÄVLEBORGS LÄN</t>
        </is>
      </c>
      <c r="E1157" t="inlineStr">
        <is>
          <t>HUDIKSVALL</t>
        </is>
      </c>
      <c r="G1157" t="n">
        <v>10.3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29488-2023</t>
        </is>
      </c>
      <c r="B1158" s="1" t="n">
        <v>45106</v>
      </c>
      <c r="C1158" s="1" t="n">
        <v>45742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29592-2023</t>
        </is>
      </c>
      <c r="B1159" s="1" t="n">
        <v>45106</v>
      </c>
      <c r="C1159" s="1" t="n">
        <v>45742</v>
      </c>
      <c r="D1159" t="inlineStr">
        <is>
          <t>GÄVLEBORGS LÄN</t>
        </is>
      </c>
      <c r="E1159" t="inlineStr">
        <is>
          <t>HUDIKSVALL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29478-2023</t>
        </is>
      </c>
      <c r="B1160" s="1" t="n">
        <v>45106</v>
      </c>
      <c r="C1160" s="1" t="n">
        <v>45742</v>
      </c>
      <c r="D1160" t="inlineStr">
        <is>
          <t>GÄVLEBORGS LÄN</t>
        </is>
      </c>
      <c r="E1160" t="inlineStr">
        <is>
          <t>HUDIKSVALL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29711-2023</t>
        </is>
      </c>
      <c r="B1161" s="1" t="n">
        <v>45107</v>
      </c>
      <c r="C1161" s="1" t="n">
        <v>45742</v>
      </c>
      <c r="D1161" t="inlineStr">
        <is>
          <t>GÄVLEBORGS LÄN</t>
        </is>
      </c>
      <c r="E1161" t="inlineStr">
        <is>
          <t>HUDIKSVALL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29723-2023</t>
        </is>
      </c>
      <c r="B1162" s="1" t="n">
        <v>45107</v>
      </c>
      <c r="C1162" s="1" t="n">
        <v>45742</v>
      </c>
      <c r="D1162" t="inlineStr">
        <is>
          <t>GÄVLEBORGS LÄN</t>
        </is>
      </c>
      <c r="E1162" t="inlineStr">
        <is>
          <t>HUDIKSVALL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29702-2023</t>
        </is>
      </c>
      <c r="B1163" s="1" t="n">
        <v>45107</v>
      </c>
      <c r="C1163" s="1" t="n">
        <v>45742</v>
      </c>
      <c r="D1163" t="inlineStr">
        <is>
          <t>GÄVLEBORGS LÄN</t>
        </is>
      </c>
      <c r="E1163" t="inlineStr">
        <is>
          <t>HUDIKSVALL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30117-2023</t>
        </is>
      </c>
      <c r="B1164" s="1" t="n">
        <v>45110</v>
      </c>
      <c r="C1164" s="1" t="n">
        <v>45742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30034-2023</t>
        </is>
      </c>
      <c r="B1165" s="1" t="n">
        <v>45110</v>
      </c>
      <c r="C1165" s="1" t="n">
        <v>45742</v>
      </c>
      <c r="D1165" t="inlineStr">
        <is>
          <t>GÄVLEBORGS LÄN</t>
        </is>
      </c>
      <c r="E1165" t="inlineStr">
        <is>
          <t>HUDIKSVALL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30122-2023</t>
        </is>
      </c>
      <c r="B1166" s="1" t="n">
        <v>45110</v>
      </c>
      <c r="C1166" s="1" t="n">
        <v>45742</v>
      </c>
      <c r="D1166" t="inlineStr">
        <is>
          <t>GÄVLEBORGS LÄN</t>
        </is>
      </c>
      <c r="E1166" t="inlineStr">
        <is>
          <t>HUDIKSVALL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30168-2023</t>
        </is>
      </c>
      <c r="B1167" s="1" t="n">
        <v>45110</v>
      </c>
      <c r="C1167" s="1" t="n">
        <v>45742</v>
      </c>
      <c r="D1167" t="inlineStr">
        <is>
          <t>GÄVLEBORGS LÄN</t>
        </is>
      </c>
      <c r="E1167" t="inlineStr">
        <is>
          <t>HUDIKSVALL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30375-2023</t>
        </is>
      </c>
      <c r="B1168" s="1" t="n">
        <v>45111</v>
      </c>
      <c r="C1168" s="1" t="n">
        <v>45742</v>
      </c>
      <c r="D1168" t="inlineStr">
        <is>
          <t>GÄVLEBORGS LÄN</t>
        </is>
      </c>
      <c r="E1168" t="inlineStr">
        <is>
          <t>HUDIKSVALL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30396-2023</t>
        </is>
      </c>
      <c r="B1169" s="1" t="n">
        <v>45111</v>
      </c>
      <c r="C1169" s="1" t="n">
        <v>45742</v>
      </c>
      <c r="D1169" t="inlineStr">
        <is>
          <t>GÄVLEBORGS LÄN</t>
        </is>
      </c>
      <c r="E1169" t="inlineStr">
        <is>
          <t>HUDIKSVALL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30398-2023</t>
        </is>
      </c>
      <c r="B1170" s="1" t="n">
        <v>45111</v>
      </c>
      <c r="C1170" s="1" t="n">
        <v>45742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30562-2023</t>
        </is>
      </c>
      <c r="B1171" s="1" t="n">
        <v>45111</v>
      </c>
      <c r="C1171" s="1" t="n">
        <v>45742</v>
      </c>
      <c r="D1171" t="inlineStr">
        <is>
          <t>GÄVLEBORGS LÄN</t>
        </is>
      </c>
      <c r="E1171" t="inlineStr">
        <is>
          <t>HUDIKSVALL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30564-2023</t>
        </is>
      </c>
      <c r="B1172" s="1" t="n">
        <v>45112</v>
      </c>
      <c r="C1172" s="1" t="n">
        <v>45742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30672-2023</t>
        </is>
      </c>
      <c r="B1173" s="1" t="n">
        <v>45112</v>
      </c>
      <c r="C1173" s="1" t="n">
        <v>45742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31876-2023</t>
        </is>
      </c>
      <c r="B1174" s="1" t="n">
        <v>45118</v>
      </c>
      <c r="C1174" s="1" t="n">
        <v>45742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31830-2023</t>
        </is>
      </c>
      <c r="B1175" s="1" t="n">
        <v>45118</v>
      </c>
      <c r="C1175" s="1" t="n">
        <v>45742</v>
      </c>
      <c r="D1175" t="inlineStr">
        <is>
          <t>GÄVLEBORGS LÄN</t>
        </is>
      </c>
      <c r="E1175" t="inlineStr">
        <is>
          <t>HUDIKSVALL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31982-2023</t>
        </is>
      </c>
      <c r="B1176" s="1" t="n">
        <v>45119</v>
      </c>
      <c r="C1176" s="1" t="n">
        <v>45742</v>
      </c>
      <c r="D1176" t="inlineStr">
        <is>
          <t>GÄVLEBORGS LÄN</t>
        </is>
      </c>
      <c r="E1176" t="inlineStr">
        <is>
          <t>HUDIKSVALL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31990-2023</t>
        </is>
      </c>
      <c r="B1177" s="1" t="n">
        <v>45119</v>
      </c>
      <c r="C1177" s="1" t="n">
        <v>45742</v>
      </c>
      <c r="D1177" t="inlineStr">
        <is>
          <t>GÄVLEBORGS LÄN</t>
        </is>
      </c>
      <c r="E1177" t="inlineStr">
        <is>
          <t>HUDIKSVALL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31999-2023</t>
        </is>
      </c>
      <c r="B1178" s="1" t="n">
        <v>45119</v>
      </c>
      <c r="C1178" s="1" t="n">
        <v>45742</v>
      </c>
      <c r="D1178" t="inlineStr">
        <is>
          <t>GÄVLEBORGS LÄN</t>
        </is>
      </c>
      <c r="E1178" t="inlineStr">
        <is>
          <t>HUDIKSVALL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32659-2023</t>
        </is>
      </c>
      <c r="B1179" s="1" t="n">
        <v>45121</v>
      </c>
      <c r="C1179" s="1" t="n">
        <v>45742</v>
      </c>
      <c r="D1179" t="inlineStr">
        <is>
          <t>GÄVLEBORGS LÄN</t>
        </is>
      </c>
      <c r="E1179" t="inlineStr">
        <is>
          <t>HUDIKSVALL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32748-2023</t>
        </is>
      </c>
      <c r="B1180" s="1" t="n">
        <v>45122</v>
      </c>
      <c r="C1180" s="1" t="n">
        <v>45742</v>
      </c>
      <c r="D1180" t="inlineStr">
        <is>
          <t>GÄVLEBORGS LÄN</t>
        </is>
      </c>
      <c r="E1180" t="inlineStr">
        <is>
          <t>HUDIKSVALL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33959-2023</t>
        </is>
      </c>
      <c r="B1181" s="1" t="n">
        <v>45124</v>
      </c>
      <c r="C1181" s="1" t="n">
        <v>45742</v>
      </c>
      <c r="D1181" t="inlineStr">
        <is>
          <t>GÄVLEBORGS LÄN</t>
        </is>
      </c>
      <c r="E1181" t="inlineStr">
        <is>
          <t>HUDIKSVALL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33704-2023</t>
        </is>
      </c>
      <c r="B1182" s="1" t="n">
        <v>45132</v>
      </c>
      <c r="C1182" s="1" t="n">
        <v>45742</v>
      </c>
      <c r="D1182" t="inlineStr">
        <is>
          <t>GÄVLEBORGS LÄN</t>
        </is>
      </c>
      <c r="E1182" t="inlineStr">
        <is>
          <t>HUDIKSVALL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34757-2023</t>
        </is>
      </c>
      <c r="B1183" s="1" t="n">
        <v>45141</v>
      </c>
      <c r="C1183" s="1" t="n">
        <v>45742</v>
      </c>
      <c r="D1183" t="inlineStr">
        <is>
          <t>GÄVLEBORGS LÄN</t>
        </is>
      </c>
      <c r="E1183" t="inlineStr">
        <is>
          <t>HUDIKSVALL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35001-2023</t>
        </is>
      </c>
      <c r="B1184" s="1" t="n">
        <v>45143</v>
      </c>
      <c r="C1184" s="1" t="n">
        <v>45742</v>
      </c>
      <c r="D1184" t="inlineStr">
        <is>
          <t>GÄVLEBORGS LÄN</t>
        </is>
      </c>
      <c r="E1184" t="inlineStr">
        <is>
          <t>HUDIKSVALL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35002-2023</t>
        </is>
      </c>
      <c r="B1185" s="1" t="n">
        <v>45142</v>
      </c>
      <c r="C1185" s="1" t="n">
        <v>45742</v>
      </c>
      <c r="D1185" t="inlineStr">
        <is>
          <t>GÄVLEBORGS LÄN</t>
        </is>
      </c>
      <c r="E1185" t="inlineStr">
        <is>
          <t>HUDIKSVALL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35164-2023</t>
        </is>
      </c>
      <c r="B1186" s="1" t="n">
        <v>45145</v>
      </c>
      <c r="C1186" s="1" t="n">
        <v>45742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35172-2023</t>
        </is>
      </c>
      <c r="B1187" s="1" t="n">
        <v>45145</v>
      </c>
      <c r="C1187" s="1" t="n">
        <v>45742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35303-2023</t>
        </is>
      </c>
      <c r="B1188" s="1" t="n">
        <v>45146</v>
      </c>
      <c r="C1188" s="1" t="n">
        <v>45742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35304-2023</t>
        </is>
      </c>
      <c r="B1189" s="1" t="n">
        <v>45146</v>
      </c>
      <c r="C1189" s="1" t="n">
        <v>45742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35365-2023</t>
        </is>
      </c>
      <c r="B1190" s="1" t="n">
        <v>45146</v>
      </c>
      <c r="C1190" s="1" t="n">
        <v>45742</v>
      </c>
      <c r="D1190" t="inlineStr">
        <is>
          <t>GÄVLEBORGS LÄN</t>
        </is>
      </c>
      <c r="E1190" t="inlineStr">
        <is>
          <t>HUDIKSVALL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35302-2023</t>
        </is>
      </c>
      <c r="B1191" s="1" t="n">
        <v>45146</v>
      </c>
      <c r="C1191" s="1" t="n">
        <v>45742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35442-2023</t>
        </is>
      </c>
      <c r="B1192" s="1" t="n">
        <v>45146</v>
      </c>
      <c r="C1192" s="1" t="n">
        <v>45742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35593-2023</t>
        </is>
      </c>
      <c r="B1193" s="1" t="n">
        <v>45147</v>
      </c>
      <c r="C1193" s="1" t="n">
        <v>45742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35590-2023</t>
        </is>
      </c>
      <c r="B1194" s="1" t="n">
        <v>45147</v>
      </c>
      <c r="C1194" s="1" t="n">
        <v>45742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35599-2023</t>
        </is>
      </c>
      <c r="B1195" s="1" t="n">
        <v>45147</v>
      </c>
      <c r="C1195" s="1" t="n">
        <v>45742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35679-2023</t>
        </is>
      </c>
      <c r="B1196" s="1" t="n">
        <v>45147</v>
      </c>
      <c r="C1196" s="1" t="n">
        <v>45742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35618-2023</t>
        </is>
      </c>
      <c r="B1197" s="1" t="n">
        <v>45147</v>
      </c>
      <c r="C1197" s="1" t="n">
        <v>45742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35622-2023</t>
        </is>
      </c>
      <c r="B1198" s="1" t="n">
        <v>45147</v>
      </c>
      <c r="C1198" s="1" t="n">
        <v>45742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35739-2023</t>
        </is>
      </c>
      <c r="B1199" s="1" t="n">
        <v>45147</v>
      </c>
      <c r="C1199" s="1" t="n">
        <v>45742</v>
      </c>
      <c r="D1199" t="inlineStr">
        <is>
          <t>GÄVLEBORGS LÄN</t>
        </is>
      </c>
      <c r="E1199" t="inlineStr">
        <is>
          <t>HUDIKSVALL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35623-2023</t>
        </is>
      </c>
      <c r="B1200" s="1" t="n">
        <v>45147</v>
      </c>
      <c r="C1200" s="1" t="n">
        <v>45742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35737-2023</t>
        </is>
      </c>
      <c r="B1201" s="1" t="n">
        <v>45147</v>
      </c>
      <c r="C1201" s="1" t="n">
        <v>45742</v>
      </c>
      <c r="D1201" t="inlineStr">
        <is>
          <t>GÄVLEBORGS LÄN</t>
        </is>
      </c>
      <c r="E1201" t="inlineStr">
        <is>
          <t>HUDIKSVALL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35933-2023</t>
        </is>
      </c>
      <c r="B1202" s="1" t="n">
        <v>45148</v>
      </c>
      <c r="C1202" s="1" t="n">
        <v>45742</v>
      </c>
      <c r="D1202" t="inlineStr">
        <is>
          <t>GÄVLEBORGS LÄN</t>
        </is>
      </c>
      <c r="E1202" t="inlineStr">
        <is>
          <t>HUDIKSVALL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35963-2023</t>
        </is>
      </c>
      <c r="B1203" s="1" t="n">
        <v>45148</v>
      </c>
      <c r="C1203" s="1" t="n">
        <v>45742</v>
      </c>
      <c r="D1203" t="inlineStr">
        <is>
          <t>GÄVLEBORGS LÄN</t>
        </is>
      </c>
      <c r="E1203" t="inlineStr">
        <is>
          <t>HUDIKSVALL</t>
        </is>
      </c>
      <c r="G1203" t="n">
        <v>9.699999999999999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35998-2023</t>
        </is>
      </c>
      <c r="B1204" s="1" t="n">
        <v>45149</v>
      </c>
      <c r="C1204" s="1" t="n">
        <v>45742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36125-2023</t>
        </is>
      </c>
      <c r="B1205" s="1" t="n">
        <v>45149</v>
      </c>
      <c r="C1205" s="1" t="n">
        <v>45742</v>
      </c>
      <c r="D1205" t="inlineStr">
        <is>
          <t>GÄVLEBORGS LÄN</t>
        </is>
      </c>
      <c r="E1205" t="inlineStr">
        <is>
          <t>HUDIKSVALL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36134-2023</t>
        </is>
      </c>
      <c r="B1206" s="1" t="n">
        <v>45149</v>
      </c>
      <c r="C1206" s="1" t="n">
        <v>45742</v>
      </c>
      <c r="D1206" t="inlineStr">
        <is>
          <t>GÄVLEBORGS LÄN</t>
        </is>
      </c>
      <c r="E1206" t="inlineStr">
        <is>
          <t>HUDIKSVALL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36138-2023</t>
        </is>
      </c>
      <c r="B1207" s="1" t="n">
        <v>45149</v>
      </c>
      <c r="C1207" s="1" t="n">
        <v>45742</v>
      </c>
      <c r="D1207" t="inlineStr">
        <is>
          <t>GÄVLEBORGS LÄN</t>
        </is>
      </c>
      <c r="E1207" t="inlineStr">
        <is>
          <t>HUDIKSVALL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36487-2023</t>
        </is>
      </c>
      <c r="B1208" s="1" t="n">
        <v>45152</v>
      </c>
      <c r="C1208" s="1" t="n">
        <v>45742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36719-2023</t>
        </is>
      </c>
      <c r="B1209" s="1" t="n">
        <v>45153</v>
      </c>
      <c r="C1209" s="1" t="n">
        <v>45742</v>
      </c>
      <c r="D1209" t="inlineStr">
        <is>
          <t>GÄVLEBORGS LÄN</t>
        </is>
      </c>
      <c r="E1209" t="inlineStr">
        <is>
          <t>HUDIKSVALL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37105-2023</t>
        </is>
      </c>
      <c r="B1210" s="1" t="n">
        <v>45155</v>
      </c>
      <c r="C1210" s="1" t="n">
        <v>45742</v>
      </c>
      <c r="D1210" t="inlineStr">
        <is>
          <t>GÄVLEBORGS LÄN</t>
        </is>
      </c>
      <c r="E1210" t="inlineStr">
        <is>
          <t>HUDIKSVALL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37871-2023</t>
        </is>
      </c>
      <c r="B1211" s="1" t="n">
        <v>45160</v>
      </c>
      <c r="C1211" s="1" t="n">
        <v>45742</v>
      </c>
      <c r="D1211" t="inlineStr">
        <is>
          <t>GÄVLEBORGS LÄN</t>
        </is>
      </c>
      <c r="E1211" t="inlineStr">
        <is>
          <t>HUDIKSVALL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37881-2023</t>
        </is>
      </c>
      <c r="B1212" s="1" t="n">
        <v>45160</v>
      </c>
      <c r="C1212" s="1" t="n">
        <v>45742</v>
      </c>
      <c r="D1212" t="inlineStr">
        <is>
          <t>GÄVLEBORGS LÄN</t>
        </is>
      </c>
      <c r="E1212" t="inlineStr">
        <is>
          <t>HUDIKSVALL</t>
        </is>
      </c>
      <c r="G1212" t="n">
        <v>10.7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37876-2023</t>
        </is>
      </c>
      <c r="B1213" s="1" t="n">
        <v>45160</v>
      </c>
      <c r="C1213" s="1" t="n">
        <v>45742</v>
      </c>
      <c r="D1213" t="inlineStr">
        <is>
          <t>GÄVLEBORGS LÄN</t>
        </is>
      </c>
      <c r="E1213" t="inlineStr">
        <is>
          <t>HUDIKSVALL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38451-2023</t>
        </is>
      </c>
      <c r="B1214" s="1" t="n">
        <v>45162</v>
      </c>
      <c r="C1214" s="1" t="n">
        <v>45742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38535-2023</t>
        </is>
      </c>
      <c r="B1215" s="1" t="n">
        <v>45162</v>
      </c>
      <c r="C1215" s="1" t="n">
        <v>45742</v>
      </c>
      <c r="D1215" t="inlineStr">
        <is>
          <t>GÄVLEBORGS LÄN</t>
        </is>
      </c>
      <c r="E1215" t="inlineStr">
        <is>
          <t>HUDIKSVALL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38667-2023</t>
        </is>
      </c>
      <c r="B1216" s="1" t="n">
        <v>45162</v>
      </c>
      <c r="C1216" s="1" t="n">
        <v>45742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38673-2023</t>
        </is>
      </c>
      <c r="B1217" s="1" t="n">
        <v>45163</v>
      </c>
      <c r="C1217" s="1" t="n">
        <v>45742</v>
      </c>
      <c r="D1217" t="inlineStr">
        <is>
          <t>GÄVLEBORGS LÄN</t>
        </is>
      </c>
      <c r="E1217" t="inlineStr">
        <is>
          <t>HUDIKSVALL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38669-2023</t>
        </is>
      </c>
      <c r="B1218" s="1" t="n">
        <v>45163</v>
      </c>
      <c r="C1218" s="1" t="n">
        <v>45742</v>
      </c>
      <c r="D1218" t="inlineStr">
        <is>
          <t>GÄVLEBORGS LÄN</t>
        </is>
      </c>
      <c r="E1218" t="inlineStr">
        <is>
          <t>HUDIKSVALL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38670-2023</t>
        </is>
      </c>
      <c r="B1219" s="1" t="n">
        <v>45162</v>
      </c>
      <c r="C1219" s="1" t="n">
        <v>45742</v>
      </c>
      <c r="D1219" t="inlineStr">
        <is>
          <t>GÄVLEBORGS LÄN</t>
        </is>
      </c>
      <c r="E1219" t="inlineStr">
        <is>
          <t>HUDIKSVALL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39045-2023</t>
        </is>
      </c>
      <c r="B1220" s="1" t="n">
        <v>45163</v>
      </c>
      <c r="C1220" s="1" t="n">
        <v>45742</v>
      </c>
      <c r="D1220" t="inlineStr">
        <is>
          <t>GÄVLEBORGS LÄN</t>
        </is>
      </c>
      <c r="E1220" t="inlineStr">
        <is>
          <t>HUDIKSVALL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39615-2023</t>
        </is>
      </c>
      <c r="B1221" s="1" t="n">
        <v>45167</v>
      </c>
      <c r="C1221" s="1" t="n">
        <v>45742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39735-2023</t>
        </is>
      </c>
      <c r="B1222" s="1" t="n">
        <v>45167</v>
      </c>
      <c r="C1222" s="1" t="n">
        <v>45742</v>
      </c>
      <c r="D1222" t="inlineStr">
        <is>
          <t>GÄVLEBORGS LÄN</t>
        </is>
      </c>
      <c r="E1222" t="inlineStr">
        <is>
          <t>HUDIKSVALL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39858-2023</t>
        </is>
      </c>
      <c r="B1223" s="1" t="n">
        <v>45168</v>
      </c>
      <c r="C1223" s="1" t="n">
        <v>45742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39950-2023</t>
        </is>
      </c>
      <c r="B1224" s="1" t="n">
        <v>45168</v>
      </c>
      <c r="C1224" s="1" t="n">
        <v>45742</v>
      </c>
      <c r="D1224" t="inlineStr">
        <is>
          <t>GÄVLEBORGS LÄN</t>
        </is>
      </c>
      <c r="E1224" t="inlineStr">
        <is>
          <t>HUDIKSVALL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40060-2023</t>
        </is>
      </c>
      <c r="B1225" s="1" t="n">
        <v>45168</v>
      </c>
      <c r="C1225" s="1" t="n">
        <v>45742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40136-2023</t>
        </is>
      </c>
      <c r="B1226" s="1" t="n">
        <v>45169</v>
      </c>
      <c r="C1226" s="1" t="n">
        <v>45742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40941-2023</t>
        </is>
      </c>
      <c r="B1227" s="1" t="n">
        <v>45173</v>
      </c>
      <c r="C1227" s="1" t="n">
        <v>45742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40965-2023</t>
        </is>
      </c>
      <c r="B1228" s="1" t="n">
        <v>45173</v>
      </c>
      <c r="C1228" s="1" t="n">
        <v>45742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40969-2023</t>
        </is>
      </c>
      <c r="B1229" s="1" t="n">
        <v>45173</v>
      </c>
      <c r="C1229" s="1" t="n">
        <v>45742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40958-2023</t>
        </is>
      </c>
      <c r="B1230" s="1" t="n">
        <v>45173</v>
      </c>
      <c r="C1230" s="1" t="n">
        <v>45742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41280-2023</t>
        </is>
      </c>
      <c r="B1231" s="1" t="n">
        <v>45174</v>
      </c>
      <c r="C1231" s="1" t="n">
        <v>45742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41251-2023</t>
        </is>
      </c>
      <c r="B1232" s="1" t="n">
        <v>45174</v>
      </c>
      <c r="C1232" s="1" t="n">
        <v>45742</v>
      </c>
      <c r="D1232" t="inlineStr">
        <is>
          <t>GÄVLEBORGS LÄN</t>
        </is>
      </c>
      <c r="E1232" t="inlineStr">
        <is>
          <t>HUDIKSVALL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41277-2023</t>
        </is>
      </c>
      <c r="B1233" s="1" t="n">
        <v>45174</v>
      </c>
      <c r="C1233" s="1" t="n">
        <v>45742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41433-2023</t>
        </is>
      </c>
      <c r="B1234" s="1" t="n">
        <v>45175</v>
      </c>
      <c r="C1234" s="1" t="n">
        <v>45742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41745-2023</t>
        </is>
      </c>
      <c r="B1235" s="1" t="n">
        <v>45176</v>
      </c>
      <c r="C1235" s="1" t="n">
        <v>45742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41735-2023</t>
        </is>
      </c>
      <c r="B1236" s="1" t="n">
        <v>45176</v>
      </c>
      <c r="C1236" s="1" t="n">
        <v>45742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41747-2023</t>
        </is>
      </c>
      <c r="B1237" s="1" t="n">
        <v>45176</v>
      </c>
      <c r="C1237" s="1" t="n">
        <v>45742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42128-2023</t>
        </is>
      </c>
      <c r="B1238" s="1" t="n">
        <v>45177</v>
      </c>
      <c r="C1238" s="1" t="n">
        <v>45742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42239-2023</t>
        </is>
      </c>
      <c r="B1239" s="1" t="n">
        <v>45180</v>
      </c>
      <c r="C1239" s="1" t="n">
        <v>45742</v>
      </c>
      <c r="D1239" t="inlineStr">
        <is>
          <t>GÄVLEBORGS LÄN</t>
        </is>
      </c>
      <c r="E1239" t="inlineStr">
        <is>
          <t>HUDIKSVALL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42244-2023</t>
        </is>
      </c>
      <c r="B1240" s="1" t="n">
        <v>45180</v>
      </c>
      <c r="C1240" s="1" t="n">
        <v>45742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42555-2023</t>
        </is>
      </c>
      <c r="B1241" s="1" t="n">
        <v>45181</v>
      </c>
      <c r="C1241" s="1" t="n">
        <v>45742</v>
      </c>
      <c r="D1241" t="inlineStr">
        <is>
          <t>GÄVLEBORGS LÄN</t>
        </is>
      </c>
      <c r="E1241" t="inlineStr">
        <is>
          <t>HUDIKSVALL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42729-2023</t>
        </is>
      </c>
      <c r="B1242" s="1" t="n">
        <v>45181</v>
      </c>
      <c r="C1242" s="1" t="n">
        <v>45742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7.8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43007-2023</t>
        </is>
      </c>
      <c r="B1243" s="1" t="n">
        <v>45182</v>
      </c>
      <c r="C1243" s="1" t="n">
        <v>45742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5.8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43465-2023</t>
        </is>
      </c>
      <c r="B1244" s="1" t="n">
        <v>45184</v>
      </c>
      <c r="C1244" s="1" t="n">
        <v>45742</v>
      </c>
      <c r="D1244" t="inlineStr">
        <is>
          <t>GÄVLEBORGS LÄN</t>
        </is>
      </c>
      <c r="E1244" t="inlineStr">
        <is>
          <t>HUDIKSVALL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43469-2023</t>
        </is>
      </c>
      <c r="B1245" s="1" t="n">
        <v>45184</v>
      </c>
      <c r="C1245" s="1" t="n">
        <v>45742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43665-2023</t>
        </is>
      </c>
      <c r="B1246" s="1" t="n">
        <v>45187</v>
      </c>
      <c r="C1246" s="1" t="n">
        <v>45742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43659-2023</t>
        </is>
      </c>
      <c r="B1247" s="1" t="n">
        <v>45187</v>
      </c>
      <c r="C1247" s="1" t="n">
        <v>45742</v>
      </c>
      <c r="D1247" t="inlineStr">
        <is>
          <t>GÄVLEBORGS LÄN</t>
        </is>
      </c>
      <c r="E1247" t="inlineStr">
        <is>
          <t>HUDIKSVALL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43930-2023</t>
        </is>
      </c>
      <c r="B1248" s="1" t="n">
        <v>45187</v>
      </c>
      <c r="C1248" s="1" t="n">
        <v>45742</v>
      </c>
      <c r="D1248" t="inlineStr">
        <is>
          <t>GÄVLEBORGS LÄN</t>
        </is>
      </c>
      <c r="E1248" t="inlineStr">
        <is>
          <t>HUDIKSVALL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43782-2023</t>
        </is>
      </c>
      <c r="B1249" s="1" t="n">
        <v>45187</v>
      </c>
      <c r="C1249" s="1" t="n">
        <v>45742</v>
      </c>
      <c r="D1249" t="inlineStr">
        <is>
          <t>GÄVLEBORGS LÄN</t>
        </is>
      </c>
      <c r="E1249" t="inlineStr">
        <is>
          <t>HUDIKSVALL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43929-2023</t>
        </is>
      </c>
      <c r="B1250" s="1" t="n">
        <v>45187</v>
      </c>
      <c r="C1250" s="1" t="n">
        <v>45742</v>
      </c>
      <c r="D1250" t="inlineStr">
        <is>
          <t>GÄVLEBORGS LÄN</t>
        </is>
      </c>
      <c r="E1250" t="inlineStr">
        <is>
          <t>HUDIKSVALL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44045-2023</t>
        </is>
      </c>
      <c r="B1251" s="1" t="n">
        <v>45188</v>
      </c>
      <c r="C1251" s="1" t="n">
        <v>45742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44084-2023</t>
        </is>
      </c>
      <c r="B1252" s="1" t="n">
        <v>45188</v>
      </c>
      <c r="C1252" s="1" t="n">
        <v>45742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44182-2023</t>
        </is>
      </c>
      <c r="B1253" s="1" t="n">
        <v>45188</v>
      </c>
      <c r="C1253" s="1" t="n">
        <v>45742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44070-2023</t>
        </is>
      </c>
      <c r="B1254" s="1" t="n">
        <v>45188</v>
      </c>
      <c r="C1254" s="1" t="n">
        <v>45742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44109-2023</t>
        </is>
      </c>
      <c r="B1255" s="1" t="n">
        <v>45188</v>
      </c>
      <c r="C1255" s="1" t="n">
        <v>45742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44376-2023</t>
        </is>
      </c>
      <c r="B1256" s="1" t="n">
        <v>45188</v>
      </c>
      <c r="C1256" s="1" t="n">
        <v>45742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45558-2023</t>
        </is>
      </c>
      <c r="B1257" s="1" t="n">
        <v>45188</v>
      </c>
      <c r="C1257" s="1" t="n">
        <v>45742</v>
      </c>
      <c r="D1257" t="inlineStr">
        <is>
          <t>GÄVLEBORGS LÄN</t>
        </is>
      </c>
      <c r="E1257" t="inlineStr">
        <is>
          <t>HUDIKSVALL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44541-2023</t>
        </is>
      </c>
      <c r="B1258" s="1" t="n">
        <v>45189</v>
      </c>
      <c r="C1258" s="1" t="n">
        <v>45742</v>
      </c>
      <c r="D1258" t="inlineStr">
        <is>
          <t>GÄVLEBORGS LÄN</t>
        </is>
      </c>
      <c r="E1258" t="inlineStr">
        <is>
          <t>HUDIKSVALL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44692-2023</t>
        </is>
      </c>
      <c r="B1259" s="1" t="n">
        <v>45190</v>
      </c>
      <c r="C1259" s="1" t="n">
        <v>45742</v>
      </c>
      <c r="D1259" t="inlineStr">
        <is>
          <t>GÄVLEBORGS LÄN</t>
        </is>
      </c>
      <c r="E1259" t="inlineStr">
        <is>
          <t>HUDIKSVALL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45068-2023</t>
        </is>
      </c>
      <c r="B1260" s="1" t="n">
        <v>45191</v>
      </c>
      <c r="C1260" s="1" t="n">
        <v>45742</v>
      </c>
      <c r="D1260" t="inlineStr">
        <is>
          <t>GÄVLEBORGS LÄN</t>
        </is>
      </c>
      <c r="E1260" t="inlineStr">
        <is>
          <t>HUDIKSVALL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45078-2023</t>
        </is>
      </c>
      <c r="B1261" s="1" t="n">
        <v>45191</v>
      </c>
      <c r="C1261" s="1" t="n">
        <v>45742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45096-2023</t>
        </is>
      </c>
      <c r="B1262" s="1" t="n">
        <v>45191</v>
      </c>
      <c r="C1262" s="1" t="n">
        <v>45742</v>
      </c>
      <c r="D1262" t="inlineStr">
        <is>
          <t>GÄVLEBORGS LÄN</t>
        </is>
      </c>
      <c r="E1262" t="inlineStr">
        <is>
          <t>HUDIKSVALL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45221-2023</t>
        </is>
      </c>
      <c r="B1263" s="1" t="n">
        <v>45191</v>
      </c>
      <c r="C1263" s="1" t="n">
        <v>45742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45266-2023</t>
        </is>
      </c>
      <c r="B1264" s="1" t="n">
        <v>45191</v>
      </c>
      <c r="C1264" s="1" t="n">
        <v>45742</v>
      </c>
      <c r="D1264" t="inlineStr">
        <is>
          <t>GÄVLEBORGS LÄN</t>
        </is>
      </c>
      <c r="E1264" t="inlineStr">
        <is>
          <t>HUDIKSVALL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45318-2023</t>
        </is>
      </c>
      <c r="B1265" s="1" t="n">
        <v>45191</v>
      </c>
      <c r="C1265" s="1" t="n">
        <v>45742</v>
      </c>
      <c r="D1265" t="inlineStr">
        <is>
          <t>GÄVLEBORGS LÄN</t>
        </is>
      </c>
      <c r="E1265" t="inlineStr">
        <is>
          <t>HUDIKSVALL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45593-2023</t>
        </is>
      </c>
      <c r="B1266" s="1" t="n">
        <v>45194</v>
      </c>
      <c r="C1266" s="1" t="n">
        <v>45742</v>
      </c>
      <c r="D1266" t="inlineStr">
        <is>
          <t>GÄVLEBORGS LÄN</t>
        </is>
      </c>
      <c r="E1266" t="inlineStr">
        <is>
          <t>HUDIKSVALL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45802-2023</t>
        </is>
      </c>
      <c r="B1267" s="1" t="n">
        <v>45195</v>
      </c>
      <c r="C1267" s="1" t="n">
        <v>45742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45725-2023</t>
        </is>
      </c>
      <c r="B1268" s="1" t="n">
        <v>45195</v>
      </c>
      <c r="C1268" s="1" t="n">
        <v>45742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46153-2023</t>
        </is>
      </c>
      <c r="B1269" s="1" t="n">
        <v>45196</v>
      </c>
      <c r="C1269" s="1" t="n">
        <v>45742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46586-2023</t>
        </is>
      </c>
      <c r="B1270" s="1" t="n">
        <v>45198</v>
      </c>
      <c r="C1270" s="1" t="n">
        <v>45742</v>
      </c>
      <c r="D1270" t="inlineStr">
        <is>
          <t>GÄVLEBORGS LÄN</t>
        </is>
      </c>
      <c r="E1270" t="inlineStr">
        <is>
          <t>HUDIKSVALL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46588-2023</t>
        </is>
      </c>
      <c r="B1271" s="1" t="n">
        <v>45198</v>
      </c>
      <c r="C1271" s="1" t="n">
        <v>45742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46629-2023</t>
        </is>
      </c>
      <c r="B1272" s="1" t="n">
        <v>45198</v>
      </c>
      <c r="C1272" s="1" t="n">
        <v>45742</v>
      </c>
      <c r="D1272" t="inlineStr">
        <is>
          <t>GÄVLEBORGS LÄN</t>
        </is>
      </c>
      <c r="E1272" t="inlineStr">
        <is>
          <t>HUDIKSVALL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47133-2023</t>
        </is>
      </c>
      <c r="B1273" s="1" t="n">
        <v>45201</v>
      </c>
      <c r="C1273" s="1" t="n">
        <v>45742</v>
      </c>
      <c r="D1273" t="inlineStr">
        <is>
          <t>GÄVLEBORGS LÄN</t>
        </is>
      </c>
      <c r="E1273" t="inlineStr">
        <is>
          <t>HUDIKSVALL</t>
        </is>
      </c>
      <c r="G1273" t="n">
        <v>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46890-2023</t>
        </is>
      </c>
      <c r="B1274" s="1" t="n">
        <v>45201</v>
      </c>
      <c r="C1274" s="1" t="n">
        <v>45742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47145-2023</t>
        </is>
      </c>
      <c r="B1275" s="1" t="n">
        <v>45201</v>
      </c>
      <c r="C1275" s="1" t="n">
        <v>45742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47243-2023</t>
        </is>
      </c>
      <c r="B1276" s="1" t="n">
        <v>45202</v>
      </c>
      <c r="C1276" s="1" t="n">
        <v>45742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47246-2023</t>
        </is>
      </c>
      <c r="B1277" s="1" t="n">
        <v>45202</v>
      </c>
      <c r="C1277" s="1" t="n">
        <v>45742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47274-2023</t>
        </is>
      </c>
      <c r="B1278" s="1" t="n">
        <v>45202</v>
      </c>
      <c r="C1278" s="1" t="n">
        <v>45742</v>
      </c>
      <c r="D1278" t="inlineStr">
        <is>
          <t>GÄVLEBORGS LÄN</t>
        </is>
      </c>
      <c r="E1278" t="inlineStr">
        <is>
          <t>HUDIKSVALL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47278-2023</t>
        </is>
      </c>
      <c r="B1279" s="1" t="n">
        <v>45202</v>
      </c>
      <c r="C1279" s="1" t="n">
        <v>45742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47335-2023</t>
        </is>
      </c>
      <c r="B1280" s="1" t="n">
        <v>45202</v>
      </c>
      <c r="C1280" s="1" t="n">
        <v>45742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47415-2023</t>
        </is>
      </c>
      <c r="B1281" s="1" t="n">
        <v>45202</v>
      </c>
      <c r="C1281" s="1" t="n">
        <v>45742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47238-2023</t>
        </is>
      </c>
      <c r="B1282" s="1" t="n">
        <v>45202</v>
      </c>
      <c r="C1282" s="1" t="n">
        <v>45742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47320-2023</t>
        </is>
      </c>
      <c r="B1283" s="1" t="n">
        <v>45202</v>
      </c>
      <c r="C1283" s="1" t="n">
        <v>45742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47400-2023</t>
        </is>
      </c>
      <c r="B1284" s="1" t="n">
        <v>45202</v>
      </c>
      <c r="C1284" s="1" t="n">
        <v>45742</v>
      </c>
      <c r="D1284" t="inlineStr">
        <is>
          <t>GÄVLEBORGS LÄN</t>
        </is>
      </c>
      <c r="E1284" t="inlineStr">
        <is>
          <t>HUDIKSVALL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47346-2023</t>
        </is>
      </c>
      <c r="B1285" s="1" t="n">
        <v>45202</v>
      </c>
      <c r="C1285" s="1" t="n">
        <v>45742</v>
      </c>
      <c r="D1285" t="inlineStr">
        <is>
          <t>GÄVLEBORGS LÄN</t>
        </is>
      </c>
      <c r="E1285" t="inlineStr">
        <is>
          <t>HUDIKSVALL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47473-2023</t>
        </is>
      </c>
      <c r="B1286" s="1" t="n">
        <v>45203</v>
      </c>
      <c r="C1286" s="1" t="n">
        <v>45742</v>
      </c>
      <c r="D1286" t="inlineStr">
        <is>
          <t>GÄVLEBORGS LÄN</t>
        </is>
      </c>
      <c r="E1286" t="inlineStr">
        <is>
          <t>HUDIKSVALL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47472-2023</t>
        </is>
      </c>
      <c r="B1287" s="1" t="n">
        <v>45203</v>
      </c>
      <c r="C1287" s="1" t="n">
        <v>45742</v>
      </c>
      <c r="D1287" t="inlineStr">
        <is>
          <t>GÄVLEBORGS LÄN</t>
        </is>
      </c>
      <c r="E1287" t="inlineStr">
        <is>
          <t>HUDIKSVALL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47471-2023</t>
        </is>
      </c>
      <c r="B1288" s="1" t="n">
        <v>45203</v>
      </c>
      <c r="C1288" s="1" t="n">
        <v>45742</v>
      </c>
      <c r="D1288" t="inlineStr">
        <is>
          <t>GÄVLEBORGS LÄN</t>
        </is>
      </c>
      <c r="E1288" t="inlineStr">
        <is>
          <t>HUDIKSVALL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47530-2023</t>
        </is>
      </c>
      <c r="B1289" s="1" t="n">
        <v>45203</v>
      </c>
      <c r="C1289" s="1" t="n">
        <v>45742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37.8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48249-2023</t>
        </is>
      </c>
      <c r="B1290" s="1" t="n">
        <v>45205</v>
      </c>
      <c r="C1290" s="1" t="n">
        <v>45742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48416-2023</t>
        </is>
      </c>
      <c r="B1291" s="1" t="n">
        <v>45206</v>
      </c>
      <c r="C1291" s="1" t="n">
        <v>45742</v>
      </c>
      <c r="D1291" t="inlineStr">
        <is>
          <t>GÄVLEBORGS LÄN</t>
        </is>
      </c>
      <c r="E1291" t="inlineStr">
        <is>
          <t>HUDIKSVALL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49165-2023</t>
        </is>
      </c>
      <c r="B1292" s="1" t="n">
        <v>45210</v>
      </c>
      <c r="C1292" s="1" t="n">
        <v>45742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49304-2023</t>
        </is>
      </c>
      <c r="B1293" s="1" t="n">
        <v>45210</v>
      </c>
      <c r="C1293" s="1" t="n">
        <v>45742</v>
      </c>
      <c r="D1293" t="inlineStr">
        <is>
          <t>GÄVLEBORGS LÄN</t>
        </is>
      </c>
      <c r="E1293" t="inlineStr">
        <is>
          <t>HUDIKSVALL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49916-2023</t>
        </is>
      </c>
      <c r="B1294" s="1" t="n">
        <v>45214</v>
      </c>
      <c r="C1294" s="1" t="n">
        <v>45742</v>
      </c>
      <c r="D1294" t="inlineStr">
        <is>
          <t>GÄVLEBORGS LÄN</t>
        </is>
      </c>
      <c r="E1294" t="inlineStr">
        <is>
          <t>HUDIKSVALL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50153-2023</t>
        </is>
      </c>
      <c r="B1295" s="1" t="n">
        <v>45215</v>
      </c>
      <c r="C1295" s="1" t="n">
        <v>45742</v>
      </c>
      <c r="D1295" t="inlineStr">
        <is>
          <t>GÄVLEBORGS LÄN</t>
        </is>
      </c>
      <c r="E1295" t="inlineStr">
        <is>
          <t>HUDIKSVALL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50175-2023</t>
        </is>
      </c>
      <c r="B1296" s="1" t="n">
        <v>45215</v>
      </c>
      <c r="C1296" s="1" t="n">
        <v>45742</v>
      </c>
      <c r="D1296" t="inlineStr">
        <is>
          <t>GÄVLEBORGS LÄN</t>
        </is>
      </c>
      <c r="E1296" t="inlineStr">
        <is>
          <t>HUDIKSVALL</t>
        </is>
      </c>
      <c r="G1296" t="n">
        <v>16.7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50206-2023</t>
        </is>
      </c>
      <c r="B1297" s="1" t="n">
        <v>45216</v>
      </c>
      <c r="C1297" s="1" t="n">
        <v>45742</v>
      </c>
      <c r="D1297" t="inlineStr">
        <is>
          <t>GÄVLEBORGS LÄN</t>
        </is>
      </c>
      <c r="E1297" t="inlineStr">
        <is>
          <t>HUDIKSVALL</t>
        </is>
      </c>
      <c r="G1297" t="n">
        <v>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50207-2023</t>
        </is>
      </c>
      <c r="B1298" s="1" t="n">
        <v>45216</v>
      </c>
      <c r="C1298" s="1" t="n">
        <v>45742</v>
      </c>
      <c r="D1298" t="inlineStr">
        <is>
          <t>GÄVLEBORGS LÄN</t>
        </is>
      </c>
      <c r="E1298" t="inlineStr">
        <is>
          <t>HUDIKSVALL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50158-2023</t>
        </is>
      </c>
      <c r="B1299" s="1" t="n">
        <v>45215</v>
      </c>
      <c r="C1299" s="1" t="n">
        <v>45742</v>
      </c>
      <c r="D1299" t="inlineStr">
        <is>
          <t>GÄVLEBORGS LÄN</t>
        </is>
      </c>
      <c r="E1299" t="inlineStr">
        <is>
          <t>HUDIKSVALL</t>
        </is>
      </c>
      <c r="G1299" t="n">
        <v>7.6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50400-2023</t>
        </is>
      </c>
      <c r="B1300" s="1" t="n">
        <v>45216</v>
      </c>
      <c r="C1300" s="1" t="n">
        <v>45742</v>
      </c>
      <c r="D1300" t="inlineStr">
        <is>
          <t>GÄVLEBORGS LÄN</t>
        </is>
      </c>
      <c r="E1300" t="inlineStr">
        <is>
          <t>HUDIKSVALL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50898-2023</t>
        </is>
      </c>
      <c r="B1301" s="1" t="n">
        <v>45218</v>
      </c>
      <c r="C1301" s="1" t="n">
        <v>45742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50912-2023</t>
        </is>
      </c>
      <c r="B1302" s="1" t="n">
        <v>45218</v>
      </c>
      <c r="C1302" s="1" t="n">
        <v>45742</v>
      </c>
      <c r="D1302" t="inlineStr">
        <is>
          <t>GÄVLEBORGS LÄN</t>
        </is>
      </c>
      <c r="E1302" t="inlineStr">
        <is>
          <t>HUDIKSVALL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51023-2023</t>
        </is>
      </c>
      <c r="B1303" s="1" t="n">
        <v>45218</v>
      </c>
      <c r="C1303" s="1" t="n">
        <v>45742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51100-2023</t>
        </is>
      </c>
      <c r="B1304" s="1" t="n">
        <v>45218</v>
      </c>
      <c r="C1304" s="1" t="n">
        <v>45742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51101-2023</t>
        </is>
      </c>
      <c r="B1305" s="1" t="n">
        <v>45219</v>
      </c>
      <c r="C1305" s="1" t="n">
        <v>45742</v>
      </c>
      <c r="D1305" t="inlineStr">
        <is>
          <t>GÄVLEBORGS LÄN</t>
        </is>
      </c>
      <c r="E1305" t="inlineStr">
        <is>
          <t>HUDIKSVALL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51210-2023</t>
        </is>
      </c>
      <c r="B1306" s="1" t="n">
        <v>45219</v>
      </c>
      <c r="C1306" s="1" t="n">
        <v>45742</v>
      </c>
      <c r="D1306" t="inlineStr">
        <is>
          <t>GÄVLEBORGS LÄN</t>
        </is>
      </c>
      <c r="E1306" t="inlineStr">
        <is>
          <t>HUDIKSVALL</t>
        </is>
      </c>
      <c r="G1306" t="n">
        <v>15.3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51241-2023</t>
        </is>
      </c>
      <c r="B1307" s="1" t="n">
        <v>45219</v>
      </c>
      <c r="C1307" s="1" t="n">
        <v>45742</v>
      </c>
      <c r="D1307" t="inlineStr">
        <is>
          <t>GÄVLEBORGS LÄN</t>
        </is>
      </c>
      <c r="E1307" t="inlineStr">
        <is>
          <t>HUDIKSVALL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51255-2023</t>
        </is>
      </c>
      <c r="B1308" s="1" t="n">
        <v>45219</v>
      </c>
      <c r="C1308" s="1" t="n">
        <v>45742</v>
      </c>
      <c r="D1308" t="inlineStr">
        <is>
          <t>GÄVLEBORGS LÄN</t>
        </is>
      </c>
      <c r="E1308" t="inlineStr">
        <is>
          <t>HUDIKSVALL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51260-2023</t>
        </is>
      </c>
      <c r="B1309" s="1" t="n">
        <v>45219</v>
      </c>
      <c r="C1309" s="1" t="n">
        <v>45742</v>
      </c>
      <c r="D1309" t="inlineStr">
        <is>
          <t>GÄVLEBORGS LÄN</t>
        </is>
      </c>
      <c r="E1309" t="inlineStr">
        <is>
          <t>HUDIKSVALL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51719-2023</t>
        </is>
      </c>
      <c r="B1310" s="1" t="n">
        <v>45222</v>
      </c>
      <c r="C1310" s="1" t="n">
        <v>45742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51981-2023</t>
        </is>
      </c>
      <c r="B1311" s="1" t="n">
        <v>45223</v>
      </c>
      <c r="C1311" s="1" t="n">
        <v>45742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52014-2023</t>
        </is>
      </c>
      <c r="B1312" s="1" t="n">
        <v>45223</v>
      </c>
      <c r="C1312" s="1" t="n">
        <v>45742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52219-2023</t>
        </is>
      </c>
      <c r="B1313" s="1" t="n">
        <v>45224</v>
      </c>
      <c r="C1313" s="1" t="n">
        <v>45742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52171-2023</t>
        </is>
      </c>
      <c r="B1314" s="1" t="n">
        <v>45224</v>
      </c>
      <c r="C1314" s="1" t="n">
        <v>45742</v>
      </c>
      <c r="D1314" t="inlineStr">
        <is>
          <t>GÄVLEBORGS LÄN</t>
        </is>
      </c>
      <c r="E1314" t="inlineStr">
        <is>
          <t>HUDIKSVALL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52350-2023</t>
        </is>
      </c>
      <c r="B1315" s="1" t="n">
        <v>45224</v>
      </c>
      <c r="C1315" s="1" t="n">
        <v>45742</v>
      </c>
      <c r="D1315" t="inlineStr">
        <is>
          <t>GÄVLEBORGS LÄN</t>
        </is>
      </c>
      <c r="E1315" t="inlineStr">
        <is>
          <t>HUDIKSVALL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52438-2023</t>
        </is>
      </c>
      <c r="B1316" s="1" t="n">
        <v>45225</v>
      </c>
      <c r="C1316" s="1" t="n">
        <v>45742</v>
      </c>
      <c r="D1316" t="inlineStr">
        <is>
          <t>GÄVLEBORGS LÄN</t>
        </is>
      </c>
      <c r="E1316" t="inlineStr">
        <is>
          <t>HUDIKSVALL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52589-2023</t>
        </is>
      </c>
      <c r="B1317" s="1" t="n">
        <v>45225</v>
      </c>
      <c r="C1317" s="1" t="n">
        <v>45742</v>
      </c>
      <c r="D1317" t="inlineStr">
        <is>
          <t>GÄVLEBORGS LÄN</t>
        </is>
      </c>
      <c r="E1317" t="inlineStr">
        <is>
          <t>HUDIKSVALL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52892-2023</t>
        </is>
      </c>
      <c r="B1318" s="1" t="n">
        <v>45226</v>
      </c>
      <c r="C1318" s="1" t="n">
        <v>45742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52917-2023</t>
        </is>
      </c>
      <c r="B1319" s="1" t="n">
        <v>45226</v>
      </c>
      <c r="C1319" s="1" t="n">
        <v>45742</v>
      </c>
      <c r="D1319" t="inlineStr">
        <is>
          <t>GÄVLEBORGS LÄN</t>
        </is>
      </c>
      <c r="E1319" t="inlineStr">
        <is>
          <t>HUDIKSVALL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52920-2023</t>
        </is>
      </c>
      <c r="B1320" s="1" t="n">
        <v>45226</v>
      </c>
      <c r="C1320" s="1" t="n">
        <v>45742</v>
      </c>
      <c r="D1320" t="inlineStr">
        <is>
          <t>GÄVLEBORGS LÄN</t>
        </is>
      </c>
      <c r="E1320" t="inlineStr">
        <is>
          <t>HUDIKSVALL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52983-2023</t>
        </is>
      </c>
      <c r="B1321" s="1" t="n">
        <v>45226</v>
      </c>
      <c r="C1321" s="1" t="n">
        <v>45742</v>
      </c>
      <c r="D1321" t="inlineStr">
        <is>
          <t>GÄVLEBORGS LÄN</t>
        </is>
      </c>
      <c r="E1321" t="inlineStr">
        <is>
          <t>HUDIKSVALL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53435-2023</t>
        </is>
      </c>
      <c r="B1322" s="1" t="n">
        <v>45229</v>
      </c>
      <c r="C1322" s="1" t="n">
        <v>45742</v>
      </c>
      <c r="D1322" t="inlineStr">
        <is>
          <t>GÄVLEBORGS LÄN</t>
        </is>
      </c>
      <c r="E1322" t="inlineStr">
        <is>
          <t>HUDIKSVALL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53434-2023</t>
        </is>
      </c>
      <c r="B1323" s="1" t="n">
        <v>45229</v>
      </c>
      <c r="C1323" s="1" t="n">
        <v>45742</v>
      </c>
      <c r="D1323" t="inlineStr">
        <is>
          <t>GÄVLEBORGS LÄN</t>
        </is>
      </c>
      <c r="E1323" t="inlineStr">
        <is>
          <t>HUDIKSVALL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53734-2023</t>
        </is>
      </c>
      <c r="B1324" s="1" t="n">
        <v>45230</v>
      </c>
      <c r="C1324" s="1" t="n">
        <v>45742</v>
      </c>
      <c r="D1324" t="inlineStr">
        <is>
          <t>GÄVLEBORGS LÄN</t>
        </is>
      </c>
      <c r="E1324" t="inlineStr">
        <is>
          <t>HUDIKSVALL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53723-2023</t>
        </is>
      </c>
      <c r="B1325" s="1" t="n">
        <v>45230</v>
      </c>
      <c r="C1325" s="1" t="n">
        <v>45742</v>
      </c>
      <c r="D1325" t="inlineStr">
        <is>
          <t>GÄVLEBORGS LÄN</t>
        </is>
      </c>
      <c r="E1325" t="inlineStr">
        <is>
          <t>HUDIKSVALL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53724-2023</t>
        </is>
      </c>
      <c r="B1326" s="1" t="n">
        <v>45230</v>
      </c>
      <c r="C1326" s="1" t="n">
        <v>45742</v>
      </c>
      <c r="D1326" t="inlineStr">
        <is>
          <t>GÄVLEBORGS LÄN</t>
        </is>
      </c>
      <c r="E1326" t="inlineStr">
        <is>
          <t>HUDIKSVALL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53520-2023</t>
        </is>
      </c>
      <c r="B1327" s="1" t="n">
        <v>45230</v>
      </c>
      <c r="C1327" s="1" t="n">
        <v>45742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53553-2023</t>
        </is>
      </c>
      <c r="B1328" s="1" t="n">
        <v>45230</v>
      </c>
      <c r="C1328" s="1" t="n">
        <v>45742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53694-2023</t>
        </is>
      </c>
      <c r="B1329" s="1" t="n">
        <v>45230</v>
      </c>
      <c r="C1329" s="1" t="n">
        <v>45742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53478-2023</t>
        </is>
      </c>
      <c r="B1330" s="1" t="n">
        <v>45230</v>
      </c>
      <c r="C1330" s="1" t="n">
        <v>45742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55182-2023</t>
        </is>
      </c>
      <c r="B1331" s="1" t="n">
        <v>45230</v>
      </c>
      <c r="C1331" s="1" t="n">
        <v>45742</v>
      </c>
      <c r="D1331" t="inlineStr">
        <is>
          <t>GÄVLEBORGS LÄN</t>
        </is>
      </c>
      <c r="E1331" t="inlineStr">
        <is>
          <t>HUDIKSVALL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53912-2023</t>
        </is>
      </c>
      <c r="B1332" s="1" t="n">
        <v>45231</v>
      </c>
      <c r="C1332" s="1" t="n">
        <v>45742</v>
      </c>
      <c r="D1332" t="inlineStr">
        <is>
          <t>GÄVLEBORGS LÄN</t>
        </is>
      </c>
      <c r="E1332" t="inlineStr">
        <is>
          <t>HUDIKSVALL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53796-2023</t>
        </is>
      </c>
      <c r="B1333" s="1" t="n">
        <v>45231</v>
      </c>
      <c r="C1333" s="1" t="n">
        <v>45742</v>
      </c>
      <c r="D1333" t="inlineStr">
        <is>
          <t>GÄVLEBORGS LÄN</t>
        </is>
      </c>
      <c r="E1333" t="inlineStr">
        <is>
          <t>HUDIKSVALL</t>
        </is>
      </c>
      <c r="G1333" t="n">
        <v>17.6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53905-2023</t>
        </is>
      </c>
      <c r="B1334" s="1" t="n">
        <v>45231</v>
      </c>
      <c r="C1334" s="1" t="n">
        <v>45742</v>
      </c>
      <c r="D1334" t="inlineStr">
        <is>
          <t>GÄVLEBORGS LÄN</t>
        </is>
      </c>
      <c r="E1334" t="inlineStr">
        <is>
          <t>HUDIKSVALL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54304-2023</t>
        </is>
      </c>
      <c r="B1335" s="1" t="n">
        <v>45232</v>
      </c>
      <c r="C1335" s="1" t="n">
        <v>45742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54173-2023</t>
        </is>
      </c>
      <c r="B1336" s="1" t="n">
        <v>45232</v>
      </c>
      <c r="C1336" s="1" t="n">
        <v>45742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54225-2023</t>
        </is>
      </c>
      <c r="B1337" s="1" t="n">
        <v>45232</v>
      </c>
      <c r="C1337" s="1" t="n">
        <v>45742</v>
      </c>
      <c r="D1337" t="inlineStr">
        <is>
          <t>GÄVLEBORGS LÄN</t>
        </is>
      </c>
      <c r="E1337" t="inlineStr">
        <is>
          <t>HUDIKSVALL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54171-2023</t>
        </is>
      </c>
      <c r="B1338" s="1" t="n">
        <v>45232</v>
      </c>
      <c r="C1338" s="1" t="n">
        <v>45742</v>
      </c>
      <c r="D1338" t="inlineStr">
        <is>
          <t>GÄVLEBORGS LÄN</t>
        </is>
      </c>
      <c r="E1338" t="inlineStr">
        <is>
          <t>HUDIKSVALL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54219-2023</t>
        </is>
      </c>
      <c r="B1339" s="1" t="n">
        <v>45232</v>
      </c>
      <c r="C1339" s="1" t="n">
        <v>45742</v>
      </c>
      <c r="D1339" t="inlineStr">
        <is>
          <t>GÄVLEBORGS LÄN</t>
        </is>
      </c>
      <c r="E1339" t="inlineStr">
        <is>
          <t>HUDIKSVALL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54467-2023</t>
        </is>
      </c>
      <c r="B1340" s="1" t="n">
        <v>45233</v>
      </c>
      <c r="C1340" s="1" t="n">
        <v>45742</v>
      </c>
      <c r="D1340" t="inlineStr">
        <is>
          <t>GÄVLEBORGS LÄN</t>
        </is>
      </c>
      <c r="E1340" t="inlineStr">
        <is>
          <t>HUDIKSVALL</t>
        </is>
      </c>
      <c r="G1340" t="n">
        <v>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54625-2023</t>
        </is>
      </c>
      <c r="B1341" s="1" t="n">
        <v>45234</v>
      </c>
      <c r="C1341" s="1" t="n">
        <v>45742</v>
      </c>
      <c r="D1341" t="inlineStr">
        <is>
          <t>GÄVLEBORGS LÄN</t>
        </is>
      </c>
      <c r="E1341" t="inlineStr">
        <is>
          <t>HUDIKSVALL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55201-2023</t>
        </is>
      </c>
      <c r="B1342" s="1" t="n">
        <v>45237</v>
      </c>
      <c r="C1342" s="1" t="n">
        <v>45742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55347-2023</t>
        </is>
      </c>
      <c r="B1343" s="1" t="n">
        <v>45238</v>
      </c>
      <c r="C1343" s="1" t="n">
        <v>45742</v>
      </c>
      <c r="D1343" t="inlineStr">
        <is>
          <t>GÄVLEBORGS LÄN</t>
        </is>
      </c>
      <c r="E1343" t="inlineStr">
        <is>
          <t>HUDIKSVALL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55757-2023</t>
        </is>
      </c>
      <c r="B1344" s="1" t="n">
        <v>45239</v>
      </c>
      <c r="C1344" s="1" t="n">
        <v>45742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55741-2023</t>
        </is>
      </c>
      <c r="B1345" s="1" t="n">
        <v>45239</v>
      </c>
      <c r="C1345" s="1" t="n">
        <v>45742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55978-2023</t>
        </is>
      </c>
      <c r="B1346" s="1" t="n">
        <v>45240</v>
      </c>
      <c r="C1346" s="1" t="n">
        <v>45742</v>
      </c>
      <c r="D1346" t="inlineStr">
        <is>
          <t>GÄVLEBORGS LÄN</t>
        </is>
      </c>
      <c r="E1346" t="inlineStr">
        <is>
          <t>HUDIKSVALL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56087-2023</t>
        </is>
      </c>
      <c r="B1347" s="1" t="n">
        <v>45240</v>
      </c>
      <c r="C1347" s="1" t="n">
        <v>45742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56380-2023</t>
        </is>
      </c>
      <c r="B1348" s="1" t="n">
        <v>45243</v>
      </c>
      <c r="C1348" s="1" t="n">
        <v>45742</v>
      </c>
      <c r="D1348" t="inlineStr">
        <is>
          <t>GÄVLEBORGS LÄN</t>
        </is>
      </c>
      <c r="E1348" t="inlineStr">
        <is>
          <t>HUDIKSVALL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56591-2023</t>
        </is>
      </c>
      <c r="B1349" s="1" t="n">
        <v>45243</v>
      </c>
      <c r="C1349" s="1" t="n">
        <v>45742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56738-2023</t>
        </is>
      </c>
      <c r="B1350" s="1" t="n">
        <v>45244</v>
      </c>
      <c r="C1350" s="1" t="n">
        <v>45742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56755-2023</t>
        </is>
      </c>
      <c r="B1351" s="1" t="n">
        <v>45244</v>
      </c>
      <c r="C1351" s="1" t="n">
        <v>45742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56817-2023</t>
        </is>
      </c>
      <c r="B1352" s="1" t="n">
        <v>45244</v>
      </c>
      <c r="C1352" s="1" t="n">
        <v>45742</v>
      </c>
      <c r="D1352" t="inlineStr">
        <is>
          <t>GÄVLEBORGS LÄN</t>
        </is>
      </c>
      <c r="E1352" t="inlineStr">
        <is>
          <t>HUDIKSVALL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56862-2023</t>
        </is>
      </c>
      <c r="B1353" s="1" t="n">
        <v>45244</v>
      </c>
      <c r="C1353" s="1" t="n">
        <v>45742</v>
      </c>
      <c r="D1353" t="inlineStr">
        <is>
          <t>GÄVLEBORGS LÄN</t>
        </is>
      </c>
      <c r="E1353" t="inlineStr">
        <is>
          <t>HUDIKSVALL</t>
        </is>
      </c>
      <c r="G1353" t="n">
        <v>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57015-2023</t>
        </is>
      </c>
      <c r="B1354" s="1" t="n">
        <v>45244</v>
      </c>
      <c r="C1354" s="1" t="n">
        <v>45742</v>
      </c>
      <c r="D1354" t="inlineStr">
        <is>
          <t>GÄVLEBORGS LÄN</t>
        </is>
      </c>
      <c r="E1354" t="inlineStr">
        <is>
          <t>HUDIKSVALL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56816-2023</t>
        </is>
      </c>
      <c r="B1355" s="1" t="n">
        <v>45244</v>
      </c>
      <c r="C1355" s="1" t="n">
        <v>45742</v>
      </c>
      <c r="D1355" t="inlineStr">
        <is>
          <t>GÄVLEBORGS LÄN</t>
        </is>
      </c>
      <c r="E1355" t="inlineStr">
        <is>
          <t>HUDIKSVALL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56820-2023</t>
        </is>
      </c>
      <c r="B1356" s="1" t="n">
        <v>45244</v>
      </c>
      <c r="C1356" s="1" t="n">
        <v>45742</v>
      </c>
      <c r="D1356" t="inlineStr">
        <is>
          <t>GÄVLEBORGS LÄN</t>
        </is>
      </c>
      <c r="E1356" t="inlineStr">
        <is>
          <t>HUDIKSVALL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56865-2023</t>
        </is>
      </c>
      <c r="B1357" s="1" t="n">
        <v>45244</v>
      </c>
      <c r="C1357" s="1" t="n">
        <v>45742</v>
      </c>
      <c r="D1357" t="inlineStr">
        <is>
          <t>GÄVLEBORGS LÄN</t>
        </is>
      </c>
      <c r="E1357" t="inlineStr">
        <is>
          <t>HUDIKSVALL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56825-2023</t>
        </is>
      </c>
      <c r="B1358" s="1" t="n">
        <v>45244</v>
      </c>
      <c r="C1358" s="1" t="n">
        <v>45742</v>
      </c>
      <c r="D1358" t="inlineStr">
        <is>
          <t>GÄVLEBORGS LÄN</t>
        </is>
      </c>
      <c r="E1358" t="inlineStr">
        <is>
          <t>HUDIKSVALL</t>
        </is>
      </c>
      <c r="G1358" t="n">
        <v>5.9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56864-2023</t>
        </is>
      </c>
      <c r="B1359" s="1" t="n">
        <v>45244</v>
      </c>
      <c r="C1359" s="1" t="n">
        <v>45742</v>
      </c>
      <c r="D1359" t="inlineStr">
        <is>
          <t>GÄVLEBORGS LÄN</t>
        </is>
      </c>
      <c r="E1359" t="inlineStr">
        <is>
          <t>HUDIKSVALL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56882-2023</t>
        </is>
      </c>
      <c r="B1360" s="1" t="n">
        <v>45244</v>
      </c>
      <c r="C1360" s="1" t="n">
        <v>45742</v>
      </c>
      <c r="D1360" t="inlineStr">
        <is>
          <t>GÄVLEBORGS LÄN</t>
        </is>
      </c>
      <c r="E1360" t="inlineStr">
        <is>
          <t>HUDIKSVALL</t>
        </is>
      </c>
      <c r="G1360" t="n">
        <v>7.7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56894-2023</t>
        </is>
      </c>
      <c r="B1361" s="1" t="n">
        <v>45244</v>
      </c>
      <c r="C1361" s="1" t="n">
        <v>45742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56898-2023</t>
        </is>
      </c>
      <c r="B1362" s="1" t="n">
        <v>45244</v>
      </c>
      <c r="C1362" s="1" t="n">
        <v>45742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57949-2023</t>
        </is>
      </c>
      <c r="B1363" s="1" t="n">
        <v>45244</v>
      </c>
      <c r="C1363" s="1" t="n">
        <v>45742</v>
      </c>
      <c r="D1363" t="inlineStr">
        <is>
          <t>GÄVLEBORGS LÄN</t>
        </is>
      </c>
      <c r="E1363" t="inlineStr">
        <is>
          <t>HUDIKSVALL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57172-2023</t>
        </is>
      </c>
      <c r="B1364" s="1" t="n">
        <v>45245</v>
      </c>
      <c r="C1364" s="1" t="n">
        <v>45742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57430-2023</t>
        </is>
      </c>
      <c r="B1365" s="1" t="n">
        <v>45246</v>
      </c>
      <c r="C1365" s="1" t="n">
        <v>45742</v>
      </c>
      <c r="D1365" t="inlineStr">
        <is>
          <t>GÄVLEBORGS LÄN</t>
        </is>
      </c>
      <c r="E1365" t="inlineStr">
        <is>
          <t>HUDIKSVALL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57464-2023</t>
        </is>
      </c>
      <c r="B1366" s="1" t="n">
        <v>45246</v>
      </c>
      <c r="C1366" s="1" t="n">
        <v>45742</v>
      </c>
      <c r="D1366" t="inlineStr">
        <is>
          <t>GÄVLEBORGS LÄN</t>
        </is>
      </c>
      <c r="E1366" t="inlineStr">
        <is>
          <t>HUDIKSVALL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57891-2023</t>
        </is>
      </c>
      <c r="B1367" s="1" t="n">
        <v>45247</v>
      </c>
      <c r="C1367" s="1" t="n">
        <v>45742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57871-2023</t>
        </is>
      </c>
      <c r="B1368" s="1" t="n">
        <v>45247</v>
      </c>
      <c r="C1368" s="1" t="n">
        <v>45742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58856-2023</t>
        </is>
      </c>
      <c r="B1369" s="1" t="n">
        <v>45247</v>
      </c>
      <c r="C1369" s="1" t="n">
        <v>45742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57822-2023</t>
        </is>
      </c>
      <c r="B1370" s="1" t="n">
        <v>45247</v>
      </c>
      <c r="C1370" s="1" t="n">
        <v>45742</v>
      </c>
      <c r="D1370" t="inlineStr">
        <is>
          <t>GÄVLEBORGS LÄN</t>
        </is>
      </c>
      <c r="E1370" t="inlineStr">
        <is>
          <t>HUDIKSVALL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57815-2023</t>
        </is>
      </c>
      <c r="B1371" s="1" t="n">
        <v>45247</v>
      </c>
      <c r="C1371" s="1" t="n">
        <v>45742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58327-2023</t>
        </is>
      </c>
      <c r="B1372" s="1" t="n">
        <v>45250</v>
      </c>
      <c r="C1372" s="1" t="n">
        <v>45742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58860-2023</t>
        </is>
      </c>
      <c r="B1373" s="1" t="n">
        <v>45252</v>
      </c>
      <c r="C1373" s="1" t="n">
        <v>45742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58945-2023</t>
        </is>
      </c>
      <c r="B1374" s="1" t="n">
        <v>45252</v>
      </c>
      <c r="C1374" s="1" t="n">
        <v>45742</v>
      </c>
      <c r="D1374" t="inlineStr">
        <is>
          <t>GÄVLEBORGS LÄN</t>
        </is>
      </c>
      <c r="E1374" t="inlineStr">
        <is>
          <t>HUDIKSVALL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59467-2023</t>
        </is>
      </c>
      <c r="B1375" s="1" t="n">
        <v>45254</v>
      </c>
      <c r="C1375" s="1" t="n">
        <v>45742</v>
      </c>
      <c r="D1375" t="inlineStr">
        <is>
          <t>GÄVLEBORGS LÄN</t>
        </is>
      </c>
      <c r="E1375" t="inlineStr">
        <is>
          <t>HUDIKSVALL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59536-2023</t>
        </is>
      </c>
      <c r="B1376" s="1" t="n">
        <v>45254</v>
      </c>
      <c r="C1376" s="1" t="n">
        <v>45742</v>
      </c>
      <c r="D1376" t="inlineStr">
        <is>
          <t>GÄVLEBORGS LÄN</t>
        </is>
      </c>
      <c r="E1376" t="inlineStr">
        <is>
          <t>HUDIKSVALL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59569-2023</t>
        </is>
      </c>
      <c r="B1377" s="1" t="n">
        <v>45254</v>
      </c>
      <c r="C1377" s="1" t="n">
        <v>45742</v>
      </c>
      <c r="D1377" t="inlineStr">
        <is>
          <t>GÄVLEBORGS LÄN</t>
        </is>
      </c>
      <c r="E1377" t="inlineStr">
        <is>
          <t>HUDIKSVALL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59652-2023</t>
        </is>
      </c>
      <c r="B1378" s="1" t="n">
        <v>45254</v>
      </c>
      <c r="C1378" s="1" t="n">
        <v>45742</v>
      </c>
      <c r="D1378" t="inlineStr">
        <is>
          <t>GÄVLEBORGS LÄN</t>
        </is>
      </c>
      <c r="E1378" t="inlineStr">
        <is>
          <t>HUDIKSVALL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59654-2023</t>
        </is>
      </c>
      <c r="B1379" s="1" t="n">
        <v>45254</v>
      </c>
      <c r="C1379" s="1" t="n">
        <v>45742</v>
      </c>
      <c r="D1379" t="inlineStr">
        <is>
          <t>GÄVLEBORGS LÄN</t>
        </is>
      </c>
      <c r="E1379" t="inlineStr">
        <is>
          <t>HUDIKSVALL</t>
        </is>
      </c>
      <c r="G1379" t="n">
        <v>30.9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59860-2023</t>
        </is>
      </c>
      <c r="B1380" s="1" t="n">
        <v>45257</v>
      </c>
      <c r="C1380" s="1" t="n">
        <v>45742</v>
      </c>
      <c r="D1380" t="inlineStr">
        <is>
          <t>GÄVLEBORGS LÄN</t>
        </is>
      </c>
      <c r="E1380" t="inlineStr">
        <is>
          <t>HUDIKSVALL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59875-2023</t>
        </is>
      </c>
      <c r="B1381" s="1" t="n">
        <v>45257</v>
      </c>
      <c r="C1381" s="1" t="n">
        <v>45742</v>
      </c>
      <c r="D1381" t="inlineStr">
        <is>
          <t>GÄVLEBORGS LÄN</t>
        </is>
      </c>
      <c r="E1381" t="inlineStr">
        <is>
          <t>HUDIKSVALL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59848-2023</t>
        </is>
      </c>
      <c r="B1382" s="1" t="n">
        <v>45257</v>
      </c>
      <c r="C1382" s="1" t="n">
        <v>45742</v>
      </c>
      <c r="D1382" t="inlineStr">
        <is>
          <t>GÄVLEBORGS LÄN</t>
        </is>
      </c>
      <c r="E1382" t="inlineStr">
        <is>
          <t>HUDIKSVALL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59852-2023</t>
        </is>
      </c>
      <c r="B1383" s="1" t="n">
        <v>45257</v>
      </c>
      <c r="C1383" s="1" t="n">
        <v>45742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59867-2023</t>
        </is>
      </c>
      <c r="B1384" s="1" t="n">
        <v>45257</v>
      </c>
      <c r="C1384" s="1" t="n">
        <v>45742</v>
      </c>
      <c r="D1384" t="inlineStr">
        <is>
          <t>GÄVLEBORGS LÄN</t>
        </is>
      </c>
      <c r="E1384" t="inlineStr">
        <is>
          <t>HUDIKSVALL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59914-2023</t>
        </is>
      </c>
      <c r="B1385" s="1" t="n">
        <v>45257</v>
      </c>
      <c r="C1385" s="1" t="n">
        <v>45742</v>
      </c>
      <c r="D1385" t="inlineStr">
        <is>
          <t>GÄVLEBORGS LÄN</t>
        </is>
      </c>
      <c r="E1385" t="inlineStr">
        <is>
          <t>HUDIKSVALL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59773-2023</t>
        </is>
      </c>
      <c r="B1386" s="1" t="n">
        <v>45257</v>
      </c>
      <c r="C1386" s="1" t="n">
        <v>45742</v>
      </c>
      <c r="D1386" t="inlineStr">
        <is>
          <t>GÄVLEBORGS LÄN</t>
        </is>
      </c>
      <c r="E1386" t="inlineStr">
        <is>
          <t>HUDIKSVALL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59851-2023</t>
        </is>
      </c>
      <c r="B1387" s="1" t="n">
        <v>45257</v>
      </c>
      <c r="C1387" s="1" t="n">
        <v>45742</v>
      </c>
      <c r="D1387" t="inlineStr">
        <is>
          <t>GÄVLEBORGS LÄN</t>
        </is>
      </c>
      <c r="E1387" t="inlineStr">
        <is>
          <t>HUDIKSVALL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60030-2023</t>
        </is>
      </c>
      <c r="B1388" s="1" t="n">
        <v>45258</v>
      </c>
      <c r="C1388" s="1" t="n">
        <v>45742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60190-2023</t>
        </is>
      </c>
      <c r="B1389" s="1" t="n">
        <v>45258</v>
      </c>
      <c r="C1389" s="1" t="n">
        <v>45742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60192-2023</t>
        </is>
      </c>
      <c r="B1390" s="1" t="n">
        <v>45258</v>
      </c>
      <c r="C1390" s="1" t="n">
        <v>45742</v>
      </c>
      <c r="D1390" t="inlineStr">
        <is>
          <t>GÄVLEBORGS LÄN</t>
        </is>
      </c>
      <c r="E1390" t="inlineStr">
        <is>
          <t>HUDIKSVALL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60182-2023</t>
        </is>
      </c>
      <c r="B1391" s="1" t="n">
        <v>45258</v>
      </c>
      <c r="C1391" s="1" t="n">
        <v>45742</v>
      </c>
      <c r="D1391" t="inlineStr">
        <is>
          <t>GÄVLEBORGS LÄN</t>
        </is>
      </c>
      <c r="E1391" t="inlineStr">
        <is>
          <t>HUDIKSVALL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60188-2023</t>
        </is>
      </c>
      <c r="B1392" s="1" t="n">
        <v>45258</v>
      </c>
      <c r="C1392" s="1" t="n">
        <v>45742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60194-2023</t>
        </is>
      </c>
      <c r="B1393" s="1" t="n">
        <v>45258</v>
      </c>
      <c r="C1393" s="1" t="n">
        <v>45742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60473-2023</t>
        </is>
      </c>
      <c r="B1394" s="1" t="n">
        <v>45259</v>
      </c>
      <c r="C1394" s="1" t="n">
        <v>45742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60710-2023</t>
        </is>
      </c>
      <c r="B1395" s="1" t="n">
        <v>45260</v>
      </c>
      <c r="C1395" s="1" t="n">
        <v>45742</v>
      </c>
      <c r="D1395" t="inlineStr">
        <is>
          <t>GÄVLEBORGS LÄN</t>
        </is>
      </c>
      <c r="E1395" t="inlineStr">
        <is>
          <t>HUDIKSVALL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60736-2023</t>
        </is>
      </c>
      <c r="B1396" s="1" t="n">
        <v>45260</v>
      </c>
      <c r="C1396" s="1" t="n">
        <v>45742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60789-2023</t>
        </is>
      </c>
      <c r="B1397" s="1" t="n">
        <v>45260</v>
      </c>
      <c r="C1397" s="1" t="n">
        <v>45742</v>
      </c>
      <c r="D1397" t="inlineStr">
        <is>
          <t>GÄVLEBORGS LÄN</t>
        </is>
      </c>
      <c r="E1397" t="inlineStr">
        <is>
          <t>HUDIKSVALL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60801-2023</t>
        </is>
      </c>
      <c r="B1398" s="1" t="n">
        <v>45260</v>
      </c>
      <c r="C1398" s="1" t="n">
        <v>45742</v>
      </c>
      <c r="D1398" t="inlineStr">
        <is>
          <t>GÄVLEBORGS LÄN</t>
        </is>
      </c>
      <c r="E1398" t="inlineStr">
        <is>
          <t>HUDIKSVALL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60617-2023</t>
        </is>
      </c>
      <c r="B1399" s="1" t="n">
        <v>45260</v>
      </c>
      <c r="C1399" s="1" t="n">
        <v>45742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60628-2023</t>
        </is>
      </c>
      <c r="B1400" s="1" t="n">
        <v>45260</v>
      </c>
      <c r="C1400" s="1" t="n">
        <v>45742</v>
      </c>
      <c r="D1400" t="inlineStr">
        <is>
          <t>GÄVLEBORGS LÄN</t>
        </is>
      </c>
      <c r="E1400" t="inlineStr">
        <is>
          <t>HUDIKSVALL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</v>
      </c>
      <c r="C1401" s="1" t="n">
        <v>45742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60796-2023</t>
        </is>
      </c>
      <c r="B1402" s="1" t="n">
        <v>45260</v>
      </c>
      <c r="C1402" s="1" t="n">
        <v>45742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60901-2023</t>
        </is>
      </c>
      <c r="B1403" s="1" t="n">
        <v>45261</v>
      </c>
      <c r="C1403" s="1" t="n">
        <v>45742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</v>
      </c>
      <c r="C1404" s="1" t="n">
        <v>45742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60933-2023</t>
        </is>
      </c>
      <c r="B1405" s="1" t="n">
        <v>45261</v>
      </c>
      <c r="C1405" s="1" t="n">
        <v>45742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60938-2023</t>
        </is>
      </c>
      <c r="B1406" s="1" t="n">
        <v>45261</v>
      </c>
      <c r="C1406" s="1" t="n">
        <v>45742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60899-2023</t>
        </is>
      </c>
      <c r="B1407" s="1" t="n">
        <v>45261</v>
      </c>
      <c r="C1407" s="1" t="n">
        <v>45742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60931-2023</t>
        </is>
      </c>
      <c r="B1408" s="1" t="n">
        <v>45261</v>
      </c>
      <c r="C1408" s="1" t="n">
        <v>45742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61211-2023</t>
        </is>
      </c>
      <c r="B1409" s="1" t="n">
        <v>45264</v>
      </c>
      <c r="C1409" s="1" t="n">
        <v>45742</v>
      </c>
      <c r="D1409" t="inlineStr">
        <is>
          <t>GÄVLEBORGS LÄN</t>
        </is>
      </c>
      <c r="E1409" t="inlineStr">
        <is>
          <t>HUDIKSVALL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61234-2023</t>
        </is>
      </c>
      <c r="B1410" s="1" t="n">
        <v>45264</v>
      </c>
      <c r="C1410" s="1" t="n">
        <v>45742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61255-2023</t>
        </is>
      </c>
      <c r="B1411" s="1" t="n">
        <v>45264</v>
      </c>
      <c r="C1411" s="1" t="n">
        <v>45742</v>
      </c>
      <c r="D1411" t="inlineStr">
        <is>
          <t>GÄVLEBORGS LÄN</t>
        </is>
      </c>
      <c r="E1411" t="inlineStr">
        <is>
          <t>HUDIKSVALL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61212-2023</t>
        </is>
      </c>
      <c r="B1412" s="1" t="n">
        <v>45264</v>
      </c>
      <c r="C1412" s="1" t="n">
        <v>45742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61406-2023</t>
        </is>
      </c>
      <c r="B1413" s="1" t="n">
        <v>45264</v>
      </c>
      <c r="C1413" s="1" t="n">
        <v>45742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61412-2023</t>
        </is>
      </c>
      <c r="B1414" s="1" t="n">
        <v>45264</v>
      </c>
      <c r="C1414" s="1" t="n">
        <v>45742</v>
      </c>
      <c r="D1414" t="inlineStr">
        <is>
          <t>GÄVLEBORGS LÄN</t>
        </is>
      </c>
      <c r="E1414" t="inlineStr">
        <is>
          <t>HUDIKSVALL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61478-2023</t>
        </is>
      </c>
      <c r="B1415" s="1" t="n">
        <v>45264</v>
      </c>
      <c r="C1415" s="1" t="n">
        <v>45742</v>
      </c>
      <c r="D1415" t="inlineStr">
        <is>
          <t>GÄVLEBORGS LÄN</t>
        </is>
      </c>
      <c r="E1415" t="inlineStr">
        <is>
          <t>HUDIKSVALL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61610-2023</t>
        </is>
      </c>
      <c r="B1416" s="1" t="n">
        <v>45265</v>
      </c>
      <c r="C1416" s="1" t="n">
        <v>45742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61772-2023</t>
        </is>
      </c>
      <c r="B1417" s="1" t="n">
        <v>45265</v>
      </c>
      <c r="C1417" s="1" t="n">
        <v>45742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61774-2023</t>
        </is>
      </c>
      <c r="B1418" s="1" t="n">
        <v>45265</v>
      </c>
      <c r="C1418" s="1" t="n">
        <v>45742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61611-2023</t>
        </is>
      </c>
      <c r="B1419" s="1" t="n">
        <v>45265</v>
      </c>
      <c r="C1419" s="1" t="n">
        <v>45742</v>
      </c>
      <c r="D1419" t="inlineStr">
        <is>
          <t>GÄVLEBORGS LÄN</t>
        </is>
      </c>
      <c r="E1419" t="inlineStr">
        <is>
          <t>HUDIKSVALL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61771-2023</t>
        </is>
      </c>
      <c r="B1420" s="1" t="n">
        <v>45265</v>
      </c>
      <c r="C1420" s="1" t="n">
        <v>45742</v>
      </c>
      <c r="D1420" t="inlineStr">
        <is>
          <t>GÄVLEBORGS LÄN</t>
        </is>
      </c>
      <c r="E1420" t="inlineStr">
        <is>
          <t>HUDIKSVALL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62124-2023</t>
        </is>
      </c>
      <c r="B1421" s="1" t="n">
        <v>45267</v>
      </c>
      <c r="C1421" s="1" t="n">
        <v>45742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Sveaskog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62522-2023</t>
        </is>
      </c>
      <c r="B1422" s="1" t="n">
        <v>45268</v>
      </c>
      <c r="C1422" s="1" t="n">
        <v>45742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62439-2023</t>
        </is>
      </c>
      <c r="B1423" s="1" t="n">
        <v>45268</v>
      </c>
      <c r="C1423" s="1" t="n">
        <v>45742</v>
      </c>
      <c r="D1423" t="inlineStr">
        <is>
          <t>GÄVLEBORGS LÄN</t>
        </is>
      </c>
      <c r="E1423" t="inlineStr">
        <is>
          <t>HUDIKSVALL</t>
        </is>
      </c>
      <c r="G1423" t="n">
        <v>13.3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62716-2023</t>
        </is>
      </c>
      <c r="B1424" s="1" t="n">
        <v>45271</v>
      </c>
      <c r="C1424" s="1" t="n">
        <v>45742</v>
      </c>
      <c r="D1424" t="inlineStr">
        <is>
          <t>GÄVLEBORGS LÄN</t>
        </is>
      </c>
      <c r="E1424" t="inlineStr">
        <is>
          <t>HUDIKSVALL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62628-2023</t>
        </is>
      </c>
      <c r="B1425" s="1" t="n">
        <v>45271</v>
      </c>
      <c r="C1425" s="1" t="n">
        <v>45742</v>
      </c>
      <c r="D1425" t="inlineStr">
        <is>
          <t>GÄVLEBORGS LÄN</t>
        </is>
      </c>
      <c r="E1425" t="inlineStr">
        <is>
          <t>HUDIKSVALL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62645-2023</t>
        </is>
      </c>
      <c r="B1426" s="1" t="n">
        <v>45271</v>
      </c>
      <c r="C1426" s="1" t="n">
        <v>45742</v>
      </c>
      <c r="D1426" t="inlineStr">
        <is>
          <t>GÄVLEBORGS LÄN</t>
        </is>
      </c>
      <c r="E1426" t="inlineStr">
        <is>
          <t>HUDIKSVALL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62639-2023</t>
        </is>
      </c>
      <c r="B1427" s="1" t="n">
        <v>45271</v>
      </c>
      <c r="C1427" s="1" t="n">
        <v>45742</v>
      </c>
      <c r="D1427" t="inlineStr">
        <is>
          <t>GÄVLEBORGS LÄN</t>
        </is>
      </c>
      <c r="E1427" t="inlineStr">
        <is>
          <t>HUDIKSVALL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62674-2023</t>
        </is>
      </c>
      <c r="B1428" s="1" t="n">
        <v>45271</v>
      </c>
      <c r="C1428" s="1" t="n">
        <v>45742</v>
      </c>
      <c r="D1428" t="inlineStr">
        <is>
          <t>GÄVLEBORGS LÄN</t>
        </is>
      </c>
      <c r="E1428" t="inlineStr">
        <is>
          <t>HUDIKSVALL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62668-2023</t>
        </is>
      </c>
      <c r="B1429" s="1" t="n">
        <v>45271</v>
      </c>
      <c r="C1429" s="1" t="n">
        <v>45742</v>
      </c>
      <c r="D1429" t="inlineStr">
        <is>
          <t>GÄVLEBORGS LÄN</t>
        </is>
      </c>
      <c r="E1429" t="inlineStr">
        <is>
          <t>HUDIKSVALL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62927-2023</t>
        </is>
      </c>
      <c r="B1430" s="1" t="n">
        <v>45272</v>
      </c>
      <c r="C1430" s="1" t="n">
        <v>45742</v>
      </c>
      <c r="D1430" t="inlineStr">
        <is>
          <t>GÄVLEBORGS LÄN</t>
        </is>
      </c>
      <c r="E1430" t="inlineStr">
        <is>
          <t>HUDIKSVALL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62910-2023</t>
        </is>
      </c>
      <c r="B1431" s="1" t="n">
        <v>45272</v>
      </c>
      <c r="C1431" s="1" t="n">
        <v>45742</v>
      </c>
      <c r="D1431" t="inlineStr">
        <is>
          <t>GÄVLEBORGS LÄN</t>
        </is>
      </c>
      <c r="E1431" t="inlineStr">
        <is>
          <t>HUDIKSVALL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62926-2023</t>
        </is>
      </c>
      <c r="B1432" s="1" t="n">
        <v>45272</v>
      </c>
      <c r="C1432" s="1" t="n">
        <v>45742</v>
      </c>
      <c r="D1432" t="inlineStr">
        <is>
          <t>GÄVLEBORGS LÄN</t>
        </is>
      </c>
      <c r="E1432" t="inlineStr">
        <is>
          <t>HUDIKSVALL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62930-2023</t>
        </is>
      </c>
      <c r="B1433" s="1" t="n">
        <v>45272</v>
      </c>
      <c r="C1433" s="1" t="n">
        <v>45742</v>
      </c>
      <c r="D1433" t="inlineStr">
        <is>
          <t>GÄVLEBORGS LÄN</t>
        </is>
      </c>
      <c r="E1433" t="inlineStr">
        <is>
          <t>HUDIKSVALL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63045-2023</t>
        </is>
      </c>
      <c r="B1434" s="1" t="n">
        <v>45272</v>
      </c>
      <c r="C1434" s="1" t="n">
        <v>45742</v>
      </c>
      <c r="D1434" t="inlineStr">
        <is>
          <t>GÄVLEBORGS LÄN</t>
        </is>
      </c>
      <c r="E1434" t="inlineStr">
        <is>
          <t>HUDIKSVALL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63134-2023</t>
        </is>
      </c>
      <c r="B1435" s="1" t="n">
        <v>45273</v>
      </c>
      <c r="C1435" s="1" t="n">
        <v>45742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63088-2023</t>
        </is>
      </c>
      <c r="B1436" s="1" t="n">
        <v>45273</v>
      </c>
      <c r="C1436" s="1" t="n">
        <v>45742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63428-2023</t>
        </is>
      </c>
      <c r="B1437" s="1" t="n">
        <v>45274</v>
      </c>
      <c r="C1437" s="1" t="n">
        <v>45742</v>
      </c>
      <c r="D1437" t="inlineStr">
        <is>
          <t>GÄVLEBORGS LÄN</t>
        </is>
      </c>
      <c r="E1437" t="inlineStr">
        <is>
          <t>HUDIKSVALL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63414-2023</t>
        </is>
      </c>
      <c r="B1438" s="1" t="n">
        <v>45274</v>
      </c>
      <c r="C1438" s="1" t="n">
        <v>45742</v>
      </c>
      <c r="D1438" t="inlineStr">
        <is>
          <t>GÄVLEBORGS LÄN</t>
        </is>
      </c>
      <c r="E1438" t="inlineStr">
        <is>
          <t>HUDIKSVALL</t>
        </is>
      </c>
      <c r="G1438" t="n">
        <v>9.1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63615-2023</t>
        </is>
      </c>
      <c r="B1439" s="1" t="n">
        <v>45275</v>
      </c>
      <c r="C1439" s="1" t="n">
        <v>45742</v>
      </c>
      <c r="D1439" t="inlineStr">
        <is>
          <t>GÄVLEBORGS LÄN</t>
        </is>
      </c>
      <c r="E1439" t="inlineStr">
        <is>
          <t>HUDIKSVALL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63619-2023</t>
        </is>
      </c>
      <c r="B1440" s="1" t="n">
        <v>45275</v>
      </c>
      <c r="C1440" s="1" t="n">
        <v>45742</v>
      </c>
      <c r="D1440" t="inlineStr">
        <is>
          <t>GÄVLEBORGS LÄN</t>
        </is>
      </c>
      <c r="E1440" t="inlineStr">
        <is>
          <t>HUDIKSVALL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63623-2023</t>
        </is>
      </c>
      <c r="B1441" s="1" t="n">
        <v>45275</v>
      </c>
      <c r="C1441" s="1" t="n">
        <v>45742</v>
      </c>
      <c r="D1441" t="inlineStr">
        <is>
          <t>GÄVLEBORGS LÄN</t>
        </is>
      </c>
      <c r="E1441" t="inlineStr">
        <is>
          <t>HUDIKSVALL</t>
        </is>
      </c>
      <c r="G1441" t="n">
        <v>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63627-2023</t>
        </is>
      </c>
      <c r="B1442" s="1" t="n">
        <v>45275</v>
      </c>
      <c r="C1442" s="1" t="n">
        <v>45742</v>
      </c>
      <c r="D1442" t="inlineStr">
        <is>
          <t>GÄVLEBORGS LÄN</t>
        </is>
      </c>
      <c r="E1442" t="inlineStr">
        <is>
          <t>HUDIKSVALL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63643-2023</t>
        </is>
      </c>
      <c r="B1443" s="1" t="n">
        <v>45275</v>
      </c>
      <c r="C1443" s="1" t="n">
        <v>45742</v>
      </c>
      <c r="D1443" t="inlineStr">
        <is>
          <t>GÄVLEBORGS LÄN</t>
        </is>
      </c>
      <c r="E1443" t="inlineStr">
        <is>
          <t>HUDIKSVALL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63797-2023</t>
        </is>
      </c>
      <c r="B1444" s="1" t="n">
        <v>45278</v>
      </c>
      <c r="C1444" s="1" t="n">
        <v>45742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63857-2023</t>
        </is>
      </c>
      <c r="B1445" s="1" t="n">
        <v>45278</v>
      </c>
      <c r="C1445" s="1" t="n">
        <v>45742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63952-2023</t>
        </is>
      </c>
      <c r="B1446" s="1" t="n">
        <v>45278</v>
      </c>
      <c r="C1446" s="1" t="n">
        <v>45742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7.2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64010-2023</t>
        </is>
      </c>
      <c r="B1447" s="1" t="n">
        <v>45278</v>
      </c>
      <c r="C1447" s="1" t="n">
        <v>45742</v>
      </c>
      <c r="D1447" t="inlineStr">
        <is>
          <t>GÄVLEBORGS LÄN</t>
        </is>
      </c>
      <c r="E1447" t="inlineStr">
        <is>
          <t>HUDIKSVALL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64015-2023</t>
        </is>
      </c>
      <c r="B1448" s="1" t="n">
        <v>45278</v>
      </c>
      <c r="C1448" s="1" t="n">
        <v>45742</v>
      </c>
      <c r="D1448" t="inlineStr">
        <is>
          <t>GÄVLEBORGS LÄN</t>
        </is>
      </c>
      <c r="E1448" t="inlineStr">
        <is>
          <t>HUDIKSVALL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64593-2023</t>
        </is>
      </c>
      <c r="B1449" s="1" t="n">
        <v>45281</v>
      </c>
      <c r="C1449" s="1" t="n">
        <v>45742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64579-2023</t>
        </is>
      </c>
      <c r="B1450" s="1" t="n">
        <v>45281</v>
      </c>
      <c r="C1450" s="1" t="n">
        <v>45742</v>
      </c>
      <c r="D1450" t="inlineStr">
        <is>
          <t>GÄVLEBORGS LÄN</t>
        </is>
      </c>
      <c r="E1450" t="inlineStr">
        <is>
          <t>HUDIKSVALL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64727-2023</t>
        </is>
      </c>
      <c r="B1451" s="1" t="n">
        <v>45281</v>
      </c>
      <c r="C1451" s="1" t="n">
        <v>45742</v>
      </c>
      <c r="D1451" t="inlineStr">
        <is>
          <t>GÄVLEBORGS LÄN</t>
        </is>
      </c>
      <c r="E1451" t="inlineStr">
        <is>
          <t>HUDIKSVALL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64962-2023</t>
        </is>
      </c>
      <c r="B1452" s="1" t="n">
        <v>45283</v>
      </c>
      <c r="C1452" s="1" t="n">
        <v>45742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65195-2023</t>
        </is>
      </c>
      <c r="B1453" s="1" t="n">
        <v>45289</v>
      </c>
      <c r="C1453" s="1" t="n">
        <v>45742</v>
      </c>
      <c r="D1453" t="inlineStr">
        <is>
          <t>GÄVLEBORGS LÄN</t>
        </is>
      </c>
      <c r="E1453" t="inlineStr">
        <is>
          <t>HUDIKSVALL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182-2024</t>
        </is>
      </c>
      <c r="B1454" s="1" t="n">
        <v>45294</v>
      </c>
      <c r="C1454" s="1" t="n">
        <v>45742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355-2024</t>
        </is>
      </c>
      <c r="B1455" s="1" t="n">
        <v>45295</v>
      </c>
      <c r="C1455" s="1" t="n">
        <v>45742</v>
      </c>
      <c r="D1455" t="inlineStr">
        <is>
          <t>GÄVLEBORGS LÄN</t>
        </is>
      </c>
      <c r="E1455" t="inlineStr">
        <is>
          <t>HUDIKSVALL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333-2024</t>
        </is>
      </c>
      <c r="B1456" s="1" t="n">
        <v>45295</v>
      </c>
      <c r="C1456" s="1" t="n">
        <v>45742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364-2024</t>
        </is>
      </c>
      <c r="B1457" s="1" t="n">
        <v>45295</v>
      </c>
      <c r="C1457" s="1" t="n">
        <v>45742</v>
      </c>
      <c r="D1457" t="inlineStr">
        <is>
          <t>GÄVLEBORGS LÄN</t>
        </is>
      </c>
      <c r="E1457" t="inlineStr">
        <is>
          <t>HUDIKSVALL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363-2024</t>
        </is>
      </c>
      <c r="B1458" s="1" t="n">
        <v>45295</v>
      </c>
      <c r="C1458" s="1" t="n">
        <v>45742</v>
      </c>
      <c r="D1458" t="inlineStr">
        <is>
          <t>GÄVLEBORGS LÄN</t>
        </is>
      </c>
      <c r="E1458" t="inlineStr">
        <is>
          <t>HUDIKSVALL</t>
        </is>
      </c>
      <c r="G1458" t="n">
        <v>13.3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365-2024</t>
        </is>
      </c>
      <c r="B1459" s="1" t="n">
        <v>45295</v>
      </c>
      <c r="C1459" s="1" t="n">
        <v>45742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461-2024</t>
        </is>
      </c>
      <c r="B1460" s="1" t="n">
        <v>45297</v>
      </c>
      <c r="C1460" s="1" t="n">
        <v>45742</v>
      </c>
      <c r="D1460" t="inlineStr">
        <is>
          <t>GÄVLEBORGS LÄN</t>
        </is>
      </c>
      <c r="E1460" t="inlineStr">
        <is>
          <t>HUDIKSVALL</t>
        </is>
      </c>
      <c r="G1460" t="n">
        <v>43.2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473-2024</t>
        </is>
      </c>
      <c r="B1461" s="1" t="n">
        <v>45297</v>
      </c>
      <c r="C1461" s="1" t="n">
        <v>45742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467-2024</t>
        </is>
      </c>
      <c r="B1462" s="1" t="n">
        <v>45297</v>
      </c>
      <c r="C1462" s="1" t="n">
        <v>45742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HYPERLINK("https://klasma.github.io/Logging_2184/knärot/A 467-2024 karta knärot.png", "A 467-2024")</f>
        <v/>
      </c>
      <c r="V1462">
        <f>HYPERLINK("https://klasma.github.io/Logging_2184/klagomål/A 467-2024 FSC-klagomål.docx", "A 467-2024")</f>
        <v/>
      </c>
      <c r="W1462">
        <f>HYPERLINK("https://klasma.github.io/Logging_2184/klagomålsmail/A 467-2024 FSC-klagomål mail.docx", "A 467-2024")</f>
        <v/>
      </c>
      <c r="X1462">
        <f>HYPERLINK("https://klasma.github.io/Logging_2184/tillsyn/A 467-2024 tillsynsbegäran.docx", "A 467-2024")</f>
        <v/>
      </c>
      <c r="Y1462">
        <f>HYPERLINK("https://klasma.github.io/Logging_2184/tillsynsmail/A 467-2024 tillsynsbegäran mail.docx", "A 467-2024")</f>
        <v/>
      </c>
    </row>
    <row r="1463" ht="15" customHeight="1">
      <c r="A1463" t="inlineStr">
        <is>
          <t>A 464-2024</t>
        </is>
      </c>
      <c r="B1463" s="1" t="n">
        <v>45297</v>
      </c>
      <c r="C1463" s="1" t="n">
        <v>45742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603-2024</t>
        </is>
      </c>
      <c r="B1464" s="1" t="n">
        <v>45299</v>
      </c>
      <c r="C1464" s="1" t="n">
        <v>45742</v>
      </c>
      <c r="D1464" t="inlineStr">
        <is>
          <t>GÄVLEBORGS LÄN</t>
        </is>
      </c>
      <c r="E1464" t="inlineStr">
        <is>
          <t>HUDIKSVALL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750-2024</t>
        </is>
      </c>
      <c r="B1465" s="1" t="n">
        <v>45300</v>
      </c>
      <c r="C1465" s="1" t="n">
        <v>45742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1297-2024</t>
        </is>
      </c>
      <c r="B1466" s="1" t="n">
        <v>45303</v>
      </c>
      <c r="C1466" s="1" t="n">
        <v>45742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1409-2024</t>
        </is>
      </c>
      <c r="B1467" s="1" t="n">
        <v>45303</v>
      </c>
      <c r="C1467" s="1" t="n">
        <v>45742</v>
      </c>
      <c r="D1467" t="inlineStr">
        <is>
          <t>GÄVLEBORGS LÄN</t>
        </is>
      </c>
      <c r="E1467" t="inlineStr">
        <is>
          <t>HUDIKSVALL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1294-2024</t>
        </is>
      </c>
      <c r="B1468" s="1" t="n">
        <v>45303</v>
      </c>
      <c r="C1468" s="1" t="n">
        <v>45742</v>
      </c>
      <c r="D1468" t="inlineStr">
        <is>
          <t>GÄVLEBORGS LÄN</t>
        </is>
      </c>
      <c r="E1468" t="inlineStr">
        <is>
          <t>HUDIKSVALL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1573-2024</t>
        </is>
      </c>
      <c r="B1469" s="1" t="n">
        <v>45306</v>
      </c>
      <c r="C1469" s="1" t="n">
        <v>45742</v>
      </c>
      <c r="D1469" t="inlineStr">
        <is>
          <t>GÄVLEBORGS LÄN</t>
        </is>
      </c>
      <c r="E1469" t="inlineStr">
        <is>
          <t>HUDIKSVALL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1603-2024</t>
        </is>
      </c>
      <c r="B1470" s="1" t="n">
        <v>45306</v>
      </c>
      <c r="C1470" s="1" t="n">
        <v>45742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1771-2024</t>
        </is>
      </c>
      <c r="B1471" s="1" t="n">
        <v>45307</v>
      </c>
      <c r="C1471" s="1" t="n">
        <v>45742</v>
      </c>
      <c r="D1471" t="inlineStr">
        <is>
          <t>GÄVLEBORGS LÄN</t>
        </is>
      </c>
      <c r="E1471" t="inlineStr">
        <is>
          <t>HUDIKSVALL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2120-2024</t>
        </is>
      </c>
      <c r="B1472" s="1" t="n">
        <v>45309</v>
      </c>
      <c r="C1472" s="1" t="n">
        <v>45742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2160-2024</t>
        </is>
      </c>
      <c r="B1473" s="1" t="n">
        <v>45309</v>
      </c>
      <c r="C1473" s="1" t="n">
        <v>45742</v>
      </c>
      <c r="D1473" t="inlineStr">
        <is>
          <t>GÄVLEBORGS LÄN</t>
        </is>
      </c>
      <c r="E1473" t="inlineStr">
        <is>
          <t>HUDIKSVALL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2125-2024</t>
        </is>
      </c>
      <c r="B1474" s="1" t="n">
        <v>45309</v>
      </c>
      <c r="C1474" s="1" t="n">
        <v>45742</v>
      </c>
      <c r="D1474" t="inlineStr">
        <is>
          <t>GÄVLEBORGS LÄN</t>
        </is>
      </c>
      <c r="E1474" t="inlineStr">
        <is>
          <t>HUDIKSVALL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2127-2024</t>
        </is>
      </c>
      <c r="B1475" s="1" t="n">
        <v>45309</v>
      </c>
      <c r="C1475" s="1" t="n">
        <v>45742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2416-2024</t>
        </is>
      </c>
      <c r="B1476" s="1" t="n">
        <v>45310</v>
      </c>
      <c r="C1476" s="1" t="n">
        <v>45742</v>
      </c>
      <c r="D1476" t="inlineStr">
        <is>
          <t>GÄVLEBORGS LÄN</t>
        </is>
      </c>
      <c r="E1476" t="inlineStr">
        <is>
          <t>HUDIKSVALL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2418-2024</t>
        </is>
      </c>
      <c r="B1477" s="1" t="n">
        <v>45310</v>
      </c>
      <c r="C1477" s="1" t="n">
        <v>45742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2618-2024</t>
        </is>
      </c>
      <c r="B1478" s="1" t="n">
        <v>45313</v>
      </c>
      <c r="C1478" s="1" t="n">
        <v>45742</v>
      </c>
      <c r="D1478" t="inlineStr">
        <is>
          <t>GÄVLEBORGS LÄN</t>
        </is>
      </c>
      <c r="E1478" t="inlineStr">
        <is>
          <t>HUDIKSVALL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2648-2024</t>
        </is>
      </c>
      <c r="B1479" s="1" t="n">
        <v>45314</v>
      </c>
      <c r="C1479" s="1" t="n">
        <v>45742</v>
      </c>
      <c r="D1479" t="inlineStr">
        <is>
          <t>GÄVLEBORGS LÄN</t>
        </is>
      </c>
      <c r="E1479" t="inlineStr">
        <is>
          <t>HUDIKSVALL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2652-2024</t>
        </is>
      </c>
      <c r="B1480" s="1" t="n">
        <v>45314</v>
      </c>
      <c r="C1480" s="1" t="n">
        <v>45742</v>
      </c>
      <c r="D1480" t="inlineStr">
        <is>
          <t>GÄVLEBORGS LÄN</t>
        </is>
      </c>
      <c r="E1480" t="inlineStr">
        <is>
          <t>HUDIKSVALL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2656-2024</t>
        </is>
      </c>
      <c r="B1481" s="1" t="n">
        <v>45314</v>
      </c>
      <c r="C1481" s="1" t="n">
        <v>45742</v>
      </c>
      <c r="D1481" t="inlineStr">
        <is>
          <t>GÄVLEBORGS LÄN</t>
        </is>
      </c>
      <c r="E1481" t="inlineStr">
        <is>
          <t>HUDIKSVALL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2661-2024</t>
        </is>
      </c>
      <c r="B1482" s="1" t="n">
        <v>45314</v>
      </c>
      <c r="C1482" s="1" t="n">
        <v>45742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2654-2024</t>
        </is>
      </c>
      <c r="B1483" s="1" t="n">
        <v>45314</v>
      </c>
      <c r="C1483" s="1" t="n">
        <v>45742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2658-2024</t>
        </is>
      </c>
      <c r="B1484" s="1" t="n">
        <v>45314</v>
      </c>
      <c r="C1484" s="1" t="n">
        <v>45742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2677-2024</t>
        </is>
      </c>
      <c r="B1485" s="1" t="n">
        <v>45314</v>
      </c>
      <c r="C1485" s="1" t="n">
        <v>45742</v>
      </c>
      <c r="D1485" t="inlineStr">
        <is>
          <t>GÄVLEBORGS LÄN</t>
        </is>
      </c>
      <c r="E1485" t="inlineStr">
        <is>
          <t>HUDIKSVALL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2695-2024</t>
        </is>
      </c>
      <c r="B1486" s="1" t="n">
        <v>45314</v>
      </c>
      <c r="C1486" s="1" t="n">
        <v>45742</v>
      </c>
      <c r="D1486" t="inlineStr">
        <is>
          <t>GÄVLEBORGS LÄN</t>
        </is>
      </c>
      <c r="E1486" t="inlineStr">
        <is>
          <t>HUDIKSVALL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2707-2024</t>
        </is>
      </c>
      <c r="B1487" s="1" t="n">
        <v>45314</v>
      </c>
      <c r="C1487" s="1" t="n">
        <v>45742</v>
      </c>
      <c r="D1487" t="inlineStr">
        <is>
          <t>GÄVLEBORGS LÄN</t>
        </is>
      </c>
      <c r="E1487" t="inlineStr">
        <is>
          <t>HUDIKSVALL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2651-2024</t>
        </is>
      </c>
      <c r="B1488" s="1" t="n">
        <v>45314</v>
      </c>
      <c r="C1488" s="1" t="n">
        <v>45742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2760-2024</t>
        </is>
      </c>
      <c r="B1489" s="1" t="n">
        <v>45314</v>
      </c>
      <c r="C1489" s="1" t="n">
        <v>45742</v>
      </c>
      <c r="D1489" t="inlineStr">
        <is>
          <t>GÄVLEBORGS LÄN</t>
        </is>
      </c>
      <c r="E1489" t="inlineStr">
        <is>
          <t>HUDIKSVALL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2685-2024</t>
        </is>
      </c>
      <c r="B1490" s="1" t="n">
        <v>45314</v>
      </c>
      <c r="C1490" s="1" t="n">
        <v>45742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2645-2024</t>
        </is>
      </c>
      <c r="B1491" s="1" t="n">
        <v>45314</v>
      </c>
      <c r="C1491" s="1" t="n">
        <v>45742</v>
      </c>
      <c r="D1491" t="inlineStr">
        <is>
          <t>GÄVLEBORGS LÄN</t>
        </is>
      </c>
      <c r="E1491" t="inlineStr">
        <is>
          <t>HUDIKSVALL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3297-2024</t>
        </is>
      </c>
      <c r="B1492" s="1" t="n">
        <v>45317</v>
      </c>
      <c r="C1492" s="1" t="n">
        <v>45742</v>
      </c>
      <c r="D1492" t="inlineStr">
        <is>
          <t>GÄVLEBORGS LÄN</t>
        </is>
      </c>
      <c r="E1492" t="inlineStr">
        <is>
          <t>HUDIKSVALL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3341-2024</t>
        </is>
      </c>
      <c r="B1493" s="1" t="n">
        <v>45317</v>
      </c>
      <c r="C1493" s="1" t="n">
        <v>45742</v>
      </c>
      <c r="D1493" t="inlineStr">
        <is>
          <t>GÄVLEBORGS LÄN</t>
        </is>
      </c>
      <c r="E1493" t="inlineStr">
        <is>
          <t>HUDIKSVALL</t>
        </is>
      </c>
      <c r="G1493" t="n">
        <v>10.1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3810-2024</t>
        </is>
      </c>
      <c r="B1494" s="1" t="n">
        <v>45321</v>
      </c>
      <c r="C1494" s="1" t="n">
        <v>45742</v>
      </c>
      <c r="D1494" t="inlineStr">
        <is>
          <t>GÄVLEBORGS LÄN</t>
        </is>
      </c>
      <c r="E1494" t="inlineStr">
        <is>
          <t>HUDIKSVALL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4164-2024</t>
        </is>
      </c>
      <c r="B1495" s="1" t="n">
        <v>45323</v>
      </c>
      <c r="C1495" s="1" t="n">
        <v>45742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4300-2024</t>
        </is>
      </c>
      <c r="B1496" s="1" t="n">
        <v>45324</v>
      </c>
      <c r="C1496" s="1" t="n">
        <v>45742</v>
      </c>
      <c r="D1496" t="inlineStr">
        <is>
          <t>GÄVLEBORGS LÄN</t>
        </is>
      </c>
      <c r="E1496" t="inlineStr">
        <is>
          <t>HUDIKSVALL</t>
        </is>
      </c>
      <c r="G1496" t="n">
        <v>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4407-2024</t>
        </is>
      </c>
      <c r="B1497" s="1" t="n">
        <v>45327</v>
      </c>
      <c r="C1497" s="1" t="n">
        <v>45742</v>
      </c>
      <c r="D1497" t="inlineStr">
        <is>
          <t>GÄVLEBORGS LÄN</t>
        </is>
      </c>
      <c r="E1497" t="inlineStr">
        <is>
          <t>HUDIKSVALL</t>
        </is>
      </c>
      <c r="G1497" t="n">
        <v>16.8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4505-2024</t>
        </is>
      </c>
      <c r="B1498" s="1" t="n">
        <v>45327</v>
      </c>
      <c r="C1498" s="1" t="n">
        <v>45742</v>
      </c>
      <c r="D1498" t="inlineStr">
        <is>
          <t>GÄVLEBORGS LÄN</t>
        </is>
      </c>
      <c r="E1498" t="inlineStr">
        <is>
          <t>HUDIKSVALL</t>
        </is>
      </c>
      <c r="G1498" t="n">
        <v>0.2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4504-2024</t>
        </is>
      </c>
      <c r="B1499" s="1" t="n">
        <v>45327</v>
      </c>
      <c r="C1499" s="1" t="n">
        <v>45742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4565-2024</t>
        </is>
      </c>
      <c r="B1500" s="1" t="n">
        <v>45327</v>
      </c>
      <c r="C1500" s="1" t="n">
        <v>45742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34.7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4573-2024</t>
        </is>
      </c>
      <c r="B1501" s="1" t="n">
        <v>45327</v>
      </c>
      <c r="C1501" s="1" t="n">
        <v>45742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4685-2024</t>
        </is>
      </c>
      <c r="B1502" s="1" t="n">
        <v>45328</v>
      </c>
      <c r="C1502" s="1" t="n">
        <v>45742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4683-2024</t>
        </is>
      </c>
      <c r="B1503" s="1" t="n">
        <v>45328</v>
      </c>
      <c r="C1503" s="1" t="n">
        <v>45742</v>
      </c>
      <c r="D1503" t="inlineStr">
        <is>
          <t>GÄVLEBORGS LÄN</t>
        </is>
      </c>
      <c r="E1503" t="inlineStr">
        <is>
          <t>HUDIKSVALL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4619-2024</t>
        </is>
      </c>
      <c r="B1504" s="1" t="n">
        <v>45328</v>
      </c>
      <c r="C1504" s="1" t="n">
        <v>45742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4874-2024</t>
        </is>
      </c>
      <c r="B1505" s="1" t="n">
        <v>45329</v>
      </c>
      <c r="C1505" s="1" t="n">
        <v>45742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40.8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5230-2024</t>
        </is>
      </c>
      <c r="B1506" s="1" t="n">
        <v>45330</v>
      </c>
      <c r="C1506" s="1" t="n">
        <v>45742</v>
      </c>
      <c r="D1506" t="inlineStr">
        <is>
          <t>GÄVLEBORGS LÄN</t>
        </is>
      </c>
      <c r="E1506" t="inlineStr">
        <is>
          <t>HUDIKSVALL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5711-2024</t>
        </is>
      </c>
      <c r="B1507" s="1" t="n">
        <v>45334</v>
      </c>
      <c r="C1507" s="1" t="n">
        <v>45742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5635-2024</t>
        </is>
      </c>
      <c r="B1508" s="1" t="n">
        <v>45334</v>
      </c>
      <c r="C1508" s="1" t="n">
        <v>45742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Kommuner</t>
        </is>
      </c>
      <c r="G1508" t="n">
        <v>5.8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5604-2024</t>
        </is>
      </c>
      <c r="B1509" s="1" t="n">
        <v>45334</v>
      </c>
      <c r="C1509" s="1" t="n">
        <v>45742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5725-2024</t>
        </is>
      </c>
      <c r="B1510" s="1" t="n">
        <v>45334</v>
      </c>
      <c r="C1510" s="1" t="n">
        <v>45742</v>
      </c>
      <c r="D1510" t="inlineStr">
        <is>
          <t>GÄVLEBORGS LÄN</t>
        </is>
      </c>
      <c r="E1510" t="inlineStr">
        <is>
          <t>HUDIKSVALL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5897-2024</t>
        </is>
      </c>
      <c r="B1511" s="1" t="n">
        <v>45335</v>
      </c>
      <c r="C1511" s="1" t="n">
        <v>45742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6015-2024</t>
        </is>
      </c>
      <c r="B1512" s="1" t="n">
        <v>45336</v>
      </c>
      <c r="C1512" s="1" t="n">
        <v>45742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6031-2024</t>
        </is>
      </c>
      <c r="B1513" s="1" t="n">
        <v>45336</v>
      </c>
      <c r="C1513" s="1" t="n">
        <v>45742</v>
      </c>
      <c r="D1513" t="inlineStr">
        <is>
          <t>GÄVLEBORGS LÄN</t>
        </is>
      </c>
      <c r="E1513" t="inlineStr">
        <is>
          <t>HUDIKSVALL</t>
        </is>
      </c>
      <c r="G1513" t="n">
        <v>24.4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6062-2024</t>
        </is>
      </c>
      <c r="B1514" s="1" t="n">
        <v>45336</v>
      </c>
      <c r="C1514" s="1" t="n">
        <v>45742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6016-2024</t>
        </is>
      </c>
      <c r="B1515" s="1" t="n">
        <v>45336</v>
      </c>
      <c r="C1515" s="1" t="n">
        <v>45742</v>
      </c>
      <c r="D1515" t="inlineStr">
        <is>
          <t>GÄVLEBORGS LÄN</t>
        </is>
      </c>
      <c r="E1515" t="inlineStr">
        <is>
          <t>HUDIKSVALL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6095-2024</t>
        </is>
      </c>
      <c r="B1516" s="1" t="n">
        <v>45337</v>
      </c>
      <c r="C1516" s="1" t="n">
        <v>45742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6110-2024</t>
        </is>
      </c>
      <c r="B1517" s="1" t="n">
        <v>45337</v>
      </c>
      <c r="C1517" s="1" t="n">
        <v>45742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Kommuner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6260-2024</t>
        </is>
      </c>
      <c r="B1518" s="1" t="n">
        <v>45337</v>
      </c>
      <c r="C1518" s="1" t="n">
        <v>45742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6425-2024</t>
        </is>
      </c>
      <c r="B1519" s="1" t="n">
        <v>45338</v>
      </c>
      <c r="C1519" s="1" t="n">
        <v>45742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6581-2024</t>
        </is>
      </c>
      <c r="B1520" s="1" t="n">
        <v>45341</v>
      </c>
      <c r="C1520" s="1" t="n">
        <v>45742</v>
      </c>
      <c r="D1520" t="inlineStr">
        <is>
          <t>GÄVLEBORGS LÄN</t>
        </is>
      </c>
      <c r="E1520" t="inlineStr">
        <is>
          <t>HUDIKSVALL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6730-2024</t>
        </is>
      </c>
      <c r="B1521" s="1" t="n">
        <v>45342</v>
      </c>
      <c r="C1521" s="1" t="n">
        <v>45742</v>
      </c>
      <c r="D1521" t="inlineStr">
        <is>
          <t>GÄVLEBORGS LÄN</t>
        </is>
      </c>
      <c r="E1521" t="inlineStr">
        <is>
          <t>HUDIKSVALL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6872-2024</t>
        </is>
      </c>
      <c r="B1522" s="1" t="n">
        <v>45342</v>
      </c>
      <c r="C1522" s="1" t="n">
        <v>45742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8.300000000000001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7103-2024</t>
        </is>
      </c>
      <c r="B1523" s="1" t="n">
        <v>45343</v>
      </c>
      <c r="C1523" s="1" t="n">
        <v>45742</v>
      </c>
      <c r="D1523" t="inlineStr">
        <is>
          <t>GÄVLEBORGS LÄN</t>
        </is>
      </c>
      <c r="E1523" t="inlineStr">
        <is>
          <t>HUDIKSVALL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7105-2024</t>
        </is>
      </c>
      <c r="B1524" s="1" t="n">
        <v>45343</v>
      </c>
      <c r="C1524" s="1" t="n">
        <v>45742</v>
      </c>
      <c r="D1524" t="inlineStr">
        <is>
          <t>GÄVLEBORGS LÄN</t>
        </is>
      </c>
      <c r="E1524" t="inlineStr">
        <is>
          <t>HUDIKSVALL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7104-2024</t>
        </is>
      </c>
      <c r="B1525" s="1" t="n">
        <v>45343</v>
      </c>
      <c r="C1525" s="1" t="n">
        <v>45742</v>
      </c>
      <c r="D1525" t="inlineStr">
        <is>
          <t>GÄVLEBORGS LÄN</t>
        </is>
      </c>
      <c r="E1525" t="inlineStr">
        <is>
          <t>HUDIKSVALL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7411-2024</t>
        </is>
      </c>
      <c r="B1526" s="1" t="n">
        <v>45345</v>
      </c>
      <c r="C1526" s="1" t="n">
        <v>45742</v>
      </c>
      <c r="D1526" t="inlineStr">
        <is>
          <t>GÄVLEBORGS LÄN</t>
        </is>
      </c>
      <c r="E1526" t="inlineStr">
        <is>
          <t>HUDIKSVALL</t>
        </is>
      </c>
      <c r="G1526" t="n">
        <v>24.2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7836-2024</t>
        </is>
      </c>
      <c r="B1527" s="1" t="n">
        <v>45349</v>
      </c>
      <c r="C1527" s="1" t="n">
        <v>45742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7992-2024</t>
        </is>
      </c>
      <c r="B1528" s="1" t="n">
        <v>45350</v>
      </c>
      <c r="C1528" s="1" t="n">
        <v>45742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7907-2024</t>
        </is>
      </c>
      <c r="B1529" s="1" t="n">
        <v>45350</v>
      </c>
      <c r="C1529" s="1" t="n">
        <v>45742</v>
      </c>
      <c r="D1529" t="inlineStr">
        <is>
          <t>GÄVLEBORGS LÄN</t>
        </is>
      </c>
      <c r="E1529" t="inlineStr">
        <is>
          <t>HUDIKSVALL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8027-2024</t>
        </is>
      </c>
      <c r="B1530" s="1" t="n">
        <v>45350</v>
      </c>
      <c r="C1530" s="1" t="n">
        <v>45742</v>
      </c>
      <c r="D1530" t="inlineStr">
        <is>
          <t>GÄVLEBORGS LÄN</t>
        </is>
      </c>
      <c r="E1530" t="inlineStr">
        <is>
          <t>HUDIKSVALL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8096-2024</t>
        </is>
      </c>
      <c r="B1531" s="1" t="n">
        <v>45351</v>
      </c>
      <c r="C1531" s="1" t="n">
        <v>45742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8051-2024</t>
        </is>
      </c>
      <c r="B1532" s="1" t="n">
        <v>45351</v>
      </c>
      <c r="C1532" s="1" t="n">
        <v>45742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8434-2024</t>
        </is>
      </c>
      <c r="B1533" s="1" t="n">
        <v>45353</v>
      </c>
      <c r="C1533" s="1" t="n">
        <v>45742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10.1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8486-2024</t>
        </is>
      </c>
      <c r="B1534" s="1" t="n">
        <v>45355</v>
      </c>
      <c r="C1534" s="1" t="n">
        <v>45742</v>
      </c>
      <c r="D1534" t="inlineStr">
        <is>
          <t>GÄVLEBORGS LÄN</t>
        </is>
      </c>
      <c r="E1534" t="inlineStr">
        <is>
          <t>HUDIKSVALL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8494-2024</t>
        </is>
      </c>
      <c r="B1535" s="1" t="n">
        <v>45355</v>
      </c>
      <c r="C1535" s="1" t="n">
        <v>45742</v>
      </c>
      <c r="D1535" t="inlineStr">
        <is>
          <t>GÄVLEBORGS LÄN</t>
        </is>
      </c>
      <c r="E1535" t="inlineStr">
        <is>
          <t>HUDIKSVALL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8515-2024</t>
        </is>
      </c>
      <c r="B1536" s="1" t="n">
        <v>45355</v>
      </c>
      <c r="C1536" s="1" t="n">
        <v>45742</v>
      </c>
      <c r="D1536" t="inlineStr">
        <is>
          <t>GÄVLEBORGS LÄN</t>
        </is>
      </c>
      <c r="E1536" t="inlineStr">
        <is>
          <t>HUDIKSVALL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8522-2024</t>
        </is>
      </c>
      <c r="B1537" s="1" t="n">
        <v>45355</v>
      </c>
      <c r="C1537" s="1" t="n">
        <v>45742</v>
      </c>
      <c r="D1537" t="inlineStr">
        <is>
          <t>GÄVLEBORGS LÄN</t>
        </is>
      </c>
      <c r="E1537" t="inlineStr">
        <is>
          <t>HUDIKSVALL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8496-2024</t>
        </is>
      </c>
      <c r="B1538" s="1" t="n">
        <v>45355</v>
      </c>
      <c r="C1538" s="1" t="n">
        <v>45742</v>
      </c>
      <c r="D1538" t="inlineStr">
        <is>
          <t>GÄVLEBORGS LÄN</t>
        </is>
      </c>
      <c r="E1538" t="inlineStr">
        <is>
          <t>HUDIKSVALL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8487-2024</t>
        </is>
      </c>
      <c r="B1539" s="1" t="n">
        <v>45355</v>
      </c>
      <c r="C1539" s="1" t="n">
        <v>45742</v>
      </c>
      <c r="D1539" t="inlineStr">
        <is>
          <t>GÄVLEBORGS LÄN</t>
        </is>
      </c>
      <c r="E1539" t="inlineStr">
        <is>
          <t>HUDIKSVALL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9110-2024</t>
        </is>
      </c>
      <c r="B1540" s="1" t="n">
        <v>45358</v>
      </c>
      <c r="C1540" s="1" t="n">
        <v>45742</v>
      </c>
      <c r="D1540" t="inlineStr">
        <is>
          <t>GÄVLEBORGS LÄN</t>
        </is>
      </c>
      <c r="E1540" t="inlineStr">
        <is>
          <t>HUDIKSVALL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9315-2024</t>
        </is>
      </c>
      <c r="B1541" s="1" t="n">
        <v>45358</v>
      </c>
      <c r="C1541" s="1" t="n">
        <v>45742</v>
      </c>
      <c r="D1541" t="inlineStr">
        <is>
          <t>GÄVLEBORGS LÄN</t>
        </is>
      </c>
      <c r="E1541" t="inlineStr">
        <is>
          <t>HUDIKSVALL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9367-2024</t>
        </is>
      </c>
      <c r="B1542" s="1" t="n">
        <v>45358</v>
      </c>
      <c r="C1542" s="1" t="n">
        <v>45742</v>
      </c>
      <c r="D1542" t="inlineStr">
        <is>
          <t>GÄVLEBORGS LÄN</t>
        </is>
      </c>
      <c r="E1542" t="inlineStr">
        <is>
          <t>HUDIKSVALL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9366-2024</t>
        </is>
      </c>
      <c r="B1543" s="1" t="n">
        <v>45359</v>
      </c>
      <c r="C1543" s="1" t="n">
        <v>45742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9400-2024</t>
        </is>
      </c>
      <c r="B1544" s="1" t="n">
        <v>45359</v>
      </c>
      <c r="C1544" s="1" t="n">
        <v>45742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9427-2024</t>
        </is>
      </c>
      <c r="B1545" s="1" t="n">
        <v>45359</v>
      </c>
      <c r="C1545" s="1" t="n">
        <v>45742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9680-2024</t>
        </is>
      </c>
      <c r="B1546" s="1" t="n">
        <v>45362</v>
      </c>
      <c r="C1546" s="1" t="n">
        <v>45742</v>
      </c>
      <c r="D1546" t="inlineStr">
        <is>
          <t>GÄVLEBORGS LÄN</t>
        </is>
      </c>
      <c r="E1546" t="inlineStr">
        <is>
          <t>HUDIKSVALL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9766-2024</t>
        </is>
      </c>
      <c r="B1547" s="1" t="n">
        <v>45362</v>
      </c>
      <c r="C1547" s="1" t="n">
        <v>45742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9905-2024</t>
        </is>
      </c>
      <c r="B1548" s="1" t="n">
        <v>45363</v>
      </c>
      <c r="C1548" s="1" t="n">
        <v>45742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9955-2024</t>
        </is>
      </c>
      <c r="B1549" s="1" t="n">
        <v>45363</v>
      </c>
      <c r="C1549" s="1" t="n">
        <v>45742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10054-2024</t>
        </is>
      </c>
      <c r="B1550" s="1" t="n">
        <v>45364</v>
      </c>
      <c r="C1550" s="1" t="n">
        <v>45742</v>
      </c>
      <c r="D1550" t="inlineStr">
        <is>
          <t>GÄVLEBORGS LÄN</t>
        </is>
      </c>
      <c r="E1550" t="inlineStr">
        <is>
          <t>HUDIKSVALL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10131-2024</t>
        </is>
      </c>
      <c r="B1551" s="1" t="n">
        <v>45364</v>
      </c>
      <c r="C1551" s="1" t="n">
        <v>45742</v>
      </c>
      <c r="D1551" t="inlineStr">
        <is>
          <t>GÄVLEBORGS LÄN</t>
        </is>
      </c>
      <c r="E1551" t="inlineStr">
        <is>
          <t>HUDIKSVALL</t>
        </is>
      </c>
      <c r="G1551" t="n">
        <v>11.6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10108-2024</t>
        </is>
      </c>
      <c r="B1552" s="1" t="n">
        <v>45364</v>
      </c>
      <c r="C1552" s="1" t="n">
        <v>45742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23.1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10236-2024</t>
        </is>
      </c>
      <c r="B1553" s="1" t="n">
        <v>45365</v>
      </c>
      <c r="C1553" s="1" t="n">
        <v>45742</v>
      </c>
      <c r="D1553" t="inlineStr">
        <is>
          <t>GÄVLEBORGS LÄN</t>
        </is>
      </c>
      <c r="E1553" t="inlineStr">
        <is>
          <t>HUDIKSVALL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10373-2024</t>
        </is>
      </c>
      <c r="B1554" s="1" t="n">
        <v>45365</v>
      </c>
      <c r="C1554" s="1" t="n">
        <v>45742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10356-2024</t>
        </is>
      </c>
      <c r="B1555" s="1" t="n">
        <v>45365</v>
      </c>
      <c r="C1555" s="1" t="n">
        <v>45742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19.4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10325-2024</t>
        </is>
      </c>
      <c r="B1556" s="1" t="n">
        <v>45365</v>
      </c>
      <c r="C1556" s="1" t="n">
        <v>45742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10560-2024</t>
        </is>
      </c>
      <c r="B1557" s="1" t="n">
        <v>45366</v>
      </c>
      <c r="C1557" s="1" t="n">
        <v>45742</v>
      </c>
      <c r="D1557" t="inlineStr">
        <is>
          <t>GÄVLEBORGS LÄN</t>
        </is>
      </c>
      <c r="E1557" t="inlineStr">
        <is>
          <t>HUDIKSVALL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10591-2024</t>
        </is>
      </c>
      <c r="B1558" s="1" t="n">
        <v>45366</v>
      </c>
      <c r="C1558" s="1" t="n">
        <v>45742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10750-2024</t>
        </is>
      </c>
      <c r="B1559" s="1" t="n">
        <v>45369</v>
      </c>
      <c r="C1559" s="1" t="n">
        <v>45742</v>
      </c>
      <c r="D1559" t="inlineStr">
        <is>
          <t>GÄVLEBORGS LÄN</t>
        </is>
      </c>
      <c r="E1559" t="inlineStr">
        <is>
          <t>HUDIKSVALL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11107-2024</t>
        </is>
      </c>
      <c r="B1560" s="1" t="n">
        <v>45371</v>
      </c>
      <c r="C1560" s="1" t="n">
        <v>45742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11203-2024</t>
        </is>
      </c>
      <c r="B1561" s="1" t="n">
        <v>45371</v>
      </c>
      <c r="C1561" s="1" t="n">
        <v>45742</v>
      </c>
      <c r="D1561" t="inlineStr">
        <is>
          <t>GÄVLEBORGS LÄN</t>
        </is>
      </c>
      <c r="E1561" t="inlineStr">
        <is>
          <t>HUDIKSVALL</t>
        </is>
      </c>
      <c r="G1561" t="n">
        <v>14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11101-2024</t>
        </is>
      </c>
      <c r="B1562" s="1" t="n">
        <v>45371</v>
      </c>
      <c r="C1562" s="1" t="n">
        <v>45742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9.800000000000001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11164-2024</t>
        </is>
      </c>
      <c r="B1563" s="1" t="n">
        <v>45371</v>
      </c>
      <c r="C1563" s="1" t="n">
        <v>45742</v>
      </c>
      <c r="D1563" t="inlineStr">
        <is>
          <t>GÄVLEBORGS LÄN</t>
        </is>
      </c>
      <c r="E1563" t="inlineStr">
        <is>
          <t>HUDIKSVALL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11228-2024</t>
        </is>
      </c>
      <c r="B1564" s="1" t="n">
        <v>45371</v>
      </c>
      <c r="C1564" s="1" t="n">
        <v>45742</v>
      </c>
      <c r="D1564" t="inlineStr">
        <is>
          <t>GÄVLEBORGS LÄN</t>
        </is>
      </c>
      <c r="E1564" t="inlineStr">
        <is>
          <t>HUDIKSVALL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11373-2024</t>
        </is>
      </c>
      <c r="B1565" s="1" t="n">
        <v>45372</v>
      </c>
      <c r="C1565" s="1" t="n">
        <v>45742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11409-2024</t>
        </is>
      </c>
      <c r="B1566" s="1" t="n">
        <v>45372</v>
      </c>
      <c r="C1566" s="1" t="n">
        <v>45742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8.199999999999999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11349-2024</t>
        </is>
      </c>
      <c r="B1567" s="1" t="n">
        <v>45372</v>
      </c>
      <c r="C1567" s="1" t="n">
        <v>45742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11464-2024</t>
        </is>
      </c>
      <c r="B1568" s="1" t="n">
        <v>45372</v>
      </c>
      <c r="C1568" s="1" t="n">
        <v>45742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11502-2024</t>
        </is>
      </c>
      <c r="B1569" s="1" t="n">
        <v>45372</v>
      </c>
      <c r="C1569" s="1" t="n">
        <v>45742</v>
      </c>
      <c r="D1569" t="inlineStr">
        <is>
          <t>GÄVLEBORGS LÄN</t>
        </is>
      </c>
      <c r="E1569" t="inlineStr">
        <is>
          <t>HUDIKSVALL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11532-2024</t>
        </is>
      </c>
      <c r="B1570" s="1" t="n">
        <v>45372</v>
      </c>
      <c r="C1570" s="1" t="n">
        <v>45742</v>
      </c>
      <c r="D1570" t="inlineStr">
        <is>
          <t>GÄVLEBORGS LÄN</t>
        </is>
      </c>
      <c r="E1570" t="inlineStr">
        <is>
          <t>HUDIKSVALL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11475-2024</t>
        </is>
      </c>
      <c r="B1571" s="1" t="n">
        <v>45372</v>
      </c>
      <c r="C1571" s="1" t="n">
        <v>45742</v>
      </c>
      <c r="D1571" t="inlineStr">
        <is>
          <t>GÄVLEBORGS LÄN</t>
        </is>
      </c>
      <c r="E1571" t="inlineStr">
        <is>
          <t>HUDIKSVALL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11666-2024</t>
        </is>
      </c>
      <c r="B1572" s="1" t="n">
        <v>45373</v>
      </c>
      <c r="C1572" s="1" t="n">
        <v>45742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11629-2024</t>
        </is>
      </c>
      <c r="B1573" s="1" t="n">
        <v>45373</v>
      </c>
      <c r="C1573" s="1" t="n">
        <v>45742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11668-2024</t>
        </is>
      </c>
      <c r="B1574" s="1" t="n">
        <v>45373</v>
      </c>
      <c r="C1574" s="1" t="n">
        <v>45742</v>
      </c>
      <c r="D1574" t="inlineStr">
        <is>
          <t>GÄVLEBORGS LÄN</t>
        </is>
      </c>
      <c r="E1574" t="inlineStr">
        <is>
          <t>HUDIKSVALL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11842-2024</t>
        </is>
      </c>
      <c r="B1575" s="1" t="n">
        <v>45376</v>
      </c>
      <c r="C1575" s="1" t="n">
        <v>45742</v>
      </c>
      <c r="D1575" t="inlineStr">
        <is>
          <t>GÄVLEBORGS LÄN</t>
        </is>
      </c>
      <c r="E1575" t="inlineStr">
        <is>
          <t>HUDIKSVALL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11817-2024</t>
        </is>
      </c>
      <c r="B1576" s="1" t="n">
        <v>45376</v>
      </c>
      <c r="C1576" s="1" t="n">
        <v>45742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6.2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12250-2024</t>
        </is>
      </c>
      <c r="B1577" s="1" t="n">
        <v>45378</v>
      </c>
      <c r="C1577" s="1" t="n">
        <v>45742</v>
      </c>
      <c r="D1577" t="inlineStr">
        <is>
          <t>GÄVLEBORGS LÄN</t>
        </is>
      </c>
      <c r="E1577" t="inlineStr">
        <is>
          <t>HUDIKSVALL</t>
        </is>
      </c>
      <c r="G1577" t="n">
        <v>17.8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12550-2024</t>
        </is>
      </c>
      <c r="B1578" s="1" t="n">
        <v>45379</v>
      </c>
      <c r="C1578" s="1" t="n">
        <v>45742</v>
      </c>
      <c r="D1578" t="inlineStr">
        <is>
          <t>GÄVLEBORGS LÄN</t>
        </is>
      </c>
      <c r="E1578" t="inlineStr">
        <is>
          <t>HUDIKSVALL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12545-2024</t>
        </is>
      </c>
      <c r="B1579" s="1" t="n">
        <v>45379</v>
      </c>
      <c r="C1579" s="1" t="n">
        <v>45742</v>
      </c>
      <c r="D1579" t="inlineStr">
        <is>
          <t>GÄVLEBORGS LÄN</t>
        </is>
      </c>
      <c r="E1579" t="inlineStr">
        <is>
          <t>HUDIKSVALL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12513-2024</t>
        </is>
      </c>
      <c r="B1580" s="1" t="n">
        <v>45379</v>
      </c>
      <c r="C1580" s="1" t="n">
        <v>45742</v>
      </c>
      <c r="D1580" t="inlineStr">
        <is>
          <t>GÄVLEBORGS LÄN</t>
        </is>
      </c>
      <c r="E1580" t="inlineStr">
        <is>
          <t>HUDIKSVALL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12526-2024</t>
        </is>
      </c>
      <c r="B1581" s="1" t="n">
        <v>45379</v>
      </c>
      <c r="C1581" s="1" t="n">
        <v>45742</v>
      </c>
      <c r="D1581" t="inlineStr">
        <is>
          <t>GÄVLEBORGS LÄN</t>
        </is>
      </c>
      <c r="E1581" t="inlineStr">
        <is>
          <t>HUDIKSVALL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12535-2024</t>
        </is>
      </c>
      <c r="B1582" s="1" t="n">
        <v>45379</v>
      </c>
      <c r="C1582" s="1" t="n">
        <v>45742</v>
      </c>
      <c r="D1582" t="inlineStr">
        <is>
          <t>GÄVLEBORGS LÄN</t>
        </is>
      </c>
      <c r="E1582" t="inlineStr">
        <is>
          <t>HUDIKSVALL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12504-2024</t>
        </is>
      </c>
      <c r="B1583" s="1" t="n">
        <v>45379</v>
      </c>
      <c r="C1583" s="1" t="n">
        <v>45742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12536-2024</t>
        </is>
      </c>
      <c r="B1584" s="1" t="n">
        <v>45379</v>
      </c>
      <c r="C1584" s="1" t="n">
        <v>45742</v>
      </c>
      <c r="D1584" t="inlineStr">
        <is>
          <t>GÄVLEBORGS LÄN</t>
        </is>
      </c>
      <c r="E1584" t="inlineStr">
        <is>
          <t>HUDIKSVALL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12679-2024</t>
        </is>
      </c>
      <c r="B1585" s="1" t="n">
        <v>45384</v>
      </c>
      <c r="C1585" s="1" t="n">
        <v>45742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12846-2024</t>
        </is>
      </c>
      <c r="B1586" s="1" t="n">
        <v>45384</v>
      </c>
      <c r="C1586" s="1" t="n">
        <v>45742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12893-2024</t>
        </is>
      </c>
      <c r="B1587" s="1" t="n">
        <v>45385</v>
      </c>
      <c r="C1587" s="1" t="n">
        <v>45742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12915-2024</t>
        </is>
      </c>
      <c r="B1588" s="1" t="n">
        <v>45385</v>
      </c>
      <c r="C1588" s="1" t="n">
        <v>45742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17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13153-2024</t>
        </is>
      </c>
      <c r="B1589" s="1" t="n">
        <v>45386</v>
      </c>
      <c r="C1589" s="1" t="n">
        <v>45742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13201-2024</t>
        </is>
      </c>
      <c r="B1590" s="1" t="n">
        <v>45386</v>
      </c>
      <c r="C1590" s="1" t="n">
        <v>45742</v>
      </c>
      <c r="D1590" t="inlineStr">
        <is>
          <t>GÄVLEBORGS LÄN</t>
        </is>
      </c>
      <c r="E1590" t="inlineStr">
        <is>
          <t>HUDIKSVALL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13199-2024</t>
        </is>
      </c>
      <c r="B1591" s="1" t="n">
        <v>45386</v>
      </c>
      <c r="C1591" s="1" t="n">
        <v>45742</v>
      </c>
      <c r="D1591" t="inlineStr">
        <is>
          <t>GÄVLEBORGS LÄN</t>
        </is>
      </c>
      <c r="E1591" t="inlineStr">
        <is>
          <t>HUDIKSVALL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13214-2024</t>
        </is>
      </c>
      <c r="B1592" s="1" t="n">
        <v>45386</v>
      </c>
      <c r="C1592" s="1" t="n">
        <v>45742</v>
      </c>
      <c r="D1592" t="inlineStr">
        <is>
          <t>GÄVLEBORGS LÄN</t>
        </is>
      </c>
      <c r="E1592" t="inlineStr">
        <is>
          <t>HUDIKSVALL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13212-2024</t>
        </is>
      </c>
      <c r="B1593" s="1" t="n">
        <v>45386</v>
      </c>
      <c r="C1593" s="1" t="n">
        <v>45742</v>
      </c>
      <c r="D1593" t="inlineStr">
        <is>
          <t>GÄVLEBORGS LÄN</t>
        </is>
      </c>
      <c r="E1593" t="inlineStr">
        <is>
          <t>HUDIKSVALL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13490-2024</t>
        </is>
      </c>
      <c r="B1594" s="1" t="n">
        <v>45387</v>
      </c>
      <c r="C1594" s="1" t="n">
        <v>45742</v>
      </c>
      <c r="D1594" t="inlineStr">
        <is>
          <t>GÄVLEBORGS LÄN</t>
        </is>
      </c>
      <c r="E1594" t="inlineStr">
        <is>
          <t>HUDIKSVALL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13612-2024</t>
        </is>
      </c>
      <c r="B1595" s="1" t="n">
        <v>45390</v>
      </c>
      <c r="C1595" s="1" t="n">
        <v>45742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13705-2024</t>
        </is>
      </c>
      <c r="B1596" s="1" t="n">
        <v>45390</v>
      </c>
      <c r="C1596" s="1" t="n">
        <v>45742</v>
      </c>
      <c r="D1596" t="inlineStr">
        <is>
          <t>GÄVLEBORGS LÄN</t>
        </is>
      </c>
      <c r="E1596" t="inlineStr">
        <is>
          <t>HUDIKSVALL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13670-2024</t>
        </is>
      </c>
      <c r="B1597" s="1" t="n">
        <v>45390</v>
      </c>
      <c r="C1597" s="1" t="n">
        <v>45742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13806-2024</t>
        </is>
      </c>
      <c r="B1598" s="1" t="n">
        <v>45391</v>
      </c>
      <c r="C1598" s="1" t="n">
        <v>45742</v>
      </c>
      <c r="D1598" t="inlineStr">
        <is>
          <t>GÄVLEBORGS LÄN</t>
        </is>
      </c>
      <c r="E1598" t="inlineStr">
        <is>
          <t>HUDIKSVALL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13997-2024</t>
        </is>
      </c>
      <c r="B1599" s="1" t="n">
        <v>45392</v>
      </c>
      <c r="C1599" s="1" t="n">
        <v>45742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14563-2024</t>
        </is>
      </c>
      <c r="B1600" s="1" t="n">
        <v>45395</v>
      </c>
      <c r="C1600" s="1" t="n">
        <v>45742</v>
      </c>
      <c r="D1600" t="inlineStr">
        <is>
          <t>GÄVLEBORGS LÄN</t>
        </is>
      </c>
      <c r="E1600" t="inlineStr">
        <is>
          <t>HUDIKSVALL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14700-2024</t>
        </is>
      </c>
      <c r="B1601" s="1" t="n">
        <v>45397</v>
      </c>
      <c r="C1601" s="1" t="n">
        <v>45742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14863-2024</t>
        </is>
      </c>
      <c r="B1602" s="1" t="n">
        <v>45398</v>
      </c>
      <c r="C1602" s="1" t="n">
        <v>45742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14906-2024</t>
        </is>
      </c>
      <c r="B1603" s="1" t="n">
        <v>45398</v>
      </c>
      <c r="C1603" s="1" t="n">
        <v>45742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15211-2024</t>
        </is>
      </c>
      <c r="B1604" s="1" t="n">
        <v>45400</v>
      </c>
      <c r="C1604" s="1" t="n">
        <v>45742</v>
      </c>
      <c r="D1604" t="inlineStr">
        <is>
          <t>GÄVLEBORGS LÄN</t>
        </is>
      </c>
      <c r="E1604" t="inlineStr">
        <is>
          <t>HUDIKSVALL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15527-2024</t>
        </is>
      </c>
      <c r="B1605" s="1" t="n">
        <v>45401</v>
      </c>
      <c r="C1605" s="1" t="n">
        <v>45742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15486-2024</t>
        </is>
      </c>
      <c r="B1606" s="1" t="n">
        <v>45401</v>
      </c>
      <c r="C1606" s="1" t="n">
        <v>45742</v>
      </c>
      <c r="D1606" t="inlineStr">
        <is>
          <t>GÄVLEBORGS LÄN</t>
        </is>
      </c>
      <c r="E1606" t="inlineStr">
        <is>
          <t>HUDIKSVALL</t>
        </is>
      </c>
      <c r="G1606" t="n">
        <v>2.8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15449-2024</t>
        </is>
      </c>
      <c r="B1607" s="1" t="n">
        <v>45401</v>
      </c>
      <c r="C1607" s="1" t="n">
        <v>45742</v>
      </c>
      <c r="D1607" t="inlineStr">
        <is>
          <t>GÄVLEBORGS LÄN</t>
        </is>
      </c>
      <c r="E1607" t="inlineStr">
        <is>
          <t>HUDIKSVALL</t>
        </is>
      </c>
      <c r="G1607" t="n">
        <v>3.8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15946-2024</t>
        </is>
      </c>
      <c r="B1608" s="1" t="n">
        <v>45405</v>
      </c>
      <c r="C1608" s="1" t="n">
        <v>45742</v>
      </c>
      <c r="D1608" t="inlineStr">
        <is>
          <t>GÄVLEBORGS LÄN</t>
        </is>
      </c>
      <c r="E1608" t="inlineStr">
        <is>
          <t>HUDIKSVALL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16095-2024</t>
        </is>
      </c>
      <c r="B1609" s="1" t="n">
        <v>45406</v>
      </c>
      <c r="C1609" s="1" t="n">
        <v>45742</v>
      </c>
      <c r="D1609" t="inlineStr">
        <is>
          <t>GÄVLEBORGS LÄN</t>
        </is>
      </c>
      <c r="E1609" t="inlineStr">
        <is>
          <t>HUDIKSVALL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16150-2024</t>
        </is>
      </c>
      <c r="B1610" s="1" t="n">
        <v>45406</v>
      </c>
      <c r="C1610" s="1" t="n">
        <v>45742</v>
      </c>
      <c r="D1610" t="inlineStr">
        <is>
          <t>GÄVLEBORGS LÄN</t>
        </is>
      </c>
      <c r="E1610" t="inlineStr">
        <is>
          <t>HUDIKSVALL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16093-2024</t>
        </is>
      </c>
      <c r="B1611" s="1" t="n">
        <v>45406</v>
      </c>
      <c r="C1611" s="1" t="n">
        <v>45742</v>
      </c>
      <c r="D1611" t="inlineStr">
        <is>
          <t>GÄVLEBORGS LÄN</t>
        </is>
      </c>
      <c r="E1611" t="inlineStr">
        <is>
          <t>HUDIKSVALL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16633-2024</t>
        </is>
      </c>
      <c r="B1612" s="1" t="n">
        <v>45408</v>
      </c>
      <c r="C1612" s="1" t="n">
        <v>45742</v>
      </c>
      <c r="D1612" t="inlineStr">
        <is>
          <t>GÄVLEBORGS LÄN</t>
        </is>
      </c>
      <c r="E1612" t="inlineStr">
        <is>
          <t>HUDIKSVALL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16594-2024</t>
        </is>
      </c>
      <c r="B1613" s="1" t="n">
        <v>45408</v>
      </c>
      <c r="C1613" s="1" t="n">
        <v>45742</v>
      </c>
      <c r="D1613" t="inlineStr">
        <is>
          <t>GÄVLEBORGS LÄN</t>
        </is>
      </c>
      <c r="E1613" t="inlineStr">
        <is>
          <t>HUDIKSVALL</t>
        </is>
      </c>
      <c r="G1613" t="n">
        <v>11.8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16667-2024</t>
        </is>
      </c>
      <c r="B1614" s="1" t="n">
        <v>45408</v>
      </c>
      <c r="C1614" s="1" t="n">
        <v>45742</v>
      </c>
      <c r="D1614" t="inlineStr">
        <is>
          <t>GÄVLEBORGS LÄN</t>
        </is>
      </c>
      <c r="E1614" t="inlineStr">
        <is>
          <t>HUDIKSVALL</t>
        </is>
      </c>
      <c r="G1614" t="n">
        <v>10.5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16810-2024</t>
        </is>
      </c>
      <c r="B1615" s="1" t="n">
        <v>45411</v>
      </c>
      <c r="C1615" s="1" t="n">
        <v>45742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9.800000000000001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16858-2024</t>
        </is>
      </c>
      <c r="B1616" s="1" t="n">
        <v>45411</v>
      </c>
      <c r="C1616" s="1" t="n">
        <v>45742</v>
      </c>
      <c r="D1616" t="inlineStr">
        <is>
          <t>GÄVLEBORGS LÄN</t>
        </is>
      </c>
      <c r="E1616" t="inlineStr">
        <is>
          <t>HUDIKSVALL</t>
        </is>
      </c>
      <c r="G1616" t="n">
        <v>5.7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16869-2024</t>
        </is>
      </c>
      <c r="B1617" s="1" t="n">
        <v>45411</v>
      </c>
      <c r="C1617" s="1" t="n">
        <v>45742</v>
      </c>
      <c r="D1617" t="inlineStr">
        <is>
          <t>GÄVLEBORGS LÄN</t>
        </is>
      </c>
      <c r="E1617" t="inlineStr">
        <is>
          <t>HUDIKSVALL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16827-2024</t>
        </is>
      </c>
      <c r="B1618" s="1" t="n">
        <v>45411</v>
      </c>
      <c r="C1618" s="1" t="n">
        <v>45742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16768-2024</t>
        </is>
      </c>
      <c r="B1619" s="1" t="n">
        <v>45411</v>
      </c>
      <c r="C1619" s="1" t="n">
        <v>45742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16781-2024</t>
        </is>
      </c>
      <c r="B1620" s="1" t="n">
        <v>45411</v>
      </c>
      <c r="C1620" s="1" t="n">
        <v>45742</v>
      </c>
      <c r="D1620" t="inlineStr">
        <is>
          <t>GÄVLEBORGS LÄN</t>
        </is>
      </c>
      <c r="E1620" t="inlineStr">
        <is>
          <t>HUDIKSVALL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17110-2024</t>
        </is>
      </c>
      <c r="B1621" s="1" t="n">
        <v>45412</v>
      </c>
      <c r="C1621" s="1" t="n">
        <v>45742</v>
      </c>
      <c r="D1621" t="inlineStr">
        <is>
          <t>GÄVLEBORGS LÄN</t>
        </is>
      </c>
      <c r="E1621" t="inlineStr">
        <is>
          <t>HUDIKSVALL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16995-2024</t>
        </is>
      </c>
      <c r="B1622" s="1" t="n">
        <v>45412</v>
      </c>
      <c r="C1622" s="1" t="n">
        <v>45742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28.6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17345-2024</t>
        </is>
      </c>
      <c r="B1623" s="1" t="n">
        <v>45414</v>
      </c>
      <c r="C1623" s="1" t="n">
        <v>45742</v>
      </c>
      <c r="D1623" t="inlineStr">
        <is>
          <t>GÄVLEBORGS LÄN</t>
        </is>
      </c>
      <c r="E1623" t="inlineStr">
        <is>
          <t>HUDIKSVALL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17361-2024</t>
        </is>
      </c>
      <c r="B1624" s="1" t="n">
        <v>45414</v>
      </c>
      <c r="C1624" s="1" t="n">
        <v>45742</v>
      </c>
      <c r="D1624" t="inlineStr">
        <is>
          <t>GÄVLEBORGS LÄN</t>
        </is>
      </c>
      <c r="E1624" t="inlineStr">
        <is>
          <t>HUDIKSVALL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17755-2024</t>
        </is>
      </c>
      <c r="B1625" s="1" t="n">
        <v>45418</v>
      </c>
      <c r="C1625" s="1" t="n">
        <v>45742</v>
      </c>
      <c r="D1625" t="inlineStr">
        <is>
          <t>GÄVLEBORGS LÄN</t>
        </is>
      </c>
      <c r="E1625" t="inlineStr">
        <is>
          <t>HUDIKSVALL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17947-2024</t>
        </is>
      </c>
      <c r="B1626" s="1" t="n">
        <v>45419</v>
      </c>
      <c r="C1626" s="1" t="n">
        <v>45742</v>
      </c>
      <c r="D1626" t="inlineStr">
        <is>
          <t>GÄVLEBORGS LÄN</t>
        </is>
      </c>
      <c r="E1626" t="inlineStr">
        <is>
          <t>HUDIKSVALL</t>
        </is>
      </c>
      <c r="G1626" t="n">
        <v>5.6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17951-2024</t>
        </is>
      </c>
      <c r="B1627" s="1" t="n">
        <v>45419</v>
      </c>
      <c r="C1627" s="1" t="n">
        <v>45742</v>
      </c>
      <c r="D1627" t="inlineStr">
        <is>
          <t>GÄVLEBORGS LÄN</t>
        </is>
      </c>
      <c r="E1627" t="inlineStr">
        <is>
          <t>HUDIKSVALL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17941-2024</t>
        </is>
      </c>
      <c r="B1628" s="1" t="n">
        <v>45419</v>
      </c>
      <c r="C1628" s="1" t="n">
        <v>45742</v>
      </c>
      <c r="D1628" t="inlineStr">
        <is>
          <t>GÄVLEBORGS LÄN</t>
        </is>
      </c>
      <c r="E1628" t="inlineStr">
        <is>
          <t>HUDIKSVALL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17939-2024</t>
        </is>
      </c>
      <c r="B1629" s="1" t="n">
        <v>45419</v>
      </c>
      <c r="C1629" s="1" t="n">
        <v>45742</v>
      </c>
      <c r="D1629" t="inlineStr">
        <is>
          <t>GÄVLEBORGS LÄN</t>
        </is>
      </c>
      <c r="E1629" t="inlineStr">
        <is>
          <t>HUDIKSVALL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17949-2024</t>
        </is>
      </c>
      <c r="B1630" s="1" t="n">
        <v>45419</v>
      </c>
      <c r="C1630" s="1" t="n">
        <v>45742</v>
      </c>
      <c r="D1630" t="inlineStr">
        <is>
          <t>GÄVLEBORGS LÄN</t>
        </is>
      </c>
      <c r="E1630" t="inlineStr">
        <is>
          <t>HUDIKSVALL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18247-2024</t>
        </is>
      </c>
      <c r="B1631" s="1" t="n">
        <v>45421</v>
      </c>
      <c r="C1631" s="1" t="n">
        <v>45742</v>
      </c>
      <c r="D1631" t="inlineStr">
        <is>
          <t>GÄVLEBORGS LÄN</t>
        </is>
      </c>
      <c r="E1631" t="inlineStr">
        <is>
          <t>HUDIKSVALL</t>
        </is>
      </c>
      <c r="G1631" t="n">
        <v>9.5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18493-2024</t>
        </is>
      </c>
      <c r="B1632" s="1" t="n">
        <v>45425</v>
      </c>
      <c r="C1632" s="1" t="n">
        <v>45742</v>
      </c>
      <c r="D1632" t="inlineStr">
        <is>
          <t>GÄVLEBORGS LÄN</t>
        </is>
      </c>
      <c r="E1632" t="inlineStr">
        <is>
          <t>HUDIKSVALL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18538-2024</t>
        </is>
      </c>
      <c r="B1633" s="1" t="n">
        <v>45425</v>
      </c>
      <c r="C1633" s="1" t="n">
        <v>45742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18832-2024</t>
        </is>
      </c>
      <c r="B1634" s="1" t="n">
        <v>45426</v>
      </c>
      <c r="C1634" s="1" t="n">
        <v>45742</v>
      </c>
      <c r="D1634" t="inlineStr">
        <is>
          <t>GÄVLEBORGS LÄN</t>
        </is>
      </c>
      <c r="E1634" t="inlineStr">
        <is>
          <t>HUDIKSVALL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18825-2024</t>
        </is>
      </c>
      <c r="B1635" s="1" t="n">
        <v>45426</v>
      </c>
      <c r="C1635" s="1" t="n">
        <v>45742</v>
      </c>
      <c r="D1635" t="inlineStr">
        <is>
          <t>GÄVLEBORGS LÄN</t>
        </is>
      </c>
      <c r="E1635" t="inlineStr">
        <is>
          <t>HUDIKSVALL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18829-2024</t>
        </is>
      </c>
      <c r="B1636" s="1" t="n">
        <v>45426</v>
      </c>
      <c r="C1636" s="1" t="n">
        <v>45742</v>
      </c>
      <c r="D1636" t="inlineStr">
        <is>
          <t>GÄVLEBORGS LÄN</t>
        </is>
      </c>
      <c r="E1636" t="inlineStr">
        <is>
          <t>HUDIKSVALL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18706-2024</t>
        </is>
      </c>
      <c r="B1637" s="1" t="n">
        <v>45426</v>
      </c>
      <c r="C1637" s="1" t="n">
        <v>45742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9.199999999999999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18828-2024</t>
        </is>
      </c>
      <c r="B1638" s="1" t="n">
        <v>45426</v>
      </c>
      <c r="C1638" s="1" t="n">
        <v>45742</v>
      </c>
      <c r="D1638" t="inlineStr">
        <is>
          <t>GÄVLEBORGS LÄN</t>
        </is>
      </c>
      <c r="E1638" t="inlineStr">
        <is>
          <t>HUDIKSVALL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19014-2024</t>
        </is>
      </c>
      <c r="B1639" s="1" t="n">
        <v>45427</v>
      </c>
      <c r="C1639" s="1" t="n">
        <v>45742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17.7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18994-2024</t>
        </is>
      </c>
      <c r="B1640" s="1" t="n">
        <v>45427</v>
      </c>
      <c r="C1640" s="1" t="n">
        <v>45742</v>
      </c>
      <c r="D1640" t="inlineStr">
        <is>
          <t>GÄVLEBORGS LÄN</t>
        </is>
      </c>
      <c r="E1640" t="inlineStr">
        <is>
          <t>HUDIKSVALL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18917-2024</t>
        </is>
      </c>
      <c r="B1641" s="1" t="n">
        <v>45427</v>
      </c>
      <c r="C1641" s="1" t="n">
        <v>45742</v>
      </c>
      <c r="D1641" t="inlineStr">
        <is>
          <t>GÄVLEBORGS LÄN</t>
        </is>
      </c>
      <c r="E1641" t="inlineStr">
        <is>
          <t>HUDIKSVALL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19105-2024</t>
        </is>
      </c>
      <c r="B1642" s="1" t="n">
        <v>45428</v>
      </c>
      <c r="C1642" s="1" t="n">
        <v>45742</v>
      </c>
      <c r="D1642" t="inlineStr">
        <is>
          <t>GÄVLEBORGS LÄN</t>
        </is>
      </c>
      <c r="E1642" t="inlineStr">
        <is>
          <t>HUDIKSVALL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19197-2024</t>
        </is>
      </c>
      <c r="B1643" s="1" t="n">
        <v>45428</v>
      </c>
      <c r="C1643" s="1" t="n">
        <v>45742</v>
      </c>
      <c r="D1643" t="inlineStr">
        <is>
          <t>GÄVLEBORGS LÄN</t>
        </is>
      </c>
      <c r="E1643" t="inlineStr">
        <is>
          <t>HUDIKSVALL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19217-2024</t>
        </is>
      </c>
      <c r="B1644" s="1" t="n">
        <v>45428</v>
      </c>
      <c r="C1644" s="1" t="n">
        <v>45742</v>
      </c>
      <c r="D1644" t="inlineStr">
        <is>
          <t>GÄVLEBORGS LÄN</t>
        </is>
      </c>
      <c r="E1644" t="inlineStr">
        <is>
          <t>HUDIKSVALL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19316-2024</t>
        </is>
      </c>
      <c r="B1645" s="1" t="n">
        <v>45428</v>
      </c>
      <c r="C1645" s="1" t="n">
        <v>45742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19515-2024</t>
        </is>
      </c>
      <c r="B1646" s="1" t="n">
        <v>45429</v>
      </c>
      <c r="C1646" s="1" t="n">
        <v>45742</v>
      </c>
      <c r="D1646" t="inlineStr">
        <is>
          <t>GÄVLEBORGS LÄN</t>
        </is>
      </c>
      <c r="E1646" t="inlineStr">
        <is>
          <t>HUDIKSVALL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19600-2024</t>
        </is>
      </c>
      <c r="B1647" s="1" t="n">
        <v>45431</v>
      </c>
      <c r="C1647" s="1" t="n">
        <v>45742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19603-2024</t>
        </is>
      </c>
      <c r="B1648" s="1" t="n">
        <v>45431</v>
      </c>
      <c r="C1648" s="1" t="n">
        <v>45742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19601-2024</t>
        </is>
      </c>
      <c r="B1649" s="1" t="n">
        <v>45431</v>
      </c>
      <c r="C1649" s="1" t="n">
        <v>45742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19682-2024</t>
        </is>
      </c>
      <c r="B1650" s="1" t="n">
        <v>45432</v>
      </c>
      <c r="C1650" s="1" t="n">
        <v>45742</v>
      </c>
      <c r="D1650" t="inlineStr">
        <is>
          <t>GÄVLEBORGS LÄN</t>
        </is>
      </c>
      <c r="E1650" t="inlineStr">
        <is>
          <t>HUDIKSVALL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19706-2024</t>
        </is>
      </c>
      <c r="B1651" s="1" t="n">
        <v>45432</v>
      </c>
      <c r="C1651" s="1" t="n">
        <v>45742</v>
      </c>
      <c r="D1651" t="inlineStr">
        <is>
          <t>GÄVLEBORGS LÄN</t>
        </is>
      </c>
      <c r="E1651" t="inlineStr">
        <is>
          <t>HUDIKSVALL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19663-2024</t>
        </is>
      </c>
      <c r="B1652" s="1" t="n">
        <v>45432</v>
      </c>
      <c r="C1652" s="1" t="n">
        <v>45742</v>
      </c>
      <c r="D1652" t="inlineStr">
        <is>
          <t>GÄVLEBORGS LÄN</t>
        </is>
      </c>
      <c r="E1652" t="inlineStr">
        <is>
          <t>HUDIKSVALL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19671-2024</t>
        </is>
      </c>
      <c r="B1653" s="1" t="n">
        <v>45432</v>
      </c>
      <c r="C1653" s="1" t="n">
        <v>45742</v>
      </c>
      <c r="D1653" t="inlineStr">
        <is>
          <t>GÄVLEBORGS LÄN</t>
        </is>
      </c>
      <c r="E1653" t="inlineStr">
        <is>
          <t>HUDIKSVALL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19658-2024</t>
        </is>
      </c>
      <c r="B1654" s="1" t="n">
        <v>45432</v>
      </c>
      <c r="C1654" s="1" t="n">
        <v>45742</v>
      </c>
      <c r="D1654" t="inlineStr">
        <is>
          <t>GÄVLEBORGS LÄN</t>
        </is>
      </c>
      <c r="E1654" t="inlineStr">
        <is>
          <t>HUDIKSVALL</t>
        </is>
      </c>
      <c r="G1654" t="n">
        <v>13.4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19626-2024</t>
        </is>
      </c>
      <c r="B1655" s="1" t="n">
        <v>45432</v>
      </c>
      <c r="C1655" s="1" t="n">
        <v>45742</v>
      </c>
      <c r="D1655" t="inlineStr">
        <is>
          <t>GÄVLEBORGS LÄN</t>
        </is>
      </c>
      <c r="E1655" t="inlineStr">
        <is>
          <t>HUDIKSVALL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19724-2024</t>
        </is>
      </c>
      <c r="B1656" s="1" t="n">
        <v>45432</v>
      </c>
      <c r="C1656" s="1" t="n">
        <v>45742</v>
      </c>
      <c r="D1656" t="inlineStr">
        <is>
          <t>GÄVLEBORGS LÄN</t>
        </is>
      </c>
      <c r="E1656" t="inlineStr">
        <is>
          <t>HUDIKSVALL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19736-2024</t>
        </is>
      </c>
      <c r="B1657" s="1" t="n">
        <v>45432</v>
      </c>
      <c r="C1657" s="1" t="n">
        <v>45742</v>
      </c>
      <c r="D1657" t="inlineStr">
        <is>
          <t>GÄVLEBORGS LÄN</t>
        </is>
      </c>
      <c r="E1657" t="inlineStr">
        <is>
          <t>HUDIKSVALL</t>
        </is>
      </c>
      <c r="G1657" t="n">
        <v>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19993-2024</t>
        </is>
      </c>
      <c r="B1658" s="1" t="n">
        <v>45433</v>
      </c>
      <c r="C1658" s="1" t="n">
        <v>45742</v>
      </c>
      <c r="D1658" t="inlineStr">
        <is>
          <t>GÄVLEBORGS LÄN</t>
        </is>
      </c>
      <c r="E1658" t="inlineStr">
        <is>
          <t>HUDIKSVALL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20024-2024</t>
        </is>
      </c>
      <c r="B1659" s="1" t="n">
        <v>45434</v>
      </c>
      <c r="C1659" s="1" t="n">
        <v>45742</v>
      </c>
      <c r="D1659" t="inlineStr">
        <is>
          <t>GÄVLEBORGS LÄN</t>
        </is>
      </c>
      <c r="E1659" t="inlineStr">
        <is>
          <t>HUDIKSVALL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20691-2024</t>
        </is>
      </c>
      <c r="B1660" s="1" t="n">
        <v>45436</v>
      </c>
      <c r="C1660" s="1" t="n">
        <v>45742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20715-2024</t>
        </is>
      </c>
      <c r="B1661" s="1" t="n">
        <v>45436</v>
      </c>
      <c r="C1661" s="1" t="n">
        <v>45742</v>
      </c>
      <c r="D1661" t="inlineStr">
        <is>
          <t>GÄVLEBORGS LÄN</t>
        </is>
      </c>
      <c r="E1661" t="inlineStr">
        <is>
          <t>HUDIKSVALL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20612-2024</t>
        </is>
      </c>
      <c r="B1662" s="1" t="n">
        <v>45436</v>
      </c>
      <c r="C1662" s="1" t="n">
        <v>45742</v>
      </c>
      <c r="D1662" t="inlineStr">
        <is>
          <t>GÄVLEBORGS LÄN</t>
        </is>
      </c>
      <c r="E1662" t="inlineStr">
        <is>
          <t>HUDIKSVALL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21156-2024</t>
        </is>
      </c>
      <c r="B1663" s="1" t="n">
        <v>45440</v>
      </c>
      <c r="C1663" s="1" t="n">
        <v>45742</v>
      </c>
      <c r="D1663" t="inlineStr">
        <is>
          <t>GÄVLEBORGS LÄN</t>
        </is>
      </c>
      <c r="E1663" t="inlineStr">
        <is>
          <t>HUDIKSVALL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21805-2024</t>
        </is>
      </c>
      <c r="B1664" s="1" t="n">
        <v>45442</v>
      </c>
      <c r="C1664" s="1" t="n">
        <v>45742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21783-2024</t>
        </is>
      </c>
      <c r="B1665" s="1" t="n">
        <v>45442</v>
      </c>
      <c r="C1665" s="1" t="n">
        <v>45742</v>
      </c>
      <c r="D1665" t="inlineStr">
        <is>
          <t>GÄVLEBORGS LÄN</t>
        </is>
      </c>
      <c r="E1665" t="inlineStr">
        <is>
          <t>HUDIKSVALL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21904-2024</t>
        </is>
      </c>
      <c r="B1666" s="1" t="n">
        <v>45443</v>
      </c>
      <c r="C1666" s="1" t="n">
        <v>45742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21917-2024</t>
        </is>
      </c>
      <c r="B1667" s="1" t="n">
        <v>45443</v>
      </c>
      <c r="C1667" s="1" t="n">
        <v>45742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22055-2024</t>
        </is>
      </c>
      <c r="B1668" s="1" t="n">
        <v>45443</v>
      </c>
      <c r="C1668" s="1" t="n">
        <v>45742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21971-2024</t>
        </is>
      </c>
      <c r="B1669" s="1" t="n">
        <v>45443</v>
      </c>
      <c r="C1669" s="1" t="n">
        <v>45742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Sveaskog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22018-2024</t>
        </is>
      </c>
      <c r="B1670" s="1" t="n">
        <v>45443</v>
      </c>
      <c r="C1670" s="1" t="n">
        <v>45742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21902-2024</t>
        </is>
      </c>
      <c r="B1671" s="1" t="n">
        <v>45443</v>
      </c>
      <c r="C1671" s="1" t="n">
        <v>45742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21927-2024</t>
        </is>
      </c>
      <c r="B1672" s="1" t="n">
        <v>45443</v>
      </c>
      <c r="C1672" s="1" t="n">
        <v>45742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21940-2024</t>
        </is>
      </c>
      <c r="B1673" s="1" t="n">
        <v>45443</v>
      </c>
      <c r="C1673" s="1" t="n">
        <v>45742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22374-2024</t>
        </is>
      </c>
      <c r="B1674" s="1" t="n">
        <v>45446</v>
      </c>
      <c r="C1674" s="1" t="n">
        <v>45742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22379-2024</t>
        </is>
      </c>
      <c r="B1675" s="1" t="n">
        <v>45446</v>
      </c>
      <c r="C1675" s="1" t="n">
        <v>45742</v>
      </c>
      <c r="D1675" t="inlineStr">
        <is>
          <t>GÄVLEBORGS LÄN</t>
        </is>
      </c>
      <c r="E1675" t="inlineStr">
        <is>
          <t>HUDIKSVALL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22261-2024</t>
        </is>
      </c>
      <c r="B1676" s="1" t="n">
        <v>45446</v>
      </c>
      <c r="C1676" s="1" t="n">
        <v>45742</v>
      </c>
      <c r="D1676" t="inlineStr">
        <is>
          <t>GÄVLEBORGS LÄN</t>
        </is>
      </c>
      <c r="E1676" t="inlineStr">
        <is>
          <t>HUDIKSVALL</t>
        </is>
      </c>
      <c r="G1676" t="n">
        <v>7.6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22641-2024</t>
        </is>
      </c>
      <c r="B1677" s="1" t="n">
        <v>45447</v>
      </c>
      <c r="C1677" s="1" t="n">
        <v>45742</v>
      </c>
      <c r="D1677" t="inlineStr">
        <is>
          <t>GÄVLEBORGS LÄN</t>
        </is>
      </c>
      <c r="E1677" t="inlineStr">
        <is>
          <t>HUDIKSVALL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22518-2024</t>
        </is>
      </c>
      <c r="B1678" s="1" t="n">
        <v>45447</v>
      </c>
      <c r="C1678" s="1" t="n">
        <v>45742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22804-2024</t>
        </is>
      </c>
      <c r="B1679" s="1" t="n">
        <v>45448</v>
      </c>
      <c r="C1679" s="1" t="n">
        <v>45742</v>
      </c>
      <c r="D1679" t="inlineStr">
        <is>
          <t>GÄVLEBORGS LÄN</t>
        </is>
      </c>
      <c r="E1679" t="inlineStr">
        <is>
          <t>HUDIKSVALL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22812-2024</t>
        </is>
      </c>
      <c r="B1680" s="1" t="n">
        <v>45448</v>
      </c>
      <c r="C1680" s="1" t="n">
        <v>45742</v>
      </c>
      <c r="D1680" t="inlineStr">
        <is>
          <t>GÄVLEBORGS LÄN</t>
        </is>
      </c>
      <c r="E1680" t="inlineStr">
        <is>
          <t>HUDIKSVALL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22747-2024</t>
        </is>
      </c>
      <c r="B1681" s="1" t="n">
        <v>45448</v>
      </c>
      <c r="C1681" s="1" t="n">
        <v>45742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  <c r="U1681">
        <f>HYPERLINK("https://klasma.github.io/Logging_2184/knärot/A 22747-2024 karta knärot.png", "A 22747-2024")</f>
        <v/>
      </c>
      <c r="V1681">
        <f>HYPERLINK("https://klasma.github.io/Logging_2184/klagomål/A 22747-2024 FSC-klagomål.docx", "A 22747-2024")</f>
        <v/>
      </c>
      <c r="W1681">
        <f>HYPERLINK("https://klasma.github.io/Logging_2184/klagomålsmail/A 22747-2024 FSC-klagomål mail.docx", "A 22747-2024")</f>
        <v/>
      </c>
      <c r="X1681">
        <f>HYPERLINK("https://klasma.github.io/Logging_2184/tillsyn/A 22747-2024 tillsynsbegäran.docx", "A 22747-2024")</f>
        <v/>
      </c>
      <c r="Y1681">
        <f>HYPERLINK("https://klasma.github.io/Logging_2184/tillsynsmail/A 22747-2024 tillsynsbegäran mail.docx", "A 22747-2024")</f>
        <v/>
      </c>
    </row>
    <row r="1682" ht="15" customHeight="1">
      <c r="A1682" t="inlineStr">
        <is>
          <t>A 22709-2024</t>
        </is>
      </c>
      <c r="B1682" s="1" t="n">
        <v>45448</v>
      </c>
      <c r="C1682" s="1" t="n">
        <v>45742</v>
      </c>
      <c r="D1682" t="inlineStr">
        <is>
          <t>GÄVLEBORGS LÄN</t>
        </is>
      </c>
      <c r="E1682" t="inlineStr">
        <is>
          <t>HUDIKSVALL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22869-2024</t>
        </is>
      </c>
      <c r="B1683" s="1" t="n">
        <v>45448</v>
      </c>
      <c r="C1683" s="1" t="n">
        <v>45742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22727-2024</t>
        </is>
      </c>
      <c r="B1684" s="1" t="n">
        <v>45448</v>
      </c>
      <c r="C1684" s="1" t="n">
        <v>45742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8.699999999999999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22785-2024</t>
        </is>
      </c>
      <c r="B1685" s="1" t="n">
        <v>45448</v>
      </c>
      <c r="C1685" s="1" t="n">
        <v>45742</v>
      </c>
      <c r="D1685" t="inlineStr">
        <is>
          <t>GÄVLEBORGS LÄN</t>
        </is>
      </c>
      <c r="E1685" t="inlineStr">
        <is>
          <t>HUDIKSVALL</t>
        </is>
      </c>
      <c r="G1685" t="n">
        <v>10.9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22819-2024</t>
        </is>
      </c>
      <c r="B1686" s="1" t="n">
        <v>45448</v>
      </c>
      <c r="C1686" s="1" t="n">
        <v>45742</v>
      </c>
      <c r="D1686" t="inlineStr">
        <is>
          <t>GÄVLEBORGS LÄN</t>
        </is>
      </c>
      <c r="E1686" t="inlineStr">
        <is>
          <t>HUDIKSVALL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22823-2024</t>
        </is>
      </c>
      <c r="B1687" s="1" t="n">
        <v>45448</v>
      </c>
      <c r="C1687" s="1" t="n">
        <v>45742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22976-2024</t>
        </is>
      </c>
      <c r="B1688" s="1" t="n">
        <v>45449</v>
      </c>
      <c r="C1688" s="1" t="n">
        <v>45742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22975-2024</t>
        </is>
      </c>
      <c r="B1689" s="1" t="n">
        <v>45449</v>
      </c>
      <c r="C1689" s="1" t="n">
        <v>45742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22977-2024</t>
        </is>
      </c>
      <c r="B1690" s="1" t="n">
        <v>45449</v>
      </c>
      <c r="C1690" s="1" t="n">
        <v>45742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23236-2024</t>
        </is>
      </c>
      <c r="B1691" s="1" t="n">
        <v>45453</v>
      </c>
      <c r="C1691" s="1" t="n">
        <v>45742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Sveaskog</t>
        </is>
      </c>
      <c r="G1691" t="n">
        <v>20.9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23296-2024</t>
        </is>
      </c>
      <c r="B1692" s="1" t="n">
        <v>45453</v>
      </c>
      <c r="C1692" s="1" t="n">
        <v>45742</v>
      </c>
      <c r="D1692" t="inlineStr">
        <is>
          <t>GÄVLEBORGS LÄN</t>
        </is>
      </c>
      <c r="E1692" t="inlineStr">
        <is>
          <t>HUDIKSVALL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23449-2024</t>
        </is>
      </c>
      <c r="B1693" s="1" t="n">
        <v>45453</v>
      </c>
      <c r="C1693" s="1" t="n">
        <v>45742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23603-2024</t>
        </is>
      </c>
      <c r="B1694" s="1" t="n">
        <v>45454</v>
      </c>
      <c r="C1694" s="1" t="n">
        <v>45742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23853-2024</t>
        </is>
      </c>
      <c r="B1695" s="1" t="n">
        <v>45455</v>
      </c>
      <c r="C1695" s="1" t="n">
        <v>45742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23872-2024</t>
        </is>
      </c>
      <c r="B1696" s="1" t="n">
        <v>45455</v>
      </c>
      <c r="C1696" s="1" t="n">
        <v>45742</v>
      </c>
      <c r="D1696" t="inlineStr">
        <is>
          <t>GÄVLEBORGS LÄN</t>
        </is>
      </c>
      <c r="E1696" t="inlineStr">
        <is>
          <t>HUDIKSVALL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24033-2024</t>
        </is>
      </c>
      <c r="B1697" s="1" t="n">
        <v>45456</v>
      </c>
      <c r="C1697" s="1" t="n">
        <v>45742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24086-2024</t>
        </is>
      </c>
      <c r="B1698" s="1" t="n">
        <v>45456</v>
      </c>
      <c r="C1698" s="1" t="n">
        <v>45742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24119-2024</t>
        </is>
      </c>
      <c r="B1699" s="1" t="n">
        <v>45456</v>
      </c>
      <c r="C1699" s="1" t="n">
        <v>45742</v>
      </c>
      <c r="D1699" t="inlineStr">
        <is>
          <t>GÄVLEBORGS LÄN</t>
        </is>
      </c>
      <c r="E1699" t="inlineStr">
        <is>
          <t>HUDIKSVALL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24220-2024</t>
        </is>
      </c>
      <c r="B1700" s="1" t="n">
        <v>45457</v>
      </c>
      <c r="C1700" s="1" t="n">
        <v>45742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24285-2024</t>
        </is>
      </c>
      <c r="B1701" s="1" t="n">
        <v>45457</v>
      </c>
      <c r="C1701" s="1" t="n">
        <v>45742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24329-2024</t>
        </is>
      </c>
      <c r="B1702" s="1" t="n">
        <v>45457</v>
      </c>
      <c r="C1702" s="1" t="n">
        <v>45742</v>
      </c>
      <c r="D1702" t="inlineStr">
        <is>
          <t>GÄVLEBORGS LÄN</t>
        </is>
      </c>
      <c r="E1702" t="inlineStr">
        <is>
          <t>HUDIKSVALL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24236-2024</t>
        </is>
      </c>
      <c r="B1703" s="1" t="n">
        <v>45457</v>
      </c>
      <c r="C1703" s="1" t="n">
        <v>45742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24834-2024</t>
        </is>
      </c>
      <c r="B1704" s="1" t="n">
        <v>45461</v>
      </c>
      <c r="C1704" s="1" t="n">
        <v>45742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24942-2024</t>
        </is>
      </c>
      <c r="B1705" s="1" t="n">
        <v>45461</v>
      </c>
      <c r="C1705" s="1" t="n">
        <v>45742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24852-2024</t>
        </is>
      </c>
      <c r="B1706" s="1" t="n">
        <v>45461</v>
      </c>
      <c r="C1706" s="1" t="n">
        <v>45742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19.2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24848-2024</t>
        </is>
      </c>
      <c r="B1707" s="1" t="n">
        <v>45461</v>
      </c>
      <c r="C1707" s="1" t="n">
        <v>45742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24923-2024</t>
        </is>
      </c>
      <c r="B1708" s="1" t="n">
        <v>45461</v>
      </c>
      <c r="C1708" s="1" t="n">
        <v>45742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25237-2024</t>
        </is>
      </c>
      <c r="B1709" s="1" t="n">
        <v>45462</v>
      </c>
      <c r="C1709" s="1" t="n">
        <v>45742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25233-2024</t>
        </is>
      </c>
      <c r="B1710" s="1" t="n">
        <v>45462</v>
      </c>
      <c r="C1710" s="1" t="n">
        <v>45742</v>
      </c>
      <c r="D1710" t="inlineStr">
        <is>
          <t>GÄVLEBORGS LÄN</t>
        </is>
      </c>
      <c r="E1710" t="inlineStr">
        <is>
          <t>HUDIKSVALL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25173-2024</t>
        </is>
      </c>
      <c r="B1711" s="1" t="n">
        <v>45462</v>
      </c>
      <c r="C1711" s="1" t="n">
        <v>45742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7.4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25056-2024</t>
        </is>
      </c>
      <c r="B1712" s="1" t="n">
        <v>45462</v>
      </c>
      <c r="C1712" s="1" t="n">
        <v>45742</v>
      </c>
      <c r="D1712" t="inlineStr">
        <is>
          <t>GÄVLEBORGS LÄN</t>
        </is>
      </c>
      <c r="E1712" t="inlineStr">
        <is>
          <t>HUDIKSVALL</t>
        </is>
      </c>
      <c r="G1712" t="n">
        <v>14.3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25182-2024</t>
        </is>
      </c>
      <c r="B1713" s="1" t="n">
        <v>45462</v>
      </c>
      <c r="C1713" s="1" t="n">
        <v>45742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25268-2024</t>
        </is>
      </c>
      <c r="B1714" s="1" t="n">
        <v>45462</v>
      </c>
      <c r="C1714" s="1" t="n">
        <v>45742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25255-2024</t>
        </is>
      </c>
      <c r="B1715" s="1" t="n">
        <v>45462</v>
      </c>
      <c r="C1715" s="1" t="n">
        <v>45742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25596-2024</t>
        </is>
      </c>
      <c r="B1716" s="1" t="n">
        <v>45463</v>
      </c>
      <c r="C1716" s="1" t="n">
        <v>45742</v>
      </c>
      <c r="D1716" t="inlineStr">
        <is>
          <t>GÄVLEBORGS LÄN</t>
        </is>
      </c>
      <c r="E1716" t="inlineStr">
        <is>
          <t>HUDIKSVALL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25647-2024</t>
        </is>
      </c>
      <c r="B1717" s="1" t="n">
        <v>45463</v>
      </c>
      <c r="C1717" s="1" t="n">
        <v>45742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Sveaskog</t>
        </is>
      </c>
      <c r="G1717" t="n">
        <v>7.7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25649-2024</t>
        </is>
      </c>
      <c r="B1718" s="1" t="n">
        <v>45463</v>
      </c>
      <c r="C1718" s="1" t="n">
        <v>45742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Sveaskog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25454-2024</t>
        </is>
      </c>
      <c r="B1719" s="1" t="n">
        <v>45463</v>
      </c>
      <c r="C1719" s="1" t="n">
        <v>45742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25844-2024</t>
        </is>
      </c>
      <c r="B1720" s="1" t="n">
        <v>45467</v>
      </c>
      <c r="C1720" s="1" t="n">
        <v>45742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26191-2024</t>
        </is>
      </c>
      <c r="B1721" s="1" t="n">
        <v>45468</v>
      </c>
      <c r="C1721" s="1" t="n">
        <v>45742</v>
      </c>
      <c r="D1721" t="inlineStr">
        <is>
          <t>GÄVLEBORGS LÄN</t>
        </is>
      </c>
      <c r="E1721" t="inlineStr">
        <is>
          <t>HUDIKSVALL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26193-2024</t>
        </is>
      </c>
      <c r="B1722" s="1" t="n">
        <v>45468</v>
      </c>
      <c r="C1722" s="1" t="n">
        <v>45742</v>
      </c>
      <c r="D1722" t="inlineStr">
        <is>
          <t>GÄVLEBORGS LÄN</t>
        </is>
      </c>
      <c r="E1722" t="inlineStr">
        <is>
          <t>HUDIKSVALL</t>
        </is>
      </c>
      <c r="G1722" t="n">
        <v>11.3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26196-2024</t>
        </is>
      </c>
      <c r="B1723" s="1" t="n">
        <v>45468</v>
      </c>
      <c r="C1723" s="1" t="n">
        <v>45742</v>
      </c>
      <c r="D1723" t="inlineStr">
        <is>
          <t>GÄVLEBORGS LÄN</t>
        </is>
      </c>
      <c r="E1723" t="inlineStr">
        <is>
          <t>HUDIKSVALL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26618-2024</t>
        </is>
      </c>
      <c r="B1724" s="1" t="n">
        <v>45469</v>
      </c>
      <c r="C1724" s="1" t="n">
        <v>45742</v>
      </c>
      <c r="D1724" t="inlineStr">
        <is>
          <t>GÄVLEBORGS LÄN</t>
        </is>
      </c>
      <c r="E1724" t="inlineStr">
        <is>
          <t>HUDIKSVALL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26547-2024</t>
        </is>
      </c>
      <c r="B1725" s="1" t="n">
        <v>45469</v>
      </c>
      <c r="C1725" s="1" t="n">
        <v>45742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26396-2024</t>
        </is>
      </c>
      <c r="B1726" s="1" t="n">
        <v>45469</v>
      </c>
      <c r="C1726" s="1" t="n">
        <v>45742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27207-2024</t>
        </is>
      </c>
      <c r="B1727" s="1" t="n">
        <v>45471</v>
      </c>
      <c r="C1727" s="1" t="n">
        <v>45742</v>
      </c>
      <c r="D1727" t="inlineStr">
        <is>
          <t>GÄVLEBORGS LÄN</t>
        </is>
      </c>
      <c r="E1727" t="inlineStr">
        <is>
          <t>HUDIKSVALL</t>
        </is>
      </c>
      <c r="G1727" t="n">
        <v>11.1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27331-2024</t>
        </is>
      </c>
      <c r="B1728" s="1" t="n">
        <v>45472</v>
      </c>
      <c r="C1728" s="1" t="n">
        <v>45742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27418-2024</t>
        </is>
      </c>
      <c r="B1729" s="1" t="n">
        <v>45474</v>
      </c>
      <c r="C1729" s="1" t="n">
        <v>45742</v>
      </c>
      <c r="D1729" t="inlineStr">
        <is>
          <t>GÄVLEBORGS LÄN</t>
        </is>
      </c>
      <c r="E1729" t="inlineStr">
        <is>
          <t>HUDIKSVALL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27477-2024</t>
        </is>
      </c>
      <c r="B1730" s="1" t="n">
        <v>45474</v>
      </c>
      <c r="C1730" s="1" t="n">
        <v>45742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27412-2024</t>
        </is>
      </c>
      <c r="B1731" s="1" t="n">
        <v>45474</v>
      </c>
      <c r="C1731" s="1" t="n">
        <v>45742</v>
      </c>
      <c r="D1731" t="inlineStr">
        <is>
          <t>GÄVLEBORGS LÄN</t>
        </is>
      </c>
      <c r="E1731" t="inlineStr">
        <is>
          <t>HUDIKSVALL</t>
        </is>
      </c>
      <c r="G1731" t="n">
        <v>10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27467-2024</t>
        </is>
      </c>
      <c r="B1732" s="1" t="n">
        <v>45474</v>
      </c>
      <c r="C1732" s="1" t="n">
        <v>45742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8.6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27571-2024</t>
        </is>
      </c>
      <c r="B1733" s="1" t="n">
        <v>45474</v>
      </c>
      <c r="C1733" s="1" t="n">
        <v>45742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27620-2024</t>
        </is>
      </c>
      <c r="B1734" s="1" t="n">
        <v>45474</v>
      </c>
      <c r="C1734" s="1" t="n">
        <v>45742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27545-2024</t>
        </is>
      </c>
      <c r="B1735" s="1" t="n">
        <v>45474</v>
      </c>
      <c r="C1735" s="1" t="n">
        <v>45742</v>
      </c>
      <c r="D1735" t="inlineStr">
        <is>
          <t>GÄVLEBORGS LÄN</t>
        </is>
      </c>
      <c r="E1735" t="inlineStr">
        <is>
          <t>HUDIKSVALL</t>
        </is>
      </c>
      <c r="G1735" t="n">
        <v>9.300000000000001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27757-2024</t>
        </is>
      </c>
      <c r="B1736" s="1" t="n">
        <v>45475</v>
      </c>
      <c r="C1736" s="1" t="n">
        <v>45742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27955-2024</t>
        </is>
      </c>
      <c r="B1737" s="1" t="n">
        <v>45476</v>
      </c>
      <c r="C1737" s="1" t="n">
        <v>45742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27956-2024</t>
        </is>
      </c>
      <c r="B1738" s="1" t="n">
        <v>45476</v>
      </c>
      <c r="C1738" s="1" t="n">
        <v>45742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28367-2024</t>
        </is>
      </c>
      <c r="B1739" s="1" t="n">
        <v>45477</v>
      </c>
      <c r="C1739" s="1" t="n">
        <v>45742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28296-2024</t>
        </is>
      </c>
      <c r="B1740" s="1" t="n">
        <v>45477</v>
      </c>
      <c r="C1740" s="1" t="n">
        <v>45742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28853-2024</t>
        </is>
      </c>
      <c r="B1741" s="1" t="n">
        <v>45478</v>
      </c>
      <c r="C1741" s="1" t="n">
        <v>45742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28818-2024</t>
        </is>
      </c>
      <c r="B1742" s="1" t="n">
        <v>45478</v>
      </c>
      <c r="C1742" s="1" t="n">
        <v>45742</v>
      </c>
      <c r="D1742" t="inlineStr">
        <is>
          <t>GÄVLEBORGS LÄN</t>
        </is>
      </c>
      <c r="E1742" t="inlineStr">
        <is>
          <t>HUDIKSVALL</t>
        </is>
      </c>
      <c r="G1742" t="n">
        <v>4.3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29024-2024</t>
        </is>
      </c>
      <c r="B1743" s="1" t="n">
        <v>45481</v>
      </c>
      <c r="C1743" s="1" t="n">
        <v>45742</v>
      </c>
      <c r="D1743" t="inlineStr">
        <is>
          <t>GÄVLEBORGS LÄN</t>
        </is>
      </c>
      <c r="E1743" t="inlineStr">
        <is>
          <t>HUDIKSVALL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29004-2024</t>
        </is>
      </c>
      <c r="B1744" s="1" t="n">
        <v>45481</v>
      </c>
      <c r="C1744" s="1" t="n">
        <v>45742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29331-2024</t>
        </is>
      </c>
      <c r="B1745" s="1" t="n">
        <v>45483</v>
      </c>
      <c r="C1745" s="1" t="n">
        <v>45742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29337-2024</t>
        </is>
      </c>
      <c r="B1746" s="1" t="n">
        <v>45483</v>
      </c>
      <c r="C1746" s="1" t="n">
        <v>45742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29452-2024</t>
        </is>
      </c>
      <c r="B1747" s="1" t="n">
        <v>45484</v>
      </c>
      <c r="C1747" s="1" t="n">
        <v>45742</v>
      </c>
      <c r="D1747" t="inlineStr">
        <is>
          <t>GÄVLEBORGS LÄN</t>
        </is>
      </c>
      <c r="E1747" t="inlineStr">
        <is>
          <t>HUDIKSVALL</t>
        </is>
      </c>
      <c r="G1747" t="n">
        <v>7.3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29905-2024</t>
        </is>
      </c>
      <c r="B1748" s="1" t="n">
        <v>45487</v>
      </c>
      <c r="C1748" s="1" t="n">
        <v>45742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29904-2024</t>
        </is>
      </c>
      <c r="B1749" s="1" t="n">
        <v>45487</v>
      </c>
      <c r="C1749" s="1" t="n">
        <v>45742</v>
      </c>
      <c r="D1749" t="inlineStr">
        <is>
          <t>GÄVLEBORGS LÄN</t>
        </is>
      </c>
      <c r="E1749" t="inlineStr">
        <is>
          <t>HUDIKSVALL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29998-2024</t>
        </is>
      </c>
      <c r="B1750" s="1" t="n">
        <v>45488</v>
      </c>
      <c r="C1750" s="1" t="n">
        <v>45742</v>
      </c>
      <c r="D1750" t="inlineStr">
        <is>
          <t>GÄVLEBORGS LÄN</t>
        </is>
      </c>
      <c r="E1750" t="inlineStr">
        <is>
          <t>HUDIKSVALL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29988-2024</t>
        </is>
      </c>
      <c r="B1751" s="1" t="n">
        <v>45488</v>
      </c>
      <c r="C1751" s="1" t="n">
        <v>45742</v>
      </c>
      <c r="D1751" t="inlineStr">
        <is>
          <t>GÄVLEBORGS LÄN</t>
        </is>
      </c>
      <c r="E1751" t="inlineStr">
        <is>
          <t>HUDIKSVALL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30134-2024</t>
        </is>
      </c>
      <c r="B1752" s="1" t="n">
        <v>45489</v>
      </c>
      <c r="C1752" s="1" t="n">
        <v>45742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30116-2024</t>
        </is>
      </c>
      <c r="B1753" s="1" t="n">
        <v>45489</v>
      </c>
      <c r="C1753" s="1" t="n">
        <v>45742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30107-2024</t>
        </is>
      </c>
      <c r="B1754" s="1" t="n">
        <v>45489</v>
      </c>
      <c r="C1754" s="1" t="n">
        <v>45742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30083-2024</t>
        </is>
      </c>
      <c r="B1755" s="1" t="n">
        <v>45489</v>
      </c>
      <c r="C1755" s="1" t="n">
        <v>45742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30408-2024</t>
        </is>
      </c>
      <c r="B1756" s="1" t="n">
        <v>45491</v>
      </c>
      <c r="C1756" s="1" t="n">
        <v>45742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30698-2024</t>
        </is>
      </c>
      <c r="B1757" s="1" t="n">
        <v>45496</v>
      </c>
      <c r="C1757" s="1" t="n">
        <v>45742</v>
      </c>
      <c r="D1757" t="inlineStr">
        <is>
          <t>GÄVLEBORGS LÄN</t>
        </is>
      </c>
      <c r="E1757" t="inlineStr">
        <is>
          <t>HUDIKSVALL</t>
        </is>
      </c>
      <c r="G1757" t="n">
        <v>16.7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30701-2024</t>
        </is>
      </c>
      <c r="B1758" s="1" t="n">
        <v>45496</v>
      </c>
      <c r="C1758" s="1" t="n">
        <v>45742</v>
      </c>
      <c r="D1758" t="inlineStr">
        <is>
          <t>GÄVLEBORGS LÄN</t>
        </is>
      </c>
      <c r="E1758" t="inlineStr">
        <is>
          <t>HUDIKSVALL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30697-2024</t>
        </is>
      </c>
      <c r="B1759" s="1" t="n">
        <v>45496</v>
      </c>
      <c r="C1759" s="1" t="n">
        <v>45742</v>
      </c>
      <c r="D1759" t="inlineStr">
        <is>
          <t>GÄVLEBORGS LÄN</t>
        </is>
      </c>
      <c r="E1759" t="inlineStr">
        <is>
          <t>HUDIKSVALL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30983-2024</t>
        </is>
      </c>
      <c r="B1760" s="1" t="n">
        <v>45499</v>
      </c>
      <c r="C1760" s="1" t="n">
        <v>45742</v>
      </c>
      <c r="D1760" t="inlineStr">
        <is>
          <t>GÄVLEBORGS LÄN</t>
        </is>
      </c>
      <c r="E1760" t="inlineStr">
        <is>
          <t>HUDIKSVALL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30981-2024</t>
        </is>
      </c>
      <c r="B1761" s="1" t="n">
        <v>45499</v>
      </c>
      <c r="C1761" s="1" t="n">
        <v>45742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30982-2024</t>
        </is>
      </c>
      <c r="B1762" s="1" t="n">
        <v>45499</v>
      </c>
      <c r="C1762" s="1" t="n">
        <v>45742</v>
      </c>
      <c r="D1762" t="inlineStr">
        <is>
          <t>GÄVLEBORGS LÄN</t>
        </is>
      </c>
      <c r="E1762" t="inlineStr">
        <is>
          <t>HUDIKSVALL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31025-2024</t>
        </is>
      </c>
      <c r="B1763" s="1" t="n">
        <v>45500</v>
      </c>
      <c r="C1763" s="1" t="n">
        <v>45742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31119-2024</t>
        </is>
      </c>
      <c r="B1764" s="1" t="n">
        <v>45502</v>
      </c>
      <c r="C1764" s="1" t="n">
        <v>45742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31117-2024</t>
        </is>
      </c>
      <c r="B1765" s="1" t="n">
        <v>45502</v>
      </c>
      <c r="C1765" s="1" t="n">
        <v>45742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31224-2024</t>
        </is>
      </c>
      <c r="B1766" s="1" t="n">
        <v>45503</v>
      </c>
      <c r="C1766" s="1" t="n">
        <v>45742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31150-2024</t>
        </is>
      </c>
      <c r="B1767" s="1" t="n">
        <v>45503</v>
      </c>
      <c r="C1767" s="1" t="n">
        <v>45742</v>
      </c>
      <c r="D1767" t="inlineStr">
        <is>
          <t>GÄVLEBORGS LÄN</t>
        </is>
      </c>
      <c r="E1767" t="inlineStr">
        <is>
          <t>HUDIKSVALL</t>
        </is>
      </c>
      <c r="G1767" t="n">
        <v>9.5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31239-2024</t>
        </is>
      </c>
      <c r="B1768" s="1" t="n">
        <v>45503</v>
      </c>
      <c r="C1768" s="1" t="n">
        <v>45742</v>
      </c>
      <c r="D1768" t="inlineStr">
        <is>
          <t>GÄVLEBORGS LÄN</t>
        </is>
      </c>
      <c r="E1768" t="inlineStr">
        <is>
          <t>HUDIKSVALL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31444-2024</t>
        </is>
      </c>
      <c r="B1769" s="1" t="n">
        <v>45506</v>
      </c>
      <c r="C1769" s="1" t="n">
        <v>45742</v>
      </c>
      <c r="D1769" t="inlineStr">
        <is>
          <t>GÄVLEBORGS LÄN</t>
        </is>
      </c>
      <c r="E1769" t="inlineStr">
        <is>
          <t>HUDIKSVALL</t>
        </is>
      </c>
      <c r="G1769" t="n">
        <v>9.199999999999999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31443-2024</t>
        </is>
      </c>
      <c r="B1770" s="1" t="n">
        <v>45506</v>
      </c>
      <c r="C1770" s="1" t="n">
        <v>45742</v>
      </c>
      <c r="D1770" t="inlineStr">
        <is>
          <t>GÄVLEBORGS LÄN</t>
        </is>
      </c>
      <c r="E1770" t="inlineStr">
        <is>
          <t>HUDIKSVALL</t>
        </is>
      </c>
      <c r="G1770" t="n">
        <v>11.9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31368-2024</t>
        </is>
      </c>
      <c r="B1771" s="1" t="n">
        <v>45505</v>
      </c>
      <c r="C1771" s="1" t="n">
        <v>45742</v>
      </c>
      <c r="D1771" t="inlineStr">
        <is>
          <t>GÄVLEBORGS LÄN</t>
        </is>
      </c>
      <c r="E1771" t="inlineStr">
        <is>
          <t>HUDIKSVALL</t>
        </is>
      </c>
      <c r="G1771" t="n">
        <v>7.4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31691-2024</t>
        </is>
      </c>
      <c r="B1772" s="1" t="n">
        <v>45507</v>
      </c>
      <c r="C1772" s="1" t="n">
        <v>45742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31707-2024</t>
        </is>
      </c>
      <c r="B1773" s="1" t="n">
        <v>45509</v>
      </c>
      <c r="C1773" s="1" t="n">
        <v>45742</v>
      </c>
      <c r="D1773" t="inlineStr">
        <is>
          <t>GÄVLEBORGS LÄN</t>
        </is>
      </c>
      <c r="E1773" t="inlineStr">
        <is>
          <t>HUDIKSVALL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31787-2024</t>
        </is>
      </c>
      <c r="B1774" s="1" t="n">
        <v>45509</v>
      </c>
      <c r="C1774" s="1" t="n">
        <v>45742</v>
      </c>
      <c r="D1774" t="inlineStr">
        <is>
          <t>GÄVLEBORGS LÄN</t>
        </is>
      </c>
      <c r="E1774" t="inlineStr">
        <is>
          <t>HUDIKSVALL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31788-2024</t>
        </is>
      </c>
      <c r="B1775" s="1" t="n">
        <v>45509</v>
      </c>
      <c r="C1775" s="1" t="n">
        <v>45742</v>
      </c>
      <c r="D1775" t="inlineStr">
        <is>
          <t>GÄVLEBORGS LÄN</t>
        </is>
      </c>
      <c r="E1775" t="inlineStr">
        <is>
          <t>HUDIKSVALL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31875-2024</t>
        </is>
      </c>
      <c r="B1776" s="1" t="n">
        <v>45510</v>
      </c>
      <c r="C1776" s="1" t="n">
        <v>45742</v>
      </c>
      <c r="D1776" t="inlineStr">
        <is>
          <t>GÄVLEBORGS LÄN</t>
        </is>
      </c>
      <c r="E1776" t="inlineStr">
        <is>
          <t>HUDIKSVALL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31906-2024</t>
        </is>
      </c>
      <c r="B1777" s="1" t="n">
        <v>45509</v>
      </c>
      <c r="C1777" s="1" t="n">
        <v>45742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32036-2024</t>
        </is>
      </c>
      <c r="B1778" s="1" t="n">
        <v>45510</v>
      </c>
      <c r="C1778" s="1" t="n">
        <v>45742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32017-2024</t>
        </is>
      </c>
      <c r="B1779" s="1" t="n">
        <v>45510</v>
      </c>
      <c r="C1779" s="1" t="n">
        <v>45742</v>
      </c>
      <c r="D1779" t="inlineStr">
        <is>
          <t>GÄVLEBORGS LÄN</t>
        </is>
      </c>
      <c r="E1779" t="inlineStr">
        <is>
          <t>HUDIKSVALL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32005-2024</t>
        </is>
      </c>
      <c r="B1780" s="1" t="n">
        <v>45510</v>
      </c>
      <c r="C1780" s="1" t="n">
        <v>45742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Kommuner</t>
        </is>
      </c>
      <c r="G1780" t="n">
        <v>3.5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32001-2024</t>
        </is>
      </c>
      <c r="B1781" s="1" t="n">
        <v>45510</v>
      </c>
      <c r="C1781" s="1" t="n">
        <v>45742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Kommuner</t>
        </is>
      </c>
      <c r="G1781" t="n">
        <v>5.7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31948-2024</t>
        </is>
      </c>
      <c r="B1782" s="1" t="n">
        <v>45510</v>
      </c>
      <c r="C1782" s="1" t="n">
        <v>45742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8.9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32007-2024</t>
        </is>
      </c>
      <c r="B1783" s="1" t="n">
        <v>45510</v>
      </c>
      <c r="C1783" s="1" t="n">
        <v>45742</v>
      </c>
      <c r="D1783" t="inlineStr">
        <is>
          <t>GÄVLEBORGS LÄN</t>
        </is>
      </c>
      <c r="E1783" t="inlineStr">
        <is>
          <t>HUDIKSVALL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32018-2024</t>
        </is>
      </c>
      <c r="B1784" s="1" t="n">
        <v>45510</v>
      </c>
      <c r="C1784" s="1" t="n">
        <v>45742</v>
      </c>
      <c r="D1784" t="inlineStr">
        <is>
          <t>GÄVLEBORGS LÄN</t>
        </is>
      </c>
      <c r="E1784" t="inlineStr">
        <is>
          <t>HUDIKSVALL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32111-2024</t>
        </is>
      </c>
      <c r="B1785" s="1" t="n">
        <v>45511</v>
      </c>
      <c r="C1785" s="1" t="n">
        <v>45742</v>
      </c>
      <c r="D1785" t="inlineStr">
        <is>
          <t>GÄVLEBORGS LÄN</t>
        </is>
      </c>
      <c r="E1785" t="inlineStr">
        <is>
          <t>HUDIKSVALL</t>
        </is>
      </c>
      <c r="G1785" t="n">
        <v>13.4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32109-2024</t>
        </is>
      </c>
      <c r="B1786" s="1" t="n">
        <v>45511</v>
      </c>
      <c r="C1786" s="1" t="n">
        <v>45742</v>
      </c>
      <c r="D1786" t="inlineStr">
        <is>
          <t>GÄVLEBORGS LÄN</t>
        </is>
      </c>
      <c r="E1786" t="inlineStr">
        <is>
          <t>HUDIKSVALL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32278-2024</t>
        </is>
      </c>
      <c r="B1787" s="1" t="n">
        <v>45512</v>
      </c>
      <c r="C1787" s="1" t="n">
        <v>45742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7.4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32308-2024</t>
        </is>
      </c>
      <c r="B1788" s="1" t="n">
        <v>45512</v>
      </c>
      <c r="C1788" s="1" t="n">
        <v>45742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32414-2024</t>
        </is>
      </c>
      <c r="B1789" s="1" t="n">
        <v>45512</v>
      </c>
      <c r="C1789" s="1" t="n">
        <v>45742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32353-2024</t>
        </is>
      </c>
      <c r="B1790" s="1" t="n">
        <v>45512</v>
      </c>
      <c r="C1790" s="1" t="n">
        <v>45742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32402-2024</t>
        </is>
      </c>
      <c r="B1791" s="1" t="n">
        <v>45512</v>
      </c>
      <c r="C1791" s="1" t="n">
        <v>45742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32342-2024</t>
        </is>
      </c>
      <c r="B1792" s="1" t="n">
        <v>45512</v>
      </c>
      <c r="C1792" s="1" t="n">
        <v>45742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32412-2024</t>
        </is>
      </c>
      <c r="B1793" s="1" t="n">
        <v>45512</v>
      </c>
      <c r="C1793" s="1" t="n">
        <v>45742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32376-2024</t>
        </is>
      </c>
      <c r="B1794" s="1" t="n">
        <v>45512</v>
      </c>
      <c r="C1794" s="1" t="n">
        <v>45742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32631-2024</t>
        </is>
      </c>
      <c r="B1795" s="1" t="n">
        <v>45513</v>
      </c>
      <c r="C1795" s="1" t="n">
        <v>45742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32508-2024</t>
        </is>
      </c>
      <c r="B1796" s="1" t="n">
        <v>45513</v>
      </c>
      <c r="C1796" s="1" t="n">
        <v>45742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32632-2024</t>
        </is>
      </c>
      <c r="B1797" s="1" t="n">
        <v>45513</v>
      </c>
      <c r="C1797" s="1" t="n">
        <v>45742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6.6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32630-2024</t>
        </is>
      </c>
      <c r="B1798" s="1" t="n">
        <v>45513</v>
      </c>
      <c r="C1798" s="1" t="n">
        <v>45742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32737-2024</t>
        </is>
      </c>
      <c r="B1799" s="1" t="n">
        <v>45516</v>
      </c>
      <c r="C1799" s="1" t="n">
        <v>45742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32710-2024</t>
        </is>
      </c>
      <c r="B1800" s="1" t="n">
        <v>45516</v>
      </c>
      <c r="C1800" s="1" t="n">
        <v>45742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33086-2024</t>
        </is>
      </c>
      <c r="B1801" s="1" t="n">
        <v>45517</v>
      </c>
      <c r="C1801" s="1" t="n">
        <v>45742</v>
      </c>
      <c r="D1801" t="inlineStr">
        <is>
          <t>GÄVLEBORGS LÄN</t>
        </is>
      </c>
      <c r="E1801" t="inlineStr">
        <is>
          <t>HUDIKSVALL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32945-2024</t>
        </is>
      </c>
      <c r="B1802" s="1" t="n">
        <v>45517</v>
      </c>
      <c r="C1802" s="1" t="n">
        <v>45742</v>
      </c>
      <c r="D1802" t="inlineStr">
        <is>
          <t>GÄVLEBORGS LÄN</t>
        </is>
      </c>
      <c r="E1802" t="inlineStr">
        <is>
          <t>HUDIKSVALL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32959-2024</t>
        </is>
      </c>
      <c r="B1803" s="1" t="n">
        <v>45517</v>
      </c>
      <c r="C1803" s="1" t="n">
        <v>45742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33137-2024</t>
        </is>
      </c>
      <c r="B1804" s="1" t="n">
        <v>45518</v>
      </c>
      <c r="C1804" s="1" t="n">
        <v>45742</v>
      </c>
      <c r="D1804" t="inlineStr">
        <is>
          <t>GÄVLEBORGS LÄN</t>
        </is>
      </c>
      <c r="E1804" t="inlineStr">
        <is>
          <t>HUDIKSVALL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33453-2024</t>
        </is>
      </c>
      <c r="B1805" s="1" t="n">
        <v>45519</v>
      </c>
      <c r="C1805" s="1" t="n">
        <v>45742</v>
      </c>
      <c r="D1805" t="inlineStr">
        <is>
          <t>GÄVLEBORGS LÄN</t>
        </is>
      </c>
      <c r="E1805" t="inlineStr">
        <is>
          <t>HUDIKSVALL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33515-2024</t>
        </is>
      </c>
      <c r="B1806" s="1" t="n">
        <v>45519</v>
      </c>
      <c r="C1806" s="1" t="n">
        <v>45742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33456-2024</t>
        </is>
      </c>
      <c r="B1807" s="1" t="n">
        <v>45519</v>
      </c>
      <c r="C1807" s="1" t="n">
        <v>45742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33464-2024</t>
        </is>
      </c>
      <c r="B1808" s="1" t="n">
        <v>45519</v>
      </c>
      <c r="C1808" s="1" t="n">
        <v>45742</v>
      </c>
      <c r="D1808" t="inlineStr">
        <is>
          <t>GÄVLEBORGS LÄN</t>
        </is>
      </c>
      <c r="E1808" t="inlineStr">
        <is>
          <t>HUDIKSVALL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33610-2024</t>
        </is>
      </c>
      <c r="B1809" s="1" t="n">
        <v>45520</v>
      </c>
      <c r="C1809" s="1" t="n">
        <v>45742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33588-2024</t>
        </is>
      </c>
      <c r="B1810" s="1" t="n">
        <v>45520</v>
      </c>
      <c r="C1810" s="1" t="n">
        <v>45742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33587-2024</t>
        </is>
      </c>
      <c r="B1811" s="1" t="n">
        <v>45520</v>
      </c>
      <c r="C1811" s="1" t="n">
        <v>45742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33968-2024</t>
        </is>
      </c>
      <c r="B1812" s="1" t="n">
        <v>45523</v>
      </c>
      <c r="C1812" s="1" t="n">
        <v>45742</v>
      </c>
      <c r="D1812" t="inlineStr">
        <is>
          <t>GÄVLEBORGS LÄN</t>
        </is>
      </c>
      <c r="E1812" t="inlineStr">
        <is>
          <t>HUDIKSVALL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34128-2024</t>
        </is>
      </c>
      <c r="B1813" s="1" t="n">
        <v>45524</v>
      </c>
      <c r="C1813" s="1" t="n">
        <v>45742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34293-2024</t>
        </is>
      </c>
      <c r="B1814" s="1" t="n">
        <v>45524</v>
      </c>
      <c r="C1814" s="1" t="n">
        <v>45742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34284-2024</t>
        </is>
      </c>
      <c r="B1815" s="1" t="n">
        <v>45524</v>
      </c>
      <c r="C1815" s="1" t="n">
        <v>45742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34478-2024</t>
        </is>
      </c>
      <c r="B1816" s="1" t="n">
        <v>45525</v>
      </c>
      <c r="C1816" s="1" t="n">
        <v>45742</v>
      </c>
      <c r="D1816" t="inlineStr">
        <is>
          <t>GÄVLEBORGS LÄN</t>
        </is>
      </c>
      <c r="E1816" t="inlineStr">
        <is>
          <t>HUDIKSVALL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34511-2024</t>
        </is>
      </c>
      <c r="B1817" s="1" t="n">
        <v>45525</v>
      </c>
      <c r="C1817" s="1" t="n">
        <v>45742</v>
      </c>
      <c r="D1817" t="inlineStr">
        <is>
          <t>GÄVLEBORGS LÄN</t>
        </is>
      </c>
      <c r="E1817" t="inlineStr">
        <is>
          <t>HUDIKSVALL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34703-2024</t>
        </is>
      </c>
      <c r="B1818" s="1" t="n">
        <v>45526</v>
      </c>
      <c r="C1818" s="1" t="n">
        <v>45742</v>
      </c>
      <c r="D1818" t="inlineStr">
        <is>
          <t>GÄVLEBORGS LÄN</t>
        </is>
      </c>
      <c r="E1818" t="inlineStr">
        <is>
          <t>HUDIKSVALL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34620-2024</t>
        </is>
      </c>
      <c r="B1819" s="1" t="n">
        <v>45526</v>
      </c>
      <c r="C1819" s="1" t="n">
        <v>45742</v>
      </c>
      <c r="D1819" t="inlineStr">
        <is>
          <t>GÄVLEBORGS LÄN</t>
        </is>
      </c>
      <c r="E1819" t="inlineStr">
        <is>
          <t>HUDIKSVALL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35000-2024</t>
        </is>
      </c>
      <c r="B1820" s="1" t="n">
        <v>45527</v>
      </c>
      <c r="C1820" s="1" t="n">
        <v>45742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35071-2024</t>
        </is>
      </c>
      <c r="B1821" s="1" t="n">
        <v>45527</v>
      </c>
      <c r="C1821" s="1" t="n">
        <v>45742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34982-2024</t>
        </is>
      </c>
      <c r="B1822" s="1" t="n">
        <v>45527</v>
      </c>
      <c r="C1822" s="1" t="n">
        <v>45742</v>
      </c>
      <c r="D1822" t="inlineStr">
        <is>
          <t>GÄVLEBORGS LÄN</t>
        </is>
      </c>
      <c r="E1822" t="inlineStr">
        <is>
          <t>HUDIKSVALL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34920-2024</t>
        </is>
      </c>
      <c r="B1823" s="1" t="n">
        <v>45527</v>
      </c>
      <c r="C1823" s="1" t="n">
        <v>45742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35026-2024</t>
        </is>
      </c>
      <c r="B1824" s="1" t="n">
        <v>45527</v>
      </c>
      <c r="C1824" s="1" t="n">
        <v>45742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34889-2024</t>
        </is>
      </c>
      <c r="B1825" s="1" t="n">
        <v>45527</v>
      </c>
      <c r="C1825" s="1" t="n">
        <v>45742</v>
      </c>
      <c r="D1825" t="inlineStr">
        <is>
          <t>GÄVLEBORGS LÄN</t>
        </is>
      </c>
      <c r="E1825" t="inlineStr">
        <is>
          <t>HUDIKSVALL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34873-2024</t>
        </is>
      </c>
      <c r="B1826" s="1" t="n">
        <v>45527</v>
      </c>
      <c r="C1826" s="1" t="n">
        <v>45742</v>
      </c>
      <c r="D1826" t="inlineStr">
        <is>
          <t>GÄVLEBORGS LÄN</t>
        </is>
      </c>
      <c r="E1826" t="inlineStr">
        <is>
          <t>HUDIKSVALL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35061-2024</t>
        </is>
      </c>
      <c r="B1827" s="1" t="n">
        <v>45527</v>
      </c>
      <c r="C1827" s="1" t="n">
        <v>45742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35081-2024</t>
        </is>
      </c>
      <c r="B1828" s="1" t="n">
        <v>45527</v>
      </c>
      <c r="C1828" s="1" t="n">
        <v>45742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34983-2024</t>
        </is>
      </c>
      <c r="B1829" s="1" t="n">
        <v>45527</v>
      </c>
      <c r="C1829" s="1" t="n">
        <v>45742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34947-2024</t>
        </is>
      </c>
      <c r="B1830" s="1" t="n">
        <v>45527</v>
      </c>
      <c r="C1830" s="1" t="n">
        <v>45742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34899-2024</t>
        </is>
      </c>
      <c r="B1831" s="1" t="n">
        <v>45527</v>
      </c>
      <c r="C1831" s="1" t="n">
        <v>45742</v>
      </c>
      <c r="D1831" t="inlineStr">
        <is>
          <t>GÄVLEBORGS LÄN</t>
        </is>
      </c>
      <c r="E1831" t="inlineStr">
        <is>
          <t>HUDIKSVALL</t>
        </is>
      </c>
      <c r="G1831" t="n">
        <v>15.3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35201-2024</t>
        </is>
      </c>
      <c r="B1832" s="1" t="n">
        <v>45530</v>
      </c>
      <c r="C1832" s="1" t="n">
        <v>45742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7.3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35285-2024</t>
        </is>
      </c>
      <c r="B1833" s="1" t="n">
        <v>45530</v>
      </c>
      <c r="C1833" s="1" t="n">
        <v>45742</v>
      </c>
      <c r="D1833" t="inlineStr">
        <is>
          <t>GÄVLEBORGS LÄN</t>
        </is>
      </c>
      <c r="E1833" t="inlineStr">
        <is>
          <t>HUDIKSVALL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35143-2024</t>
        </is>
      </c>
      <c r="B1834" s="1" t="n">
        <v>45530</v>
      </c>
      <c r="C1834" s="1" t="n">
        <v>45742</v>
      </c>
      <c r="D1834" t="inlineStr">
        <is>
          <t>GÄVLEBORGS LÄN</t>
        </is>
      </c>
      <c r="E1834" t="inlineStr">
        <is>
          <t>HUDIKSVALL</t>
        </is>
      </c>
      <c r="G1834" t="n">
        <v>4.2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35332-2024</t>
        </is>
      </c>
      <c r="B1835" s="1" t="n">
        <v>45530</v>
      </c>
      <c r="C1835" s="1" t="n">
        <v>45742</v>
      </c>
      <c r="D1835" t="inlineStr">
        <is>
          <t>GÄVLEBORGS LÄN</t>
        </is>
      </c>
      <c r="E1835" t="inlineStr">
        <is>
          <t>HUDIKSVALL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35247-2024</t>
        </is>
      </c>
      <c r="B1836" s="1" t="n">
        <v>45530</v>
      </c>
      <c r="C1836" s="1" t="n">
        <v>45742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35274-2024</t>
        </is>
      </c>
      <c r="B1837" s="1" t="n">
        <v>45530</v>
      </c>
      <c r="C1837" s="1" t="n">
        <v>45742</v>
      </c>
      <c r="D1837" t="inlineStr">
        <is>
          <t>GÄVLEBORGS LÄN</t>
        </is>
      </c>
      <c r="E1837" t="inlineStr">
        <is>
          <t>HUDIKSVALL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35302-2024</t>
        </is>
      </c>
      <c r="B1838" s="1" t="n">
        <v>45530</v>
      </c>
      <c r="C1838" s="1" t="n">
        <v>45742</v>
      </c>
      <c r="D1838" t="inlineStr">
        <is>
          <t>GÄVLEBORGS LÄN</t>
        </is>
      </c>
      <c r="E1838" t="inlineStr">
        <is>
          <t>HUDIKSVALL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35805-2024</t>
        </is>
      </c>
      <c r="B1839" s="1" t="n">
        <v>45532</v>
      </c>
      <c r="C1839" s="1" t="n">
        <v>45742</v>
      </c>
      <c r="D1839" t="inlineStr">
        <is>
          <t>GÄVLEBORGS LÄN</t>
        </is>
      </c>
      <c r="E1839" t="inlineStr">
        <is>
          <t>HUDIKSVALL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35863-2024</t>
        </is>
      </c>
      <c r="B1840" s="1" t="n">
        <v>45533</v>
      </c>
      <c r="C1840" s="1" t="n">
        <v>45742</v>
      </c>
      <c r="D1840" t="inlineStr">
        <is>
          <t>GÄVLEBORGS LÄN</t>
        </is>
      </c>
      <c r="E1840" t="inlineStr">
        <is>
          <t>HUDIKSVALL</t>
        </is>
      </c>
      <c r="G1840" t="n">
        <v>5.8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35879-2024</t>
        </is>
      </c>
      <c r="B1841" s="1" t="n">
        <v>45533</v>
      </c>
      <c r="C1841" s="1" t="n">
        <v>45742</v>
      </c>
      <c r="D1841" t="inlineStr">
        <is>
          <t>GÄVLEBORGS LÄN</t>
        </is>
      </c>
      <c r="E1841" t="inlineStr">
        <is>
          <t>HUDIKSVALL</t>
        </is>
      </c>
      <c r="G1841" t="n">
        <v>3.8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35962-2024</t>
        </is>
      </c>
      <c r="B1842" s="1" t="n">
        <v>45533</v>
      </c>
      <c r="C1842" s="1" t="n">
        <v>45742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36082-2024</t>
        </is>
      </c>
      <c r="B1843" s="1" t="n">
        <v>45533</v>
      </c>
      <c r="C1843" s="1" t="n">
        <v>45742</v>
      </c>
      <c r="D1843" t="inlineStr">
        <is>
          <t>GÄVLEBORGS LÄN</t>
        </is>
      </c>
      <c r="E1843" t="inlineStr">
        <is>
          <t>HUDIKSVALL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36086-2024</t>
        </is>
      </c>
      <c r="B1844" s="1" t="n">
        <v>45533</v>
      </c>
      <c r="C1844" s="1" t="n">
        <v>45742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35987-2024</t>
        </is>
      </c>
      <c r="B1845" s="1" t="n">
        <v>45533</v>
      </c>
      <c r="C1845" s="1" t="n">
        <v>45742</v>
      </c>
      <c r="D1845" t="inlineStr">
        <is>
          <t>GÄVLEBORGS LÄN</t>
        </is>
      </c>
      <c r="E1845" t="inlineStr">
        <is>
          <t>HUDIKSVALL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35985-2024</t>
        </is>
      </c>
      <c r="B1846" s="1" t="n">
        <v>45533</v>
      </c>
      <c r="C1846" s="1" t="n">
        <v>45742</v>
      </c>
      <c r="D1846" t="inlineStr">
        <is>
          <t>GÄVLEBORGS LÄN</t>
        </is>
      </c>
      <c r="E1846" t="inlineStr">
        <is>
          <t>HUDIKSVALL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35964-2024</t>
        </is>
      </c>
      <c r="B1847" s="1" t="n">
        <v>45533</v>
      </c>
      <c r="C1847" s="1" t="n">
        <v>45742</v>
      </c>
      <c r="D1847" t="inlineStr">
        <is>
          <t>GÄVLEBORGS LÄN</t>
        </is>
      </c>
      <c r="E1847" t="inlineStr">
        <is>
          <t>HUDIKSVALL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35988-2024</t>
        </is>
      </c>
      <c r="B1848" s="1" t="n">
        <v>45533</v>
      </c>
      <c r="C1848" s="1" t="n">
        <v>45742</v>
      </c>
      <c r="D1848" t="inlineStr">
        <is>
          <t>GÄVLEBORGS LÄN</t>
        </is>
      </c>
      <c r="E1848" t="inlineStr">
        <is>
          <t>HUDIKSVALL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36012-2024</t>
        </is>
      </c>
      <c r="B1849" s="1" t="n">
        <v>45533</v>
      </c>
      <c r="C1849" s="1" t="n">
        <v>45742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36036-2024</t>
        </is>
      </c>
      <c r="B1850" s="1" t="n">
        <v>45533</v>
      </c>
      <c r="C1850" s="1" t="n">
        <v>45742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36084-2024</t>
        </is>
      </c>
      <c r="B1851" s="1" t="n">
        <v>45533</v>
      </c>
      <c r="C1851" s="1" t="n">
        <v>45742</v>
      </c>
      <c r="D1851" t="inlineStr">
        <is>
          <t>GÄVLEBORGS LÄN</t>
        </is>
      </c>
      <c r="E1851" t="inlineStr">
        <is>
          <t>HUDIKSVALL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36081-2024</t>
        </is>
      </c>
      <c r="B1852" s="1" t="n">
        <v>45533</v>
      </c>
      <c r="C1852" s="1" t="n">
        <v>45742</v>
      </c>
      <c r="D1852" t="inlineStr">
        <is>
          <t>GÄVLEBORGS LÄN</t>
        </is>
      </c>
      <c r="E1852" t="inlineStr">
        <is>
          <t>HUDIKSVALL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36121-2024</t>
        </is>
      </c>
      <c r="B1853" s="1" t="n">
        <v>45534</v>
      </c>
      <c r="C1853" s="1" t="n">
        <v>45742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36199-2024</t>
        </is>
      </c>
      <c r="B1854" s="1" t="n">
        <v>45534</v>
      </c>
      <c r="C1854" s="1" t="n">
        <v>45742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36138-2024</t>
        </is>
      </c>
      <c r="B1855" s="1" t="n">
        <v>45534</v>
      </c>
      <c r="C1855" s="1" t="n">
        <v>45742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36330-2024</t>
        </is>
      </c>
      <c r="B1856" s="1" t="n">
        <v>45534</v>
      </c>
      <c r="C1856" s="1" t="n">
        <v>45742</v>
      </c>
      <c r="D1856" t="inlineStr">
        <is>
          <t>GÄVLEBORGS LÄN</t>
        </is>
      </c>
      <c r="E1856" t="inlineStr">
        <is>
          <t>HUDIKSVALL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36405-2024</t>
        </is>
      </c>
      <c r="B1857" s="1" t="n">
        <v>45535</v>
      </c>
      <c r="C1857" s="1" t="n">
        <v>45742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16.8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36407-2024</t>
        </is>
      </c>
      <c r="B1858" s="1" t="n">
        <v>45535</v>
      </c>
      <c r="C1858" s="1" t="n">
        <v>45742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7.7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36408-2024</t>
        </is>
      </c>
      <c r="B1859" s="1" t="n">
        <v>45535</v>
      </c>
      <c r="C1859" s="1" t="n">
        <v>45742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36829-2024</t>
        </is>
      </c>
      <c r="B1860" s="1" t="n">
        <v>45538</v>
      </c>
      <c r="C1860" s="1" t="n">
        <v>45742</v>
      </c>
      <c r="D1860" t="inlineStr">
        <is>
          <t>GÄVLEBORGS LÄN</t>
        </is>
      </c>
      <c r="E1860" t="inlineStr">
        <is>
          <t>HUDIKSVALL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36947-2024</t>
        </is>
      </c>
      <c r="B1861" s="1" t="n">
        <v>45538</v>
      </c>
      <c r="C1861" s="1" t="n">
        <v>45742</v>
      </c>
      <c r="D1861" t="inlineStr">
        <is>
          <t>GÄVLEBORGS LÄN</t>
        </is>
      </c>
      <c r="E1861" t="inlineStr">
        <is>
          <t>HUDIKSVALL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37369-2024</t>
        </is>
      </c>
      <c r="B1862" s="1" t="n">
        <v>45540</v>
      </c>
      <c r="C1862" s="1" t="n">
        <v>45742</v>
      </c>
      <c r="D1862" t="inlineStr">
        <is>
          <t>GÄVLEBORGS LÄN</t>
        </is>
      </c>
      <c r="E1862" t="inlineStr">
        <is>
          <t>HUDIKSVALL</t>
        </is>
      </c>
      <c r="G1862" t="n">
        <v>4.6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37495-2024</t>
        </is>
      </c>
      <c r="B1863" s="1" t="n">
        <v>45541</v>
      </c>
      <c r="C1863" s="1" t="n">
        <v>45742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5.8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37700-2024</t>
        </is>
      </c>
      <c r="B1864" s="1" t="n">
        <v>45541</v>
      </c>
      <c r="C1864" s="1" t="n">
        <v>45742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37689-2024</t>
        </is>
      </c>
      <c r="B1865" s="1" t="n">
        <v>45541</v>
      </c>
      <c r="C1865" s="1" t="n">
        <v>45742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37541-2024</t>
        </is>
      </c>
      <c r="B1866" s="1" t="n">
        <v>45541</v>
      </c>
      <c r="C1866" s="1" t="n">
        <v>45742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Naturvårdsverket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37693-2024</t>
        </is>
      </c>
      <c r="B1867" s="1" t="n">
        <v>45541</v>
      </c>
      <c r="C1867" s="1" t="n">
        <v>45742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37697-2024</t>
        </is>
      </c>
      <c r="B1868" s="1" t="n">
        <v>45541</v>
      </c>
      <c r="C1868" s="1" t="n">
        <v>45742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Kommuner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37778-2024</t>
        </is>
      </c>
      <c r="B1869" s="1" t="n">
        <v>45542</v>
      </c>
      <c r="C1869" s="1" t="n">
        <v>45742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38022-2024</t>
        </is>
      </c>
      <c r="B1870" s="1" t="n">
        <v>45544</v>
      </c>
      <c r="C1870" s="1" t="n">
        <v>45742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38142-2024</t>
        </is>
      </c>
      <c r="B1871" s="1" t="n">
        <v>45545</v>
      </c>
      <c r="C1871" s="1" t="n">
        <v>45742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38167-2024</t>
        </is>
      </c>
      <c r="B1872" s="1" t="n">
        <v>45545</v>
      </c>
      <c r="C1872" s="1" t="n">
        <v>45742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38220-2024</t>
        </is>
      </c>
      <c r="B1873" s="1" t="n">
        <v>45545</v>
      </c>
      <c r="C1873" s="1" t="n">
        <v>45742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38201-2024</t>
        </is>
      </c>
      <c r="B1874" s="1" t="n">
        <v>45545</v>
      </c>
      <c r="C1874" s="1" t="n">
        <v>45742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38295-2024</t>
        </is>
      </c>
      <c r="B1875" s="1" t="n">
        <v>45545</v>
      </c>
      <c r="C1875" s="1" t="n">
        <v>45742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Holmen skog AB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38320-2024</t>
        </is>
      </c>
      <c r="B1876" s="1" t="n">
        <v>45545</v>
      </c>
      <c r="C1876" s="1" t="n">
        <v>45742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38578-2024</t>
        </is>
      </c>
      <c r="B1877" s="1" t="n">
        <v>45546</v>
      </c>
      <c r="C1877" s="1" t="n">
        <v>45742</v>
      </c>
      <c r="D1877" t="inlineStr">
        <is>
          <t>GÄVLEBORGS LÄN</t>
        </is>
      </c>
      <c r="E1877" t="inlineStr">
        <is>
          <t>HUDIKSVALL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38585-2024</t>
        </is>
      </c>
      <c r="B1878" s="1" t="n">
        <v>45546</v>
      </c>
      <c r="C1878" s="1" t="n">
        <v>45742</v>
      </c>
      <c r="D1878" t="inlineStr">
        <is>
          <t>GÄVLEBORGS LÄN</t>
        </is>
      </c>
      <c r="E1878" t="inlineStr">
        <is>
          <t>HUDIKSVALL</t>
        </is>
      </c>
      <c r="G1878" t="n">
        <v>8.699999999999999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38702-2024</t>
        </is>
      </c>
      <c r="B1879" s="1" t="n">
        <v>45547</v>
      </c>
      <c r="C1879" s="1" t="n">
        <v>45742</v>
      </c>
      <c r="D1879" t="inlineStr">
        <is>
          <t>GÄVLEBORGS LÄN</t>
        </is>
      </c>
      <c r="E1879" t="inlineStr">
        <is>
          <t>HUDIKSVALL</t>
        </is>
      </c>
      <c r="G1879" t="n">
        <v>9.4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38687-2024</t>
        </is>
      </c>
      <c r="B1880" s="1" t="n">
        <v>45547</v>
      </c>
      <c r="C1880" s="1" t="n">
        <v>45742</v>
      </c>
      <c r="D1880" t="inlineStr">
        <is>
          <t>GÄVLEBORGS LÄN</t>
        </is>
      </c>
      <c r="E1880" t="inlineStr">
        <is>
          <t>HUDIKSVALL</t>
        </is>
      </c>
      <c r="G1880" t="n">
        <v>8.9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38701-2024</t>
        </is>
      </c>
      <c r="B1881" s="1" t="n">
        <v>45547</v>
      </c>
      <c r="C1881" s="1" t="n">
        <v>45742</v>
      </c>
      <c r="D1881" t="inlineStr">
        <is>
          <t>GÄVLEBORGS LÄN</t>
        </is>
      </c>
      <c r="E1881" t="inlineStr">
        <is>
          <t>HUDIKSVALL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38732-2024</t>
        </is>
      </c>
      <c r="B1882" s="1" t="n">
        <v>45547</v>
      </c>
      <c r="C1882" s="1" t="n">
        <v>45742</v>
      </c>
      <c r="D1882" t="inlineStr">
        <is>
          <t>GÄVLEBORGS LÄN</t>
        </is>
      </c>
      <c r="E1882" t="inlineStr">
        <is>
          <t>HUDIKSVALL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38703-2024</t>
        </is>
      </c>
      <c r="B1883" s="1" t="n">
        <v>45547</v>
      </c>
      <c r="C1883" s="1" t="n">
        <v>45742</v>
      </c>
      <c r="D1883" t="inlineStr">
        <is>
          <t>GÄVLEBORGS LÄN</t>
        </is>
      </c>
      <c r="E1883" t="inlineStr">
        <is>
          <t>HUDIKSVALL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38755-2024</t>
        </is>
      </c>
      <c r="B1884" s="1" t="n">
        <v>45547</v>
      </c>
      <c r="C1884" s="1" t="n">
        <v>45742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38826-2024</t>
        </is>
      </c>
      <c r="B1885" s="1" t="n">
        <v>45547</v>
      </c>
      <c r="C1885" s="1" t="n">
        <v>45742</v>
      </c>
      <c r="D1885" t="inlineStr">
        <is>
          <t>GÄVLEBORGS LÄN</t>
        </is>
      </c>
      <c r="E1885" t="inlineStr">
        <is>
          <t>HUDIKSVALL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38950-2024</t>
        </is>
      </c>
      <c r="B1886" s="1" t="n">
        <v>45548</v>
      </c>
      <c r="C1886" s="1" t="n">
        <v>45742</v>
      </c>
      <c r="D1886" t="inlineStr">
        <is>
          <t>GÄVLEBORGS LÄN</t>
        </is>
      </c>
      <c r="E1886" t="inlineStr">
        <is>
          <t>HUDIKSVALL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38981-2024</t>
        </is>
      </c>
      <c r="B1887" s="1" t="n">
        <v>45548</v>
      </c>
      <c r="C1887" s="1" t="n">
        <v>45742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39051-2024</t>
        </is>
      </c>
      <c r="B1888" s="1" t="n">
        <v>45548</v>
      </c>
      <c r="C1888" s="1" t="n">
        <v>45742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39026-2024</t>
        </is>
      </c>
      <c r="B1889" s="1" t="n">
        <v>45548</v>
      </c>
      <c r="C1889" s="1" t="n">
        <v>45742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Naturvårdsverket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39078-2024</t>
        </is>
      </c>
      <c r="B1890" s="1" t="n">
        <v>45548</v>
      </c>
      <c r="C1890" s="1" t="n">
        <v>45742</v>
      </c>
      <c r="D1890" t="inlineStr">
        <is>
          <t>GÄVLEBORGS LÄN</t>
        </is>
      </c>
      <c r="E1890" t="inlineStr">
        <is>
          <t>HUDIKSVALL</t>
        </is>
      </c>
      <c r="F1890" t="inlineStr">
        <is>
          <t>Holmen skog AB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39275-2024</t>
        </is>
      </c>
      <c r="B1891" s="1" t="n">
        <v>45551</v>
      </c>
      <c r="C1891" s="1" t="n">
        <v>45742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39440-2024</t>
        </is>
      </c>
      <c r="B1892" s="1" t="n">
        <v>45551</v>
      </c>
      <c r="C1892" s="1" t="n">
        <v>45742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40096-2024</t>
        </is>
      </c>
      <c r="B1893" s="1" t="n">
        <v>45554</v>
      </c>
      <c r="C1893" s="1" t="n">
        <v>45742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40102-2024</t>
        </is>
      </c>
      <c r="B1894" s="1" t="n">
        <v>45554</v>
      </c>
      <c r="C1894" s="1" t="n">
        <v>45742</v>
      </c>
      <c r="D1894" t="inlineStr">
        <is>
          <t>GÄVLEBORGS LÄN</t>
        </is>
      </c>
      <c r="E1894" t="inlineStr">
        <is>
          <t>HUDIKSVALL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40321-2024</t>
        </is>
      </c>
      <c r="B1895" s="1" t="n">
        <v>45554</v>
      </c>
      <c r="C1895" s="1" t="n">
        <v>45742</v>
      </c>
      <c r="D1895" t="inlineStr">
        <is>
          <t>GÄVLEBORGS LÄN</t>
        </is>
      </c>
      <c r="E1895" t="inlineStr">
        <is>
          <t>HUDIKSVALL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40073-2024</t>
        </is>
      </c>
      <c r="B1896" s="1" t="n">
        <v>45554</v>
      </c>
      <c r="C1896" s="1" t="n">
        <v>45742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40177-2024</t>
        </is>
      </c>
      <c r="B1897" s="1" t="n">
        <v>45554</v>
      </c>
      <c r="C1897" s="1" t="n">
        <v>45742</v>
      </c>
      <c r="D1897" t="inlineStr">
        <is>
          <t>GÄVLEBORGS LÄN</t>
        </is>
      </c>
      <c r="E1897" t="inlineStr">
        <is>
          <t>HUDIKSVALL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40364-2024</t>
        </is>
      </c>
      <c r="B1898" s="1" t="n">
        <v>45555</v>
      </c>
      <c r="C1898" s="1" t="n">
        <v>45742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40332-2024</t>
        </is>
      </c>
      <c r="B1899" s="1" t="n">
        <v>45555</v>
      </c>
      <c r="C1899" s="1" t="n">
        <v>45742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40723-2024</t>
        </is>
      </c>
      <c r="B1900" s="1" t="n">
        <v>45558</v>
      </c>
      <c r="C1900" s="1" t="n">
        <v>45742</v>
      </c>
      <c r="D1900" t="inlineStr">
        <is>
          <t>GÄVLEBORGS LÄN</t>
        </is>
      </c>
      <c r="E1900" t="inlineStr">
        <is>
          <t>HUDIKSVALL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41191-2024</t>
        </is>
      </c>
      <c r="B1901" s="1" t="n">
        <v>45559</v>
      </c>
      <c r="C1901" s="1" t="n">
        <v>45742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15.7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41168-2024</t>
        </is>
      </c>
      <c r="B1902" s="1" t="n">
        <v>45559</v>
      </c>
      <c r="C1902" s="1" t="n">
        <v>45742</v>
      </c>
      <c r="D1902" t="inlineStr">
        <is>
          <t>GÄVLEBORGS LÄN</t>
        </is>
      </c>
      <c r="E1902" t="inlineStr">
        <is>
          <t>HUDIKSVALL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41230-2024</t>
        </is>
      </c>
      <c r="B1903" s="1" t="n">
        <v>45559</v>
      </c>
      <c r="C1903" s="1" t="n">
        <v>45742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5.9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41249-2024</t>
        </is>
      </c>
      <c r="B1904" s="1" t="n">
        <v>45559</v>
      </c>
      <c r="C1904" s="1" t="n">
        <v>45742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16.3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41254-2024</t>
        </is>
      </c>
      <c r="B1905" s="1" t="n">
        <v>45559</v>
      </c>
      <c r="C1905" s="1" t="n">
        <v>45742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6.4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41258-2024</t>
        </is>
      </c>
      <c r="B1906" s="1" t="n">
        <v>45559</v>
      </c>
      <c r="C1906" s="1" t="n">
        <v>45742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8.4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41521-2024</t>
        </is>
      </c>
      <c r="B1907" s="1" t="n">
        <v>45560</v>
      </c>
      <c r="C1907" s="1" t="n">
        <v>45742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41535-2024</t>
        </is>
      </c>
      <c r="B1908" s="1" t="n">
        <v>45560</v>
      </c>
      <c r="C1908" s="1" t="n">
        <v>45742</v>
      </c>
      <c r="D1908" t="inlineStr">
        <is>
          <t>GÄVLEBORGS LÄN</t>
        </is>
      </c>
      <c r="E1908" t="inlineStr">
        <is>
          <t>HUDIKSVALL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41555-2024</t>
        </is>
      </c>
      <c r="B1909" s="1" t="n">
        <v>45560</v>
      </c>
      <c r="C1909" s="1" t="n">
        <v>45742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41839-2024</t>
        </is>
      </c>
      <c r="B1910" s="1" t="n">
        <v>45561</v>
      </c>
      <c r="C1910" s="1" t="n">
        <v>45742</v>
      </c>
      <c r="D1910" t="inlineStr">
        <is>
          <t>GÄVLEBORGS LÄN</t>
        </is>
      </c>
      <c r="E1910" t="inlineStr">
        <is>
          <t>HUDIKSVALL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41750-2024</t>
        </is>
      </c>
      <c r="B1911" s="1" t="n">
        <v>45561</v>
      </c>
      <c r="C1911" s="1" t="n">
        <v>45742</v>
      </c>
      <c r="D1911" t="inlineStr">
        <is>
          <t>GÄVLEBORGS LÄN</t>
        </is>
      </c>
      <c r="E1911" t="inlineStr">
        <is>
          <t>HUDIKSVALL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41857-2024</t>
        </is>
      </c>
      <c r="B1912" s="1" t="n">
        <v>45561</v>
      </c>
      <c r="C1912" s="1" t="n">
        <v>45742</v>
      </c>
      <c r="D1912" t="inlineStr">
        <is>
          <t>GÄVLEBORGS LÄN</t>
        </is>
      </c>
      <c r="E1912" t="inlineStr">
        <is>
          <t>HUDIKSVALL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42136-2024</t>
        </is>
      </c>
      <c r="B1913" s="1" t="n">
        <v>45562</v>
      </c>
      <c r="C1913" s="1" t="n">
        <v>45742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42144-2024</t>
        </is>
      </c>
      <c r="B1914" s="1" t="n">
        <v>45562</v>
      </c>
      <c r="C1914" s="1" t="n">
        <v>45742</v>
      </c>
      <c r="D1914" t="inlineStr">
        <is>
          <t>GÄVLEBORGS LÄN</t>
        </is>
      </c>
      <c r="E1914" t="inlineStr">
        <is>
          <t>HUDIKSVALL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42217-2024</t>
        </is>
      </c>
      <c r="B1915" s="1" t="n">
        <v>45562</v>
      </c>
      <c r="C1915" s="1" t="n">
        <v>45742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42101-2024</t>
        </is>
      </c>
      <c r="B1916" s="1" t="n">
        <v>45562</v>
      </c>
      <c r="C1916" s="1" t="n">
        <v>45742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42314-2024</t>
        </is>
      </c>
      <c r="B1917" s="1" t="n">
        <v>45562</v>
      </c>
      <c r="C1917" s="1" t="n">
        <v>45742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42521-2024</t>
        </is>
      </c>
      <c r="B1918" s="1" t="n">
        <v>45565</v>
      </c>
      <c r="C1918" s="1" t="n">
        <v>45742</v>
      </c>
      <c r="D1918" t="inlineStr">
        <is>
          <t>GÄVLEBORGS LÄN</t>
        </is>
      </c>
      <c r="E1918" t="inlineStr">
        <is>
          <t>HUDIKSVALL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42518-2024</t>
        </is>
      </c>
      <c r="B1919" s="1" t="n">
        <v>45565</v>
      </c>
      <c r="C1919" s="1" t="n">
        <v>45742</v>
      </c>
      <c r="D1919" t="inlineStr">
        <is>
          <t>GÄVLEBORGS LÄN</t>
        </is>
      </c>
      <c r="E1919" t="inlineStr">
        <is>
          <t>HUDIKSVALL</t>
        </is>
      </c>
      <c r="G1919" t="n">
        <v>5.8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42509-2024</t>
        </is>
      </c>
      <c r="B1920" s="1" t="n">
        <v>45565</v>
      </c>
      <c r="C1920" s="1" t="n">
        <v>45742</v>
      </c>
      <c r="D1920" t="inlineStr">
        <is>
          <t>GÄVLEBORGS LÄN</t>
        </is>
      </c>
      <c r="E1920" t="inlineStr">
        <is>
          <t>HUDIKSVALL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42629-2024</t>
        </is>
      </c>
      <c r="B1921" s="1" t="n">
        <v>45565</v>
      </c>
      <c r="C1921" s="1" t="n">
        <v>45742</v>
      </c>
      <c r="D1921" t="inlineStr">
        <is>
          <t>GÄVLEBORGS LÄN</t>
        </is>
      </c>
      <c r="E1921" t="inlineStr">
        <is>
          <t>HUDIKSVALL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42708-2024</t>
        </is>
      </c>
      <c r="B1922" s="1" t="n">
        <v>45566</v>
      </c>
      <c r="C1922" s="1" t="n">
        <v>45742</v>
      </c>
      <c r="D1922" t="inlineStr">
        <is>
          <t>GÄVLEBORGS LÄN</t>
        </is>
      </c>
      <c r="E1922" t="inlineStr">
        <is>
          <t>HUDIKSVALL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42692-2024</t>
        </is>
      </c>
      <c r="B1923" s="1" t="n">
        <v>45566</v>
      </c>
      <c r="C1923" s="1" t="n">
        <v>45742</v>
      </c>
      <c r="D1923" t="inlineStr">
        <is>
          <t>GÄVLEBORGS LÄN</t>
        </is>
      </c>
      <c r="E1923" t="inlineStr">
        <is>
          <t>HUDIKSVALL</t>
        </is>
      </c>
      <c r="G1923" t="n">
        <v>8.699999999999999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42659-2024</t>
        </is>
      </c>
      <c r="B1924" s="1" t="n">
        <v>45566</v>
      </c>
      <c r="C1924" s="1" t="n">
        <v>45742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10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42657-2024</t>
        </is>
      </c>
      <c r="B1925" s="1" t="n">
        <v>45566</v>
      </c>
      <c r="C1925" s="1" t="n">
        <v>45742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42687-2024</t>
        </is>
      </c>
      <c r="B1926" s="1" t="n">
        <v>45566</v>
      </c>
      <c r="C1926" s="1" t="n">
        <v>45742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43070-2024</t>
        </is>
      </c>
      <c r="B1927" s="1" t="n">
        <v>45567</v>
      </c>
      <c r="C1927" s="1" t="n">
        <v>45742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43216-2024</t>
        </is>
      </c>
      <c r="B1928" s="1" t="n">
        <v>45567</v>
      </c>
      <c r="C1928" s="1" t="n">
        <v>45742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22.4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42942-2024</t>
        </is>
      </c>
      <c r="B1929" s="1" t="n">
        <v>45567</v>
      </c>
      <c r="C1929" s="1" t="n">
        <v>45742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5.4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43438-2024</t>
        </is>
      </c>
      <c r="B1930" s="1" t="n">
        <v>45568</v>
      </c>
      <c r="C1930" s="1" t="n">
        <v>45742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3.9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43644-2024</t>
        </is>
      </c>
      <c r="B1931" s="1" t="n">
        <v>45569</v>
      </c>
      <c r="C1931" s="1" t="n">
        <v>45742</v>
      </c>
      <c r="D1931" t="inlineStr">
        <is>
          <t>GÄVLEBORGS LÄN</t>
        </is>
      </c>
      <c r="E1931" t="inlineStr">
        <is>
          <t>HUDIKSVALL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43625-2024</t>
        </is>
      </c>
      <c r="B1932" s="1" t="n">
        <v>45569</v>
      </c>
      <c r="C1932" s="1" t="n">
        <v>45742</v>
      </c>
      <c r="D1932" t="inlineStr">
        <is>
          <t>GÄVLEBORGS LÄN</t>
        </is>
      </c>
      <c r="E1932" t="inlineStr">
        <is>
          <t>HUDIKSVALL</t>
        </is>
      </c>
      <c r="G1932" t="n">
        <v>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43646-2024</t>
        </is>
      </c>
      <c r="B1933" s="1" t="n">
        <v>45569</v>
      </c>
      <c r="C1933" s="1" t="n">
        <v>45742</v>
      </c>
      <c r="D1933" t="inlineStr">
        <is>
          <t>GÄVLEBORGS LÄN</t>
        </is>
      </c>
      <c r="E1933" t="inlineStr">
        <is>
          <t>HUDIKSVALL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43598-2024</t>
        </is>
      </c>
      <c r="B1934" s="1" t="n">
        <v>45569</v>
      </c>
      <c r="C1934" s="1" t="n">
        <v>45742</v>
      </c>
      <c r="D1934" t="inlineStr">
        <is>
          <t>GÄVLEBORGS LÄN</t>
        </is>
      </c>
      <c r="E1934" t="inlineStr">
        <is>
          <t>HUDIKSVALL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43647-2024</t>
        </is>
      </c>
      <c r="B1935" s="1" t="n">
        <v>45569</v>
      </c>
      <c r="C1935" s="1" t="n">
        <v>45742</v>
      </c>
      <c r="D1935" t="inlineStr">
        <is>
          <t>GÄVLEBORGS LÄN</t>
        </is>
      </c>
      <c r="E1935" t="inlineStr">
        <is>
          <t>HUDIKSVALL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43629-2024</t>
        </is>
      </c>
      <c r="B1936" s="1" t="n">
        <v>45569</v>
      </c>
      <c r="C1936" s="1" t="n">
        <v>45742</v>
      </c>
      <c r="D1936" t="inlineStr">
        <is>
          <t>GÄVLEBORGS LÄN</t>
        </is>
      </c>
      <c r="E1936" t="inlineStr">
        <is>
          <t>HUDIKSVALL</t>
        </is>
      </c>
      <c r="G1936" t="n">
        <v>3.8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43501-2024</t>
        </is>
      </c>
      <c r="B1937" s="1" t="n">
        <v>45569</v>
      </c>
      <c r="C1937" s="1" t="n">
        <v>45742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43665-2024</t>
        </is>
      </c>
      <c r="B1938" s="1" t="n">
        <v>45569</v>
      </c>
      <c r="C1938" s="1" t="n">
        <v>45742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Kommuner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44053-2024</t>
        </is>
      </c>
      <c r="B1939" s="1" t="n">
        <v>45572</v>
      </c>
      <c r="C1939" s="1" t="n">
        <v>45742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44037-2024</t>
        </is>
      </c>
      <c r="B1940" s="1" t="n">
        <v>45572</v>
      </c>
      <c r="C1940" s="1" t="n">
        <v>45742</v>
      </c>
      <c r="D1940" t="inlineStr">
        <is>
          <t>GÄVLEBORGS LÄN</t>
        </is>
      </c>
      <c r="E1940" t="inlineStr">
        <is>
          <t>HUDIKSVALL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44231-2024</t>
        </is>
      </c>
      <c r="B1941" s="1" t="n">
        <v>45573</v>
      </c>
      <c r="C1941" s="1" t="n">
        <v>45742</v>
      </c>
      <c r="D1941" t="inlineStr">
        <is>
          <t>GÄVLEBORGS LÄN</t>
        </is>
      </c>
      <c r="E1941" t="inlineStr">
        <is>
          <t>HUDIKSVALL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44229-2024</t>
        </is>
      </c>
      <c r="B1942" s="1" t="n">
        <v>45573</v>
      </c>
      <c r="C1942" s="1" t="n">
        <v>45742</v>
      </c>
      <c r="D1942" t="inlineStr">
        <is>
          <t>GÄVLEBORGS LÄN</t>
        </is>
      </c>
      <c r="E1942" t="inlineStr">
        <is>
          <t>HUDIKSVALL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44234-2024</t>
        </is>
      </c>
      <c r="B1943" s="1" t="n">
        <v>45573</v>
      </c>
      <c r="C1943" s="1" t="n">
        <v>45742</v>
      </c>
      <c r="D1943" t="inlineStr">
        <is>
          <t>GÄVLEBORGS LÄN</t>
        </is>
      </c>
      <c r="E1943" t="inlineStr">
        <is>
          <t>HUDIKSVALL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44227-2024</t>
        </is>
      </c>
      <c r="B1944" s="1" t="n">
        <v>45573</v>
      </c>
      <c r="C1944" s="1" t="n">
        <v>45742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44277-2024</t>
        </is>
      </c>
      <c r="B1945" s="1" t="n">
        <v>45573</v>
      </c>
      <c r="C1945" s="1" t="n">
        <v>45742</v>
      </c>
      <c r="D1945" t="inlineStr">
        <is>
          <t>GÄVLEBORGS LÄN</t>
        </is>
      </c>
      <c r="E1945" t="inlineStr">
        <is>
          <t>HUDIKSVALL</t>
        </is>
      </c>
      <c r="G1945" t="n">
        <v>5.6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44463-2024</t>
        </is>
      </c>
      <c r="B1946" s="1" t="n">
        <v>45574</v>
      </c>
      <c r="C1946" s="1" t="n">
        <v>45742</v>
      </c>
      <c r="D1946" t="inlineStr">
        <is>
          <t>GÄVLEBORGS LÄN</t>
        </is>
      </c>
      <c r="E1946" t="inlineStr">
        <is>
          <t>HUDIKSVALL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44496-2024</t>
        </is>
      </c>
      <c r="B1947" s="1" t="n">
        <v>45574</v>
      </c>
      <c r="C1947" s="1" t="n">
        <v>45742</v>
      </c>
      <c r="D1947" t="inlineStr">
        <is>
          <t>GÄVLEBORGS LÄN</t>
        </is>
      </c>
      <c r="E1947" t="inlineStr">
        <is>
          <t>HUDIKSVALL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44549-2024</t>
        </is>
      </c>
      <c r="B1948" s="1" t="n">
        <v>45574</v>
      </c>
      <c r="C1948" s="1" t="n">
        <v>45742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44497-2024</t>
        </is>
      </c>
      <c r="B1949" s="1" t="n">
        <v>45574</v>
      </c>
      <c r="C1949" s="1" t="n">
        <v>45742</v>
      </c>
      <c r="D1949" t="inlineStr">
        <is>
          <t>GÄVLEBORGS LÄN</t>
        </is>
      </c>
      <c r="E1949" t="inlineStr">
        <is>
          <t>HUDIKSVALL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44688-2024</t>
        </is>
      </c>
      <c r="B1950" s="1" t="n">
        <v>45574</v>
      </c>
      <c r="C1950" s="1" t="n">
        <v>45742</v>
      </c>
      <c r="D1950" t="inlineStr">
        <is>
          <t>GÄVLEBORGS LÄN</t>
        </is>
      </c>
      <c r="E1950" t="inlineStr">
        <is>
          <t>HUDIKSVALL</t>
        </is>
      </c>
      <c r="G1950" t="n">
        <v>66.59999999999999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44720-2024</t>
        </is>
      </c>
      <c r="B1951" s="1" t="n">
        <v>45574</v>
      </c>
      <c r="C1951" s="1" t="n">
        <v>45742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9.1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44736-2024</t>
        </is>
      </c>
      <c r="B1952" s="1" t="n">
        <v>45574</v>
      </c>
      <c r="C1952" s="1" t="n">
        <v>45742</v>
      </c>
      <c r="D1952" t="inlineStr">
        <is>
          <t>GÄVLEBORGS LÄN</t>
        </is>
      </c>
      <c r="E1952" t="inlineStr">
        <is>
          <t>HUDIKSVALL</t>
        </is>
      </c>
      <c r="G1952" t="n">
        <v>43.7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44749-2024</t>
        </is>
      </c>
      <c r="B1953" s="1" t="n">
        <v>45574</v>
      </c>
      <c r="C1953" s="1" t="n">
        <v>45742</v>
      </c>
      <c r="D1953" t="inlineStr">
        <is>
          <t>GÄVLEBORGS LÄN</t>
        </is>
      </c>
      <c r="E1953" t="inlineStr">
        <is>
          <t>HUDIKSVALL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44687-2024</t>
        </is>
      </c>
      <c r="B1954" s="1" t="n">
        <v>45574</v>
      </c>
      <c r="C1954" s="1" t="n">
        <v>45742</v>
      </c>
      <c r="D1954" t="inlineStr">
        <is>
          <t>GÄVLEBORGS LÄN</t>
        </is>
      </c>
      <c r="E1954" t="inlineStr">
        <is>
          <t>HUDIKSVALL</t>
        </is>
      </c>
      <c r="G1954" t="n">
        <v>17.3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44813-2024</t>
        </is>
      </c>
      <c r="B1955" s="1" t="n">
        <v>45574</v>
      </c>
      <c r="C1955" s="1" t="n">
        <v>45742</v>
      </c>
      <c r="D1955" t="inlineStr">
        <is>
          <t>GÄVLEBORGS LÄN</t>
        </is>
      </c>
      <c r="E1955" t="inlineStr">
        <is>
          <t>HUDIKSVALL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45181-2024</t>
        </is>
      </c>
      <c r="B1956" s="1" t="n">
        <v>45575</v>
      </c>
      <c r="C1956" s="1" t="n">
        <v>45742</v>
      </c>
      <c r="D1956" t="inlineStr">
        <is>
          <t>GÄVLEBORGS LÄN</t>
        </is>
      </c>
      <c r="E1956" t="inlineStr">
        <is>
          <t>HUDIKSVALL</t>
        </is>
      </c>
      <c r="F1956" t="inlineStr">
        <is>
          <t>Holmen skog AB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45179-2024</t>
        </is>
      </c>
      <c r="B1957" s="1" t="n">
        <v>45575</v>
      </c>
      <c r="C1957" s="1" t="n">
        <v>45742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45380-2024</t>
        </is>
      </c>
      <c r="B1958" s="1" t="n">
        <v>45576</v>
      </c>
      <c r="C1958" s="1" t="n">
        <v>45742</v>
      </c>
      <c r="D1958" t="inlineStr">
        <is>
          <t>GÄVLEBORGS LÄN</t>
        </is>
      </c>
      <c r="E1958" t="inlineStr">
        <is>
          <t>HUDIKSVALL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45563-2024</t>
        </is>
      </c>
      <c r="B1959" s="1" t="n">
        <v>45579</v>
      </c>
      <c r="C1959" s="1" t="n">
        <v>45742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45775-2024</t>
        </is>
      </c>
      <c r="B1960" s="1" t="n">
        <v>45579</v>
      </c>
      <c r="C1960" s="1" t="n">
        <v>45742</v>
      </c>
      <c r="D1960" t="inlineStr">
        <is>
          <t>GÄVLEBORGS LÄN</t>
        </is>
      </c>
      <c r="E1960" t="inlineStr">
        <is>
          <t>HUDIKSVALL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45555-2024</t>
        </is>
      </c>
      <c r="B1961" s="1" t="n">
        <v>45579</v>
      </c>
      <c r="C1961" s="1" t="n">
        <v>45742</v>
      </c>
      <c r="D1961" t="inlineStr">
        <is>
          <t>GÄVLEBORGS LÄN</t>
        </is>
      </c>
      <c r="E1961" t="inlineStr">
        <is>
          <t>HUDIKSVALL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45772-2024</t>
        </is>
      </c>
      <c r="B1962" s="1" t="n">
        <v>45579</v>
      </c>
      <c r="C1962" s="1" t="n">
        <v>45742</v>
      </c>
      <c r="D1962" t="inlineStr">
        <is>
          <t>GÄVLEBORGS LÄN</t>
        </is>
      </c>
      <c r="E1962" t="inlineStr">
        <is>
          <t>HUDIKSVALL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45700-2024</t>
        </is>
      </c>
      <c r="B1963" s="1" t="n">
        <v>45579</v>
      </c>
      <c r="C1963" s="1" t="n">
        <v>45742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46207-2024</t>
        </is>
      </c>
      <c r="B1964" s="1" t="n">
        <v>45581</v>
      </c>
      <c r="C1964" s="1" t="n">
        <v>45742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46299-2024</t>
        </is>
      </c>
      <c r="B1965" s="1" t="n">
        <v>45581</v>
      </c>
      <c r="C1965" s="1" t="n">
        <v>45742</v>
      </c>
      <c r="D1965" t="inlineStr">
        <is>
          <t>GÄVLEBORGS LÄN</t>
        </is>
      </c>
      <c r="E1965" t="inlineStr">
        <is>
          <t>HUDIKSVALL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46438-2024</t>
        </is>
      </c>
      <c r="B1966" s="1" t="n">
        <v>45582</v>
      </c>
      <c r="C1966" s="1" t="n">
        <v>45742</v>
      </c>
      <c r="D1966" t="inlineStr">
        <is>
          <t>GÄVLEBORGS LÄN</t>
        </is>
      </c>
      <c r="E1966" t="inlineStr">
        <is>
          <t>HUDIKSVALL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46401-2024</t>
        </is>
      </c>
      <c r="B1967" s="1" t="n">
        <v>45582</v>
      </c>
      <c r="C1967" s="1" t="n">
        <v>45742</v>
      </c>
      <c r="D1967" t="inlineStr">
        <is>
          <t>GÄVLEBORGS LÄN</t>
        </is>
      </c>
      <c r="E1967" t="inlineStr">
        <is>
          <t>HUDIKSVALL</t>
        </is>
      </c>
      <c r="G1967" t="n">
        <v>12.2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46341-2024</t>
        </is>
      </c>
      <c r="B1968" s="1" t="n">
        <v>45582</v>
      </c>
      <c r="C1968" s="1" t="n">
        <v>45742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46590-2024</t>
        </is>
      </c>
      <c r="B1969" s="1" t="n">
        <v>45582</v>
      </c>
      <c r="C1969" s="1" t="n">
        <v>45742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46598-2024</t>
        </is>
      </c>
      <c r="B1970" s="1" t="n">
        <v>45582</v>
      </c>
      <c r="C1970" s="1" t="n">
        <v>45742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46372-2024</t>
        </is>
      </c>
      <c r="B1971" s="1" t="n">
        <v>45582</v>
      </c>
      <c r="C1971" s="1" t="n">
        <v>45742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46593-2024</t>
        </is>
      </c>
      <c r="B1972" s="1" t="n">
        <v>45582</v>
      </c>
      <c r="C1972" s="1" t="n">
        <v>45742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5.3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46667-2024</t>
        </is>
      </c>
      <c r="B1973" s="1" t="n">
        <v>45583</v>
      </c>
      <c r="C1973" s="1" t="n">
        <v>45742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46828-2024</t>
        </is>
      </c>
      <c r="B1974" s="1" t="n">
        <v>45583</v>
      </c>
      <c r="C1974" s="1" t="n">
        <v>45742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19.1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46695-2024</t>
        </is>
      </c>
      <c r="B1975" s="1" t="n">
        <v>45583</v>
      </c>
      <c r="C1975" s="1" t="n">
        <v>45742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46783-2024</t>
        </is>
      </c>
      <c r="B1976" s="1" t="n">
        <v>45583</v>
      </c>
      <c r="C1976" s="1" t="n">
        <v>45742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46827-2024</t>
        </is>
      </c>
      <c r="B1977" s="1" t="n">
        <v>45583</v>
      </c>
      <c r="C1977" s="1" t="n">
        <v>45742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Sveaskog</t>
        </is>
      </c>
      <c r="G1977" t="n">
        <v>5.9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47149-2024</t>
        </is>
      </c>
      <c r="B1978" s="1" t="n">
        <v>45586</v>
      </c>
      <c r="C1978" s="1" t="n">
        <v>45742</v>
      </c>
      <c r="D1978" t="inlineStr">
        <is>
          <t>GÄVLEBORGS LÄN</t>
        </is>
      </c>
      <c r="E1978" t="inlineStr">
        <is>
          <t>HUDIKSVALL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47116-2024</t>
        </is>
      </c>
      <c r="B1979" s="1" t="n">
        <v>45586</v>
      </c>
      <c r="C1979" s="1" t="n">
        <v>45742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47249-2024</t>
        </is>
      </c>
      <c r="B1980" s="1" t="n">
        <v>45586</v>
      </c>
      <c r="C1980" s="1" t="n">
        <v>45742</v>
      </c>
      <c r="D1980" t="inlineStr">
        <is>
          <t>GÄVLEBORGS LÄN</t>
        </is>
      </c>
      <c r="E1980" t="inlineStr">
        <is>
          <t>HUDIKSVALL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47152-2024</t>
        </is>
      </c>
      <c r="B1981" s="1" t="n">
        <v>45586</v>
      </c>
      <c r="C1981" s="1" t="n">
        <v>45742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47059-2024</t>
        </is>
      </c>
      <c r="B1982" s="1" t="n">
        <v>45586</v>
      </c>
      <c r="C1982" s="1" t="n">
        <v>45742</v>
      </c>
      <c r="D1982" t="inlineStr">
        <is>
          <t>GÄVLEBORGS LÄN</t>
        </is>
      </c>
      <c r="E1982" t="inlineStr">
        <is>
          <t>HUDIKSVALL</t>
        </is>
      </c>
      <c r="G1982" t="n">
        <v>18.2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47284-2024</t>
        </is>
      </c>
      <c r="B1983" s="1" t="n">
        <v>45587</v>
      </c>
      <c r="C1983" s="1" t="n">
        <v>45742</v>
      </c>
      <c r="D1983" t="inlineStr">
        <is>
          <t>GÄVLEBORGS LÄN</t>
        </is>
      </c>
      <c r="E1983" t="inlineStr">
        <is>
          <t>HUDIKSVALL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47377-2024</t>
        </is>
      </c>
      <c r="B1984" s="1" t="n">
        <v>45587</v>
      </c>
      <c r="C1984" s="1" t="n">
        <v>45742</v>
      </c>
      <c r="D1984" t="inlineStr">
        <is>
          <t>GÄVLEBORGS LÄN</t>
        </is>
      </c>
      <c r="E1984" t="inlineStr">
        <is>
          <t>HUDIKSVALL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47305-2024</t>
        </is>
      </c>
      <c r="B1985" s="1" t="n">
        <v>45587</v>
      </c>
      <c r="C1985" s="1" t="n">
        <v>45742</v>
      </c>
      <c r="D1985" t="inlineStr">
        <is>
          <t>GÄVLEBORGS LÄN</t>
        </is>
      </c>
      <c r="E1985" t="inlineStr">
        <is>
          <t>HUDIKSVALL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47299-2024</t>
        </is>
      </c>
      <c r="B1986" s="1" t="n">
        <v>45587</v>
      </c>
      <c r="C1986" s="1" t="n">
        <v>45742</v>
      </c>
      <c r="D1986" t="inlineStr">
        <is>
          <t>GÄVLEBORGS LÄN</t>
        </is>
      </c>
      <c r="E1986" t="inlineStr">
        <is>
          <t>HUDIKSVALL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47314-2024</t>
        </is>
      </c>
      <c r="B1987" s="1" t="n">
        <v>45587</v>
      </c>
      <c r="C1987" s="1" t="n">
        <v>45742</v>
      </c>
      <c r="D1987" t="inlineStr">
        <is>
          <t>GÄVLEBORGS LÄN</t>
        </is>
      </c>
      <c r="E1987" t="inlineStr">
        <is>
          <t>HUDIKSVALL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47695-2024</t>
        </is>
      </c>
      <c r="B1988" s="1" t="n">
        <v>45588</v>
      </c>
      <c r="C1988" s="1" t="n">
        <v>45742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47688-2024</t>
        </is>
      </c>
      <c r="B1989" s="1" t="n">
        <v>45588</v>
      </c>
      <c r="C1989" s="1" t="n">
        <v>45742</v>
      </c>
      <c r="D1989" t="inlineStr">
        <is>
          <t>GÄVLEBORGS LÄN</t>
        </is>
      </c>
      <c r="E1989" t="inlineStr">
        <is>
          <t>HUDIKSVALL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47700-2024</t>
        </is>
      </c>
      <c r="B1990" s="1" t="n">
        <v>45588</v>
      </c>
      <c r="C1990" s="1" t="n">
        <v>45742</v>
      </c>
      <c r="D1990" t="inlineStr">
        <is>
          <t>GÄVLEBORGS LÄN</t>
        </is>
      </c>
      <c r="E1990" t="inlineStr">
        <is>
          <t>HUDIKSVALL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47975-2024</t>
        </is>
      </c>
      <c r="B1991" s="1" t="n">
        <v>45589</v>
      </c>
      <c r="C1991" s="1" t="n">
        <v>45742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47995-2024</t>
        </is>
      </c>
      <c r="B1992" s="1" t="n">
        <v>45589</v>
      </c>
      <c r="C1992" s="1" t="n">
        <v>45742</v>
      </c>
      <c r="D1992" t="inlineStr">
        <is>
          <t>GÄVLEBORGS LÄN</t>
        </is>
      </c>
      <c r="E1992" t="inlineStr">
        <is>
          <t>HUDIKSVALL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47986-2024</t>
        </is>
      </c>
      <c r="B1993" s="1" t="n">
        <v>45589</v>
      </c>
      <c r="C1993" s="1" t="n">
        <v>45742</v>
      </c>
      <c r="D1993" t="inlineStr">
        <is>
          <t>GÄVLEBORGS LÄN</t>
        </is>
      </c>
      <c r="E1993" t="inlineStr">
        <is>
          <t>HUDIKSVALL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47943-2024</t>
        </is>
      </c>
      <c r="B1994" s="1" t="n">
        <v>45589</v>
      </c>
      <c r="C1994" s="1" t="n">
        <v>45742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48279-2024</t>
        </is>
      </c>
      <c r="B1995" s="1" t="n">
        <v>45590</v>
      </c>
      <c r="C1995" s="1" t="n">
        <v>45742</v>
      </c>
      <c r="D1995" t="inlineStr">
        <is>
          <t>GÄVLEBORGS LÄN</t>
        </is>
      </c>
      <c r="E1995" t="inlineStr">
        <is>
          <t>HUDIKSVALL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48367-2024</t>
        </is>
      </c>
      <c r="B1996" s="1" t="n">
        <v>45590</v>
      </c>
      <c r="C1996" s="1" t="n">
        <v>45742</v>
      </c>
      <c r="D1996" t="inlineStr">
        <is>
          <t>GÄVLEBORGS LÄN</t>
        </is>
      </c>
      <c r="E1996" t="inlineStr">
        <is>
          <t>HUDIKSVALL</t>
        </is>
      </c>
      <c r="F1996" t="inlineStr">
        <is>
          <t>Holmen skog AB</t>
        </is>
      </c>
      <c r="G1996" t="n">
        <v>17.6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48593-2024</t>
        </is>
      </c>
      <c r="B1997" s="1" t="n">
        <v>45593</v>
      </c>
      <c r="C1997" s="1" t="n">
        <v>45742</v>
      </c>
      <c r="D1997" t="inlineStr">
        <is>
          <t>GÄVLEBORGS LÄN</t>
        </is>
      </c>
      <c r="E1997" t="inlineStr">
        <is>
          <t>HUDIKSVALL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48597-2024</t>
        </is>
      </c>
      <c r="B1998" s="1" t="n">
        <v>45593</v>
      </c>
      <c r="C1998" s="1" t="n">
        <v>45742</v>
      </c>
      <c r="D1998" t="inlineStr">
        <is>
          <t>GÄVLEBORGS LÄN</t>
        </is>
      </c>
      <c r="E1998" t="inlineStr">
        <is>
          <t>HUDIKSVALL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48645-2024</t>
        </is>
      </c>
      <c r="B1999" s="1" t="n">
        <v>45593</v>
      </c>
      <c r="C1999" s="1" t="n">
        <v>45742</v>
      </c>
      <c r="D1999" t="inlineStr">
        <is>
          <t>GÄVLEBORGS LÄN</t>
        </is>
      </c>
      <c r="E1999" t="inlineStr">
        <is>
          <t>HUDIKSVALL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48649-2024</t>
        </is>
      </c>
      <c r="B2000" s="1" t="n">
        <v>45593</v>
      </c>
      <c r="C2000" s="1" t="n">
        <v>45742</v>
      </c>
      <c r="D2000" t="inlineStr">
        <is>
          <t>GÄVLEBORGS LÄN</t>
        </is>
      </c>
      <c r="E2000" t="inlineStr">
        <is>
          <t>HUDIKSVALL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48638-2024</t>
        </is>
      </c>
      <c r="B2001" s="1" t="n">
        <v>45593</v>
      </c>
      <c r="C2001" s="1" t="n">
        <v>45742</v>
      </c>
      <c r="D2001" t="inlineStr">
        <is>
          <t>GÄVLEBORGS LÄN</t>
        </is>
      </c>
      <c r="E2001" t="inlineStr">
        <is>
          <t>HUDIKSVALL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48655-2024</t>
        </is>
      </c>
      <c r="B2002" s="1" t="n">
        <v>45593</v>
      </c>
      <c r="C2002" s="1" t="n">
        <v>45742</v>
      </c>
      <c r="D2002" t="inlineStr">
        <is>
          <t>GÄVLEBORGS LÄN</t>
        </is>
      </c>
      <c r="E2002" t="inlineStr">
        <is>
          <t>HUDIKSVALL</t>
        </is>
      </c>
      <c r="G2002" t="n">
        <v>4.7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48888-2024</t>
        </is>
      </c>
      <c r="B2003" s="1" t="n">
        <v>45594</v>
      </c>
      <c r="C2003" s="1" t="n">
        <v>45742</v>
      </c>
      <c r="D2003" t="inlineStr">
        <is>
          <t>GÄVLEBORGS LÄN</t>
        </is>
      </c>
      <c r="E2003" t="inlineStr">
        <is>
          <t>HUDIKSVALL</t>
        </is>
      </c>
      <c r="F2003" t="inlineStr">
        <is>
          <t>Holmen skog AB</t>
        </is>
      </c>
      <c r="G2003" t="n">
        <v>6.6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48906-2024</t>
        </is>
      </c>
      <c r="B2004" s="1" t="n">
        <v>45594</v>
      </c>
      <c r="C2004" s="1" t="n">
        <v>45742</v>
      </c>
      <c r="D2004" t="inlineStr">
        <is>
          <t>GÄVLEBORGS LÄN</t>
        </is>
      </c>
      <c r="E2004" t="inlineStr">
        <is>
          <t>HUDIKSVALL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49096-2024</t>
        </is>
      </c>
      <c r="B2005" s="1" t="n">
        <v>45594</v>
      </c>
      <c r="C2005" s="1" t="n">
        <v>45742</v>
      </c>
      <c r="D2005" t="inlineStr">
        <is>
          <t>GÄVLEBORGS LÄN</t>
        </is>
      </c>
      <c r="E2005" t="inlineStr">
        <is>
          <t>HUDIKSVALL</t>
        </is>
      </c>
      <c r="G2005" t="n">
        <v>5.2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49105-2024</t>
        </is>
      </c>
      <c r="B2006" s="1" t="n">
        <v>45594</v>
      </c>
      <c r="C2006" s="1" t="n">
        <v>45742</v>
      </c>
      <c r="D2006" t="inlineStr">
        <is>
          <t>GÄVLEBORGS LÄN</t>
        </is>
      </c>
      <c r="E2006" t="inlineStr">
        <is>
          <t>HUDIKSVALL</t>
        </is>
      </c>
      <c r="G2006" t="n">
        <v>25.3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49161-2024</t>
        </is>
      </c>
      <c r="B2007" s="1" t="n">
        <v>45594</v>
      </c>
      <c r="C2007" s="1" t="n">
        <v>45742</v>
      </c>
      <c r="D2007" t="inlineStr">
        <is>
          <t>GÄVLEBORGS LÄN</t>
        </is>
      </c>
      <c r="E2007" t="inlineStr">
        <is>
          <t>HUDIKSVALL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49272-2024</t>
        </is>
      </c>
      <c r="B2008" s="1" t="n">
        <v>45595</v>
      </c>
      <c r="C2008" s="1" t="n">
        <v>45742</v>
      </c>
      <c r="D2008" t="inlineStr">
        <is>
          <t>GÄVLEBORGS LÄN</t>
        </is>
      </c>
      <c r="E2008" t="inlineStr">
        <is>
          <t>HUDIKSVALL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49414-2024</t>
        </is>
      </c>
      <c r="B2009" s="1" t="n">
        <v>45595</v>
      </c>
      <c r="C2009" s="1" t="n">
        <v>45742</v>
      </c>
      <c r="D2009" t="inlineStr">
        <is>
          <t>GÄVLEBORGS LÄN</t>
        </is>
      </c>
      <c r="E2009" t="inlineStr">
        <is>
          <t>HUDIKSVALL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49252-2024</t>
        </is>
      </c>
      <c r="B2010" s="1" t="n">
        <v>45595</v>
      </c>
      <c r="C2010" s="1" t="n">
        <v>45742</v>
      </c>
      <c r="D2010" t="inlineStr">
        <is>
          <t>GÄVLEBORGS LÄN</t>
        </is>
      </c>
      <c r="E2010" t="inlineStr">
        <is>
          <t>HUDIKSVALL</t>
        </is>
      </c>
      <c r="F2010" t="inlineStr">
        <is>
          <t>Holmen skog AB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49352-2024</t>
        </is>
      </c>
      <c r="B2011" s="1" t="n">
        <v>45595</v>
      </c>
      <c r="C2011" s="1" t="n">
        <v>45742</v>
      </c>
      <c r="D2011" t="inlineStr">
        <is>
          <t>GÄVLEBORGS LÄN</t>
        </is>
      </c>
      <c r="E2011" t="inlineStr">
        <is>
          <t>HUDIKSVALL</t>
        </is>
      </c>
      <c r="G2011" t="n">
        <v>7.8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49821-2024</t>
        </is>
      </c>
      <c r="B2012" s="1" t="n">
        <v>45597</v>
      </c>
      <c r="C2012" s="1" t="n">
        <v>45742</v>
      </c>
      <c r="D2012" t="inlineStr">
        <is>
          <t>GÄVLEBORGS LÄN</t>
        </is>
      </c>
      <c r="E2012" t="inlineStr">
        <is>
          <t>HUDIKSVALL</t>
        </is>
      </c>
      <c r="G2012" t="n">
        <v>3.3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49828-2024</t>
        </is>
      </c>
      <c r="B2013" s="1" t="n">
        <v>45597</v>
      </c>
      <c r="C2013" s="1" t="n">
        <v>45742</v>
      </c>
      <c r="D2013" t="inlineStr">
        <is>
          <t>GÄVLEBORGS LÄN</t>
        </is>
      </c>
      <c r="E2013" t="inlineStr">
        <is>
          <t>HUDIKSVALL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50242-2024</t>
        </is>
      </c>
      <c r="B2014" s="1" t="n">
        <v>45600</v>
      </c>
      <c r="C2014" s="1" t="n">
        <v>45742</v>
      </c>
      <c r="D2014" t="inlineStr">
        <is>
          <t>GÄVLEBORGS LÄN</t>
        </is>
      </c>
      <c r="E2014" t="inlineStr">
        <is>
          <t>HUDIKSVALL</t>
        </is>
      </c>
      <c r="G2014" t="n">
        <v>3.9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50148-2024</t>
        </is>
      </c>
      <c r="B2015" s="1" t="n">
        <v>45600</v>
      </c>
      <c r="C2015" s="1" t="n">
        <v>45742</v>
      </c>
      <c r="D2015" t="inlineStr">
        <is>
          <t>GÄVLEBORGS LÄN</t>
        </is>
      </c>
      <c r="E2015" t="inlineStr">
        <is>
          <t>HUDIKSVALL</t>
        </is>
      </c>
      <c r="G2015" t="n">
        <v>8.4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50161-2024</t>
        </is>
      </c>
      <c r="B2016" s="1" t="n">
        <v>45600</v>
      </c>
      <c r="C2016" s="1" t="n">
        <v>45742</v>
      </c>
      <c r="D2016" t="inlineStr">
        <is>
          <t>GÄVLEBORGS LÄN</t>
        </is>
      </c>
      <c r="E2016" t="inlineStr">
        <is>
          <t>HUDIKSVALL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50200-2024</t>
        </is>
      </c>
      <c r="B2017" s="1" t="n">
        <v>45600</v>
      </c>
      <c r="C2017" s="1" t="n">
        <v>45742</v>
      </c>
      <c r="D2017" t="inlineStr">
        <is>
          <t>GÄVLEBORGS LÄN</t>
        </is>
      </c>
      <c r="E2017" t="inlineStr">
        <is>
          <t>HUDIKSVALL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50306-2024</t>
        </is>
      </c>
      <c r="B2018" s="1" t="n">
        <v>45600</v>
      </c>
      <c r="C2018" s="1" t="n">
        <v>45742</v>
      </c>
      <c r="D2018" t="inlineStr">
        <is>
          <t>GÄVLEBORGS LÄN</t>
        </is>
      </c>
      <c r="E2018" t="inlineStr">
        <is>
          <t>HUDIKSVALL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50501-2024</t>
        </is>
      </c>
      <c r="B2019" s="1" t="n">
        <v>45601</v>
      </c>
      <c r="C2019" s="1" t="n">
        <v>45742</v>
      </c>
      <c r="D2019" t="inlineStr">
        <is>
          <t>GÄVLEBORGS LÄN</t>
        </is>
      </c>
      <c r="E2019" t="inlineStr">
        <is>
          <t>HUDIKSVALL</t>
        </is>
      </c>
      <c r="G2019" t="n">
        <v>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50498-2024</t>
        </is>
      </c>
      <c r="B2020" s="1" t="n">
        <v>45601</v>
      </c>
      <c r="C2020" s="1" t="n">
        <v>45742</v>
      </c>
      <c r="D2020" t="inlineStr">
        <is>
          <t>GÄVLEBORGS LÄN</t>
        </is>
      </c>
      <c r="E2020" t="inlineStr">
        <is>
          <t>HUDIKSVALL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50790-2024</t>
        </is>
      </c>
      <c r="B2021" s="1" t="n">
        <v>45602</v>
      </c>
      <c r="C2021" s="1" t="n">
        <v>45742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51126-2024</t>
        </is>
      </c>
      <c r="B2022" s="1" t="n">
        <v>45603</v>
      </c>
      <c r="C2022" s="1" t="n">
        <v>45742</v>
      </c>
      <c r="D2022" t="inlineStr">
        <is>
          <t>GÄVLEBORGS LÄN</t>
        </is>
      </c>
      <c r="E2022" t="inlineStr">
        <is>
          <t>HUDIKSVALL</t>
        </is>
      </c>
      <c r="F2022" t="inlineStr">
        <is>
          <t>Holmen skog AB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51071-2024</t>
        </is>
      </c>
      <c r="B2023" s="1" t="n">
        <v>45603</v>
      </c>
      <c r="C2023" s="1" t="n">
        <v>45742</v>
      </c>
      <c r="D2023" t="inlineStr">
        <is>
          <t>GÄVLEBORGS LÄN</t>
        </is>
      </c>
      <c r="E2023" t="inlineStr">
        <is>
          <t>HUDIKSVALL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51072-2024</t>
        </is>
      </c>
      <c r="B2024" s="1" t="n">
        <v>45603</v>
      </c>
      <c r="C2024" s="1" t="n">
        <v>45742</v>
      </c>
      <c r="D2024" t="inlineStr">
        <is>
          <t>GÄVLEBORGS LÄN</t>
        </is>
      </c>
      <c r="E2024" t="inlineStr">
        <is>
          <t>HUDIKSVALL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51424-2024</t>
        </is>
      </c>
      <c r="B2025" s="1" t="n">
        <v>45604</v>
      </c>
      <c r="C2025" s="1" t="n">
        <v>45742</v>
      </c>
      <c r="D2025" t="inlineStr">
        <is>
          <t>GÄVLEBORGS LÄN</t>
        </is>
      </c>
      <c r="E2025" t="inlineStr">
        <is>
          <t>HUDIKSVALL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51430-2024</t>
        </is>
      </c>
      <c r="B2026" s="1" t="n">
        <v>45604</v>
      </c>
      <c r="C2026" s="1" t="n">
        <v>45742</v>
      </c>
      <c r="D2026" t="inlineStr">
        <is>
          <t>GÄVLEBORGS LÄN</t>
        </is>
      </c>
      <c r="E2026" t="inlineStr">
        <is>
          <t>HUDIKSVALL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51892-2024</t>
        </is>
      </c>
      <c r="B2027" s="1" t="n">
        <v>45607</v>
      </c>
      <c r="C2027" s="1" t="n">
        <v>45742</v>
      </c>
      <c r="D2027" t="inlineStr">
        <is>
          <t>GÄVLEBORGS LÄN</t>
        </is>
      </c>
      <c r="E2027" t="inlineStr">
        <is>
          <t>HUDIKSVALL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51916-2024</t>
        </is>
      </c>
      <c r="B2028" s="1" t="n">
        <v>45607</v>
      </c>
      <c r="C2028" s="1" t="n">
        <v>45742</v>
      </c>
      <c r="D2028" t="inlineStr">
        <is>
          <t>GÄVLEBORGS LÄN</t>
        </is>
      </c>
      <c r="E2028" t="inlineStr">
        <is>
          <t>HUDIKSVALL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52052-2024</t>
        </is>
      </c>
      <c r="B2029" s="1" t="n">
        <v>45608</v>
      </c>
      <c r="C2029" s="1" t="n">
        <v>45742</v>
      </c>
      <c r="D2029" t="inlineStr">
        <is>
          <t>GÄVLEBORGS LÄN</t>
        </is>
      </c>
      <c r="E2029" t="inlineStr">
        <is>
          <t>HUDIKSVALL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52210-2024</t>
        </is>
      </c>
      <c r="B2030" s="1" t="n">
        <v>45608</v>
      </c>
      <c r="C2030" s="1" t="n">
        <v>45742</v>
      </c>
      <c r="D2030" t="inlineStr">
        <is>
          <t>GÄVLEBORGS LÄN</t>
        </is>
      </c>
      <c r="E2030" t="inlineStr">
        <is>
          <t>HUDIKSVALL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52221-2024</t>
        </is>
      </c>
      <c r="B2031" s="1" t="n">
        <v>45608</v>
      </c>
      <c r="C2031" s="1" t="n">
        <v>45742</v>
      </c>
      <c r="D2031" t="inlineStr">
        <is>
          <t>GÄVLEBORGS LÄN</t>
        </is>
      </c>
      <c r="E2031" t="inlineStr">
        <is>
          <t>HUDIKSVALL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52656-2024</t>
        </is>
      </c>
      <c r="B2032" s="1" t="n">
        <v>45610</v>
      </c>
      <c r="C2032" s="1" t="n">
        <v>45742</v>
      </c>
      <c r="D2032" t="inlineStr">
        <is>
          <t>GÄVLEBORGS LÄN</t>
        </is>
      </c>
      <c r="E2032" t="inlineStr">
        <is>
          <t>HUDIKSVALL</t>
        </is>
      </c>
      <c r="G2032" t="n">
        <v>15.6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52651-2024</t>
        </is>
      </c>
      <c r="B2033" s="1" t="n">
        <v>45610</v>
      </c>
      <c r="C2033" s="1" t="n">
        <v>45742</v>
      </c>
      <c r="D2033" t="inlineStr">
        <is>
          <t>GÄVLEBORGS LÄN</t>
        </is>
      </c>
      <c r="E2033" t="inlineStr">
        <is>
          <t>HUDIKSVALL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52896-2024</t>
        </is>
      </c>
      <c r="B2034" s="1" t="n">
        <v>45610</v>
      </c>
      <c r="C2034" s="1" t="n">
        <v>45742</v>
      </c>
      <c r="D2034" t="inlineStr">
        <is>
          <t>GÄVLEBORGS LÄN</t>
        </is>
      </c>
      <c r="E2034" t="inlineStr">
        <is>
          <t>HUDIKSVALL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52670-2024</t>
        </is>
      </c>
      <c r="B2035" s="1" t="n">
        <v>45610</v>
      </c>
      <c r="C2035" s="1" t="n">
        <v>45742</v>
      </c>
      <c r="D2035" t="inlineStr">
        <is>
          <t>GÄVLEBORGS LÄN</t>
        </is>
      </c>
      <c r="E2035" t="inlineStr">
        <is>
          <t>HUDIKSVALL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45742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52986-2024</t>
        </is>
      </c>
      <c r="B2037" s="1" t="n">
        <v>45611</v>
      </c>
      <c r="C2037" s="1" t="n">
        <v>45742</v>
      </c>
      <c r="D2037" t="inlineStr">
        <is>
          <t>GÄVLEBORGS LÄN</t>
        </is>
      </c>
      <c r="E2037" t="inlineStr">
        <is>
          <t>HUDIKSVALL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52962-2024</t>
        </is>
      </c>
      <c r="B2038" s="1" t="n">
        <v>45611</v>
      </c>
      <c r="C2038" s="1" t="n">
        <v>45742</v>
      </c>
      <c r="D2038" t="inlineStr">
        <is>
          <t>GÄVLEBORGS LÄN</t>
        </is>
      </c>
      <c r="E2038" t="inlineStr">
        <is>
          <t>HUDIKSVALL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53015-2024</t>
        </is>
      </c>
      <c r="B2039" s="1" t="n">
        <v>45611</v>
      </c>
      <c r="C2039" s="1" t="n">
        <v>45742</v>
      </c>
      <c r="D2039" t="inlineStr">
        <is>
          <t>GÄVLEBORGS LÄN</t>
        </is>
      </c>
      <c r="E2039" t="inlineStr">
        <is>
          <t>HUDIKSVALL</t>
        </is>
      </c>
      <c r="G2039" t="n">
        <v>21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53622-2024</t>
        </is>
      </c>
      <c r="B2040" s="1" t="n">
        <v>45614</v>
      </c>
      <c r="C2040" s="1" t="n">
        <v>45742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53621-2024</t>
        </is>
      </c>
      <c r="B2041" s="1" t="n">
        <v>45614</v>
      </c>
      <c r="C2041" s="1" t="n">
        <v>45742</v>
      </c>
      <c r="D2041" t="inlineStr">
        <is>
          <t>GÄVLEBORGS LÄN</t>
        </is>
      </c>
      <c r="E2041" t="inlineStr">
        <is>
          <t>HUDIKSVALL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53624-2024</t>
        </is>
      </c>
      <c r="B2042" s="1" t="n">
        <v>45614</v>
      </c>
      <c r="C2042" s="1" t="n">
        <v>45742</v>
      </c>
      <c r="D2042" t="inlineStr">
        <is>
          <t>GÄVLEBORGS LÄN</t>
        </is>
      </c>
      <c r="E2042" t="inlineStr">
        <is>
          <t>HUDIKSVALL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53418-2024</t>
        </is>
      </c>
      <c r="B2043" s="1" t="n">
        <v>45614</v>
      </c>
      <c r="C2043" s="1" t="n">
        <v>45742</v>
      </c>
      <c r="D2043" t="inlineStr">
        <is>
          <t>GÄVLEBORGS LÄN</t>
        </is>
      </c>
      <c r="E2043" t="inlineStr">
        <is>
          <t>HUDIKSVALL</t>
        </is>
      </c>
      <c r="G2043" t="n">
        <v>12.3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53259-2024</t>
        </is>
      </c>
      <c r="B2044" s="1" t="n">
        <v>45614</v>
      </c>
      <c r="C2044" s="1" t="n">
        <v>45742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35.7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53721-2024</t>
        </is>
      </c>
      <c r="B2045" s="1" t="n">
        <v>45615</v>
      </c>
      <c r="C2045" s="1" t="n">
        <v>45742</v>
      </c>
      <c r="D2045" t="inlineStr">
        <is>
          <t>GÄVLEBORGS LÄN</t>
        </is>
      </c>
      <c r="E2045" t="inlineStr">
        <is>
          <t>HUDIKSVALL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54209-2024</t>
        </is>
      </c>
      <c r="B2046" s="1" t="n">
        <v>45616</v>
      </c>
      <c r="C2046" s="1" t="n">
        <v>45742</v>
      </c>
      <c r="D2046" t="inlineStr">
        <is>
          <t>GÄVLEBORGS LÄN</t>
        </is>
      </c>
      <c r="E2046" t="inlineStr">
        <is>
          <t>HUDIKSVALL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54522-2024</t>
        </is>
      </c>
      <c r="B2047" s="1" t="n">
        <v>45617</v>
      </c>
      <c r="C2047" s="1" t="n">
        <v>45742</v>
      </c>
      <c r="D2047" t="inlineStr">
        <is>
          <t>GÄVLEBORGS LÄN</t>
        </is>
      </c>
      <c r="E2047" t="inlineStr">
        <is>
          <t>HUDIKSVALL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54326-2024</t>
        </is>
      </c>
      <c r="B2048" s="1" t="n">
        <v>45617</v>
      </c>
      <c r="C2048" s="1" t="n">
        <v>45742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54463-2024</t>
        </is>
      </c>
      <c r="B2049" s="1" t="n">
        <v>45617</v>
      </c>
      <c r="C2049" s="1" t="n">
        <v>45742</v>
      </c>
      <c r="D2049" t="inlineStr">
        <is>
          <t>GÄVLEBORGS LÄN</t>
        </is>
      </c>
      <c r="E2049" t="inlineStr">
        <is>
          <t>HUDIKSVALL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54535-2024</t>
        </is>
      </c>
      <c r="B2050" s="1" t="n">
        <v>45617</v>
      </c>
      <c r="C2050" s="1" t="n">
        <v>45742</v>
      </c>
      <c r="D2050" t="inlineStr">
        <is>
          <t>GÄVLEBORGS LÄN</t>
        </is>
      </c>
      <c r="E2050" t="inlineStr">
        <is>
          <t>HUDIKSVALL</t>
        </is>
      </c>
      <c r="F2050" t="inlineStr">
        <is>
          <t>Holmen skog AB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45742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54440-2024</t>
        </is>
      </c>
      <c r="B2052" s="1" t="n">
        <v>45617</v>
      </c>
      <c r="C2052" s="1" t="n">
        <v>45742</v>
      </c>
      <c r="D2052" t="inlineStr">
        <is>
          <t>GÄVLEBORGS LÄN</t>
        </is>
      </c>
      <c r="E2052" t="inlineStr">
        <is>
          <t>HUDIKSVALL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54468-2024</t>
        </is>
      </c>
      <c r="B2053" s="1" t="n">
        <v>45617</v>
      </c>
      <c r="C2053" s="1" t="n">
        <v>45742</v>
      </c>
      <c r="D2053" t="inlineStr">
        <is>
          <t>GÄVLEBORGS LÄN</t>
        </is>
      </c>
      <c r="E2053" t="inlineStr">
        <is>
          <t>HUDIKSVALL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54592-2024</t>
        </is>
      </c>
      <c r="B2054" s="1" t="n">
        <v>45617</v>
      </c>
      <c r="C2054" s="1" t="n">
        <v>45742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54517-2024</t>
        </is>
      </c>
      <c r="B2055" s="1" t="n">
        <v>45617</v>
      </c>
      <c r="C2055" s="1" t="n">
        <v>45742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54529-2024</t>
        </is>
      </c>
      <c r="B2056" s="1" t="n">
        <v>45617</v>
      </c>
      <c r="C2056" s="1" t="n">
        <v>45742</v>
      </c>
      <c r="D2056" t="inlineStr">
        <is>
          <t>GÄVLEBORGS LÄN</t>
        </is>
      </c>
      <c r="E2056" t="inlineStr">
        <is>
          <t>HUDIKSVALL</t>
        </is>
      </c>
      <c r="G2056" t="n">
        <v>35.3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54690-2024</t>
        </is>
      </c>
      <c r="B2057" s="1" t="n">
        <v>45618</v>
      </c>
      <c r="C2057" s="1" t="n">
        <v>45742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54890-2024</t>
        </is>
      </c>
      <c r="B2058" s="1" t="n">
        <v>45618</v>
      </c>
      <c r="C2058" s="1" t="n">
        <v>45742</v>
      </c>
      <c r="D2058" t="inlineStr">
        <is>
          <t>GÄVLEBORGS LÄN</t>
        </is>
      </c>
      <c r="E2058" t="inlineStr">
        <is>
          <t>HUDIKSVALL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54676-2024</t>
        </is>
      </c>
      <c r="B2059" s="1" t="n">
        <v>45618</v>
      </c>
      <c r="C2059" s="1" t="n">
        <v>45742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54972-2024</t>
        </is>
      </c>
      <c r="B2060" s="1" t="n">
        <v>45620</v>
      </c>
      <c r="C2060" s="1" t="n">
        <v>45742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55017-2024</t>
        </is>
      </c>
      <c r="B2061" s="1" t="n">
        <v>45621</v>
      </c>
      <c r="C2061" s="1" t="n">
        <v>45742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55352-2024</t>
        </is>
      </c>
      <c r="B2062" s="1" t="n">
        <v>45621</v>
      </c>
      <c r="C2062" s="1" t="n">
        <v>45742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55445-2024</t>
        </is>
      </c>
      <c r="B2063" s="1" t="n">
        <v>45622</v>
      </c>
      <c r="C2063" s="1" t="n">
        <v>45742</v>
      </c>
      <c r="D2063" t="inlineStr">
        <is>
          <t>GÄVLEBORGS LÄN</t>
        </is>
      </c>
      <c r="E2063" t="inlineStr">
        <is>
          <t>HUDIKSVALL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55511-2024</t>
        </is>
      </c>
      <c r="B2064" s="1" t="n">
        <v>45622</v>
      </c>
      <c r="C2064" s="1" t="n">
        <v>45742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55613-2024</t>
        </is>
      </c>
      <c r="B2065" s="1" t="n">
        <v>45622</v>
      </c>
      <c r="C2065" s="1" t="n">
        <v>45742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55629-2024</t>
        </is>
      </c>
      <c r="B2066" s="1" t="n">
        <v>45622</v>
      </c>
      <c r="C2066" s="1" t="n">
        <v>45742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55460-2024</t>
        </is>
      </c>
      <c r="B2067" s="1" t="n">
        <v>45622</v>
      </c>
      <c r="C2067" s="1" t="n">
        <v>45742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55519-2024</t>
        </is>
      </c>
      <c r="B2068" s="1" t="n">
        <v>45622</v>
      </c>
      <c r="C2068" s="1" t="n">
        <v>45742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55574-2024</t>
        </is>
      </c>
      <c r="B2069" s="1" t="n">
        <v>45622</v>
      </c>
      <c r="C2069" s="1" t="n">
        <v>45742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55742-2024</t>
        </is>
      </c>
      <c r="B2070" s="1" t="n">
        <v>45623</v>
      </c>
      <c r="C2070" s="1" t="n">
        <v>45742</v>
      </c>
      <c r="D2070" t="inlineStr">
        <is>
          <t>GÄVLEBORGS LÄN</t>
        </is>
      </c>
      <c r="E2070" t="inlineStr">
        <is>
          <t>HUDIKSVALL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55740-2024</t>
        </is>
      </c>
      <c r="B2071" s="1" t="n">
        <v>45623</v>
      </c>
      <c r="C2071" s="1" t="n">
        <v>45742</v>
      </c>
      <c r="D2071" t="inlineStr">
        <is>
          <t>GÄVLEBORGS LÄN</t>
        </is>
      </c>
      <c r="E2071" t="inlineStr">
        <is>
          <t>HUDIKSVALL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55843-2024</t>
        </is>
      </c>
      <c r="B2072" s="1" t="n">
        <v>45623</v>
      </c>
      <c r="C2072" s="1" t="n">
        <v>45742</v>
      </c>
      <c r="D2072" t="inlineStr">
        <is>
          <t>GÄVLEBORGS LÄN</t>
        </is>
      </c>
      <c r="E2072" t="inlineStr">
        <is>
          <t>HUDIKSVALL</t>
        </is>
      </c>
      <c r="G2072" t="n">
        <v>13.4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56142-2024</t>
        </is>
      </c>
      <c r="B2073" s="1" t="n">
        <v>45624</v>
      </c>
      <c r="C2073" s="1" t="n">
        <v>45742</v>
      </c>
      <c r="D2073" t="inlineStr">
        <is>
          <t>GÄVLEBORGS LÄN</t>
        </is>
      </c>
      <c r="E2073" t="inlineStr">
        <is>
          <t>HUDIKSVALL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56215-2024</t>
        </is>
      </c>
      <c r="B2074" s="1" t="n">
        <v>45624</v>
      </c>
      <c r="C2074" s="1" t="n">
        <v>45742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56259-2024</t>
        </is>
      </c>
      <c r="B2075" s="1" t="n">
        <v>45624</v>
      </c>
      <c r="C2075" s="1" t="n">
        <v>45742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56064-2024</t>
        </is>
      </c>
      <c r="B2076" s="1" t="n">
        <v>45624</v>
      </c>
      <c r="C2076" s="1" t="n">
        <v>45742</v>
      </c>
      <c r="D2076" t="inlineStr">
        <is>
          <t>GÄVLEBORGS LÄN</t>
        </is>
      </c>
      <c r="E2076" t="inlineStr">
        <is>
          <t>HUDIKSVALL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56131-2024</t>
        </is>
      </c>
      <c r="B2077" s="1" t="n">
        <v>45624</v>
      </c>
      <c r="C2077" s="1" t="n">
        <v>45742</v>
      </c>
      <c r="D2077" t="inlineStr">
        <is>
          <t>GÄVLEBORGS LÄN</t>
        </is>
      </c>
      <c r="E2077" t="inlineStr">
        <is>
          <t>HUDIKSVALL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56253-2024</t>
        </is>
      </c>
      <c r="B2078" s="1" t="n">
        <v>45624</v>
      </c>
      <c r="C2078" s="1" t="n">
        <v>45742</v>
      </c>
      <c r="D2078" t="inlineStr">
        <is>
          <t>GÄVLEBORGS LÄN</t>
        </is>
      </c>
      <c r="E2078" t="inlineStr">
        <is>
          <t>HUDIKSVALL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56277-2024</t>
        </is>
      </c>
      <c r="B2079" s="1" t="n">
        <v>45624</v>
      </c>
      <c r="C2079" s="1" t="n">
        <v>45742</v>
      </c>
      <c r="D2079" t="inlineStr">
        <is>
          <t>GÄVLEBORGS LÄN</t>
        </is>
      </c>
      <c r="E2079" t="inlineStr">
        <is>
          <t>HUDIKSVALL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56370-2024</t>
        </is>
      </c>
      <c r="B2080" s="1" t="n">
        <v>45625</v>
      </c>
      <c r="C2080" s="1" t="n">
        <v>45742</v>
      </c>
      <c r="D2080" t="inlineStr">
        <is>
          <t>GÄVLEBORGS LÄN</t>
        </is>
      </c>
      <c r="E2080" t="inlineStr">
        <is>
          <t>HUDIKSVALL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56367-2024</t>
        </is>
      </c>
      <c r="B2081" s="1" t="n">
        <v>45625</v>
      </c>
      <c r="C2081" s="1" t="n">
        <v>45742</v>
      </c>
      <c r="D2081" t="inlineStr">
        <is>
          <t>GÄVLEBORGS LÄN</t>
        </is>
      </c>
      <c r="E2081" t="inlineStr">
        <is>
          <t>HUDIKSVALL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56363-2024</t>
        </is>
      </c>
      <c r="B2082" s="1" t="n">
        <v>45625</v>
      </c>
      <c r="C2082" s="1" t="n">
        <v>45742</v>
      </c>
      <c r="D2082" t="inlineStr">
        <is>
          <t>GÄVLEBORGS LÄN</t>
        </is>
      </c>
      <c r="E2082" t="inlineStr">
        <is>
          <t>HUDIKSVALL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56709-2024</t>
        </is>
      </c>
      <c r="B2083" s="1" t="n">
        <v>45627</v>
      </c>
      <c r="C2083" s="1" t="n">
        <v>45742</v>
      </c>
      <c r="D2083" t="inlineStr">
        <is>
          <t>GÄVLEBORGS LÄN</t>
        </is>
      </c>
      <c r="E2083" t="inlineStr">
        <is>
          <t>HUDIKSVALL</t>
        </is>
      </c>
      <c r="G2083" t="n">
        <v>0.3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56858-2024</t>
        </is>
      </c>
      <c r="B2084" s="1" t="n">
        <v>45628</v>
      </c>
      <c r="C2084" s="1" t="n">
        <v>45742</v>
      </c>
      <c r="D2084" t="inlineStr">
        <is>
          <t>GÄVLEBORGS LÄN</t>
        </is>
      </c>
      <c r="E2084" t="inlineStr">
        <is>
          <t>HUDIKSVALL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56896-2024</t>
        </is>
      </c>
      <c r="B2085" s="1" t="n">
        <v>45628</v>
      </c>
      <c r="C2085" s="1" t="n">
        <v>45742</v>
      </c>
      <c r="D2085" t="inlineStr">
        <is>
          <t>GÄVLEBORGS LÄN</t>
        </is>
      </c>
      <c r="E2085" t="inlineStr">
        <is>
          <t>HUDIKSVALL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56901-2024</t>
        </is>
      </c>
      <c r="B2086" s="1" t="n">
        <v>45628</v>
      </c>
      <c r="C2086" s="1" t="n">
        <v>45742</v>
      </c>
      <c r="D2086" t="inlineStr">
        <is>
          <t>GÄVLEBORGS LÄN</t>
        </is>
      </c>
      <c r="E2086" t="inlineStr">
        <is>
          <t>HUDIKSVALL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57196-2024</t>
        </is>
      </c>
      <c r="B2087" s="1" t="n">
        <v>45629</v>
      </c>
      <c r="C2087" s="1" t="n">
        <v>45742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Naturvårdsverket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57511-2024</t>
        </is>
      </c>
      <c r="B2088" s="1" t="n">
        <v>45630</v>
      </c>
      <c r="C2088" s="1" t="n">
        <v>45742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57731-2024</t>
        </is>
      </c>
      <c r="B2089" s="1" t="n">
        <v>45630</v>
      </c>
      <c r="C2089" s="1" t="n">
        <v>45742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57724-2024</t>
        </is>
      </c>
      <c r="B2090" s="1" t="n">
        <v>45630</v>
      </c>
      <c r="C2090" s="1" t="n">
        <v>45742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58005-2024</t>
        </is>
      </c>
      <c r="B2091" s="1" t="n">
        <v>45631</v>
      </c>
      <c r="C2091" s="1" t="n">
        <v>45742</v>
      </c>
      <c r="D2091" t="inlineStr">
        <is>
          <t>GÄVLEBORGS LÄN</t>
        </is>
      </c>
      <c r="E2091" t="inlineStr">
        <is>
          <t>HUDIKSVALL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57909-2024</t>
        </is>
      </c>
      <c r="B2092" s="1" t="n">
        <v>45631</v>
      </c>
      <c r="C2092" s="1" t="n">
        <v>45742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58339-2024</t>
        </is>
      </c>
      <c r="B2093" s="1" t="n">
        <v>45632</v>
      </c>
      <c r="C2093" s="1" t="n">
        <v>45742</v>
      </c>
      <c r="D2093" t="inlineStr">
        <is>
          <t>GÄVLEBORGS LÄN</t>
        </is>
      </c>
      <c r="E2093" t="inlineStr">
        <is>
          <t>HUDIKSVALL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58512-2024</t>
        </is>
      </c>
      <c r="B2094" s="1" t="n">
        <v>45635</v>
      </c>
      <c r="C2094" s="1" t="n">
        <v>45742</v>
      </c>
      <c r="D2094" t="inlineStr">
        <is>
          <t>GÄVLEBORGS LÄN</t>
        </is>
      </c>
      <c r="E2094" t="inlineStr">
        <is>
          <t>HUDIKSVALL</t>
        </is>
      </c>
      <c r="F2094" t="inlineStr">
        <is>
          <t>Holmen skog AB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58473-2024</t>
        </is>
      </c>
      <c r="B2095" s="1" t="n">
        <v>45635</v>
      </c>
      <c r="C2095" s="1" t="n">
        <v>45742</v>
      </c>
      <c r="D2095" t="inlineStr">
        <is>
          <t>GÄVLEBORGS LÄN</t>
        </is>
      </c>
      <c r="E2095" t="inlineStr">
        <is>
          <t>HUDIKSVALL</t>
        </is>
      </c>
      <c r="G2095" t="n">
        <v>3.8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58538-2024</t>
        </is>
      </c>
      <c r="B2096" s="1" t="n">
        <v>45635</v>
      </c>
      <c r="C2096" s="1" t="n">
        <v>45742</v>
      </c>
      <c r="D2096" t="inlineStr">
        <is>
          <t>GÄVLEBORGS LÄN</t>
        </is>
      </c>
      <c r="E2096" t="inlineStr">
        <is>
          <t>HUDIKSVALL</t>
        </is>
      </c>
      <c r="G2096" t="n">
        <v>6.3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59150-2024</t>
        </is>
      </c>
      <c r="B2097" s="1" t="n">
        <v>45637</v>
      </c>
      <c r="C2097" s="1" t="n">
        <v>45742</v>
      </c>
      <c r="D2097" t="inlineStr">
        <is>
          <t>GÄVLEBORGS LÄN</t>
        </is>
      </c>
      <c r="E2097" t="inlineStr">
        <is>
          <t>HUDIKSVALL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59822-2024</t>
        </is>
      </c>
      <c r="B2098" s="1" t="n">
        <v>45639</v>
      </c>
      <c r="C2098" s="1" t="n">
        <v>45742</v>
      </c>
      <c r="D2098" t="inlineStr">
        <is>
          <t>GÄVLEBORGS LÄN</t>
        </is>
      </c>
      <c r="E2098" t="inlineStr">
        <is>
          <t>HUDIKSVALL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59823-2024</t>
        </is>
      </c>
      <c r="B2099" s="1" t="n">
        <v>45639</v>
      </c>
      <c r="C2099" s="1" t="n">
        <v>45742</v>
      </c>
      <c r="D2099" t="inlineStr">
        <is>
          <t>GÄVLEBORGS LÄN</t>
        </is>
      </c>
      <c r="E2099" t="inlineStr">
        <is>
          <t>HUDIKSVALL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60220-2024</t>
        </is>
      </c>
      <c r="B2100" s="1" t="n">
        <v>45642</v>
      </c>
      <c r="C2100" s="1" t="n">
        <v>45742</v>
      </c>
      <c r="D2100" t="inlineStr">
        <is>
          <t>GÄVLEBORGS LÄN</t>
        </is>
      </c>
      <c r="E2100" t="inlineStr">
        <is>
          <t>HUDIKSVALL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60186-2024</t>
        </is>
      </c>
      <c r="B2101" s="1" t="n">
        <v>45642</v>
      </c>
      <c r="C2101" s="1" t="n">
        <v>45742</v>
      </c>
      <c r="D2101" t="inlineStr">
        <is>
          <t>GÄVLEBORGS LÄN</t>
        </is>
      </c>
      <c r="E2101" t="inlineStr">
        <is>
          <t>HUDIKSVALL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60359-2024</t>
        </is>
      </c>
      <c r="B2102" s="1" t="n">
        <v>45643</v>
      </c>
      <c r="C2102" s="1" t="n">
        <v>45742</v>
      </c>
      <c r="D2102" t="inlineStr">
        <is>
          <t>GÄVLEBORGS LÄN</t>
        </is>
      </c>
      <c r="E2102" t="inlineStr">
        <is>
          <t>HUDIKSVALL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60356-2024</t>
        </is>
      </c>
      <c r="B2103" s="1" t="n">
        <v>45643</v>
      </c>
      <c r="C2103" s="1" t="n">
        <v>45742</v>
      </c>
      <c r="D2103" t="inlineStr">
        <is>
          <t>GÄVLEBORGS LÄN</t>
        </is>
      </c>
      <c r="E2103" t="inlineStr">
        <is>
          <t>HUDIKSVALL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60777-2024</t>
        </is>
      </c>
      <c r="B2104" s="1" t="n">
        <v>45644</v>
      </c>
      <c r="C2104" s="1" t="n">
        <v>45742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60835-2024</t>
        </is>
      </c>
      <c r="B2105" s="1" t="n">
        <v>45644</v>
      </c>
      <c r="C2105" s="1" t="n">
        <v>45742</v>
      </c>
      <c r="D2105" t="inlineStr">
        <is>
          <t>GÄVLEBORGS LÄN</t>
        </is>
      </c>
      <c r="E2105" t="inlineStr">
        <is>
          <t>HUDIKSVALL</t>
        </is>
      </c>
      <c r="F2105" t="inlineStr">
        <is>
          <t>Holmen skog AB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60872-2024</t>
        </is>
      </c>
      <c r="B2106" s="1" t="n">
        <v>45644</v>
      </c>
      <c r="C2106" s="1" t="n">
        <v>45742</v>
      </c>
      <c r="D2106" t="inlineStr">
        <is>
          <t>GÄVLEBORGS LÄN</t>
        </is>
      </c>
      <c r="E2106" t="inlineStr">
        <is>
          <t>HUDIKSVALL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45742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60902-2024</t>
        </is>
      </c>
      <c r="B2108" s="1" t="n">
        <v>45645</v>
      </c>
      <c r="C2108" s="1" t="n">
        <v>45742</v>
      </c>
      <c r="D2108" t="inlineStr">
        <is>
          <t>GÄVLEBORGS LÄN</t>
        </is>
      </c>
      <c r="E2108" t="inlineStr">
        <is>
          <t>HUDIKSVALL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60942-2024</t>
        </is>
      </c>
      <c r="B2109" s="1" t="n">
        <v>45645</v>
      </c>
      <c r="C2109" s="1" t="n">
        <v>45742</v>
      </c>
      <c r="D2109" t="inlineStr">
        <is>
          <t>GÄVLEBORGS LÄN</t>
        </is>
      </c>
      <c r="E2109" t="inlineStr">
        <is>
          <t>HUDIKSVALL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60904-2024</t>
        </is>
      </c>
      <c r="B2110" s="1" t="n">
        <v>45645</v>
      </c>
      <c r="C2110" s="1" t="n">
        <v>45742</v>
      </c>
      <c r="D2110" t="inlineStr">
        <is>
          <t>GÄVLEBORGS LÄN</t>
        </is>
      </c>
      <c r="E2110" t="inlineStr">
        <is>
          <t>HUDIKSVALL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61087-2024</t>
        </is>
      </c>
      <c r="B2111" s="1" t="n">
        <v>45645</v>
      </c>
      <c r="C2111" s="1" t="n">
        <v>45742</v>
      </c>
      <c r="D2111" t="inlineStr">
        <is>
          <t>GÄVLEBORGS LÄN</t>
        </is>
      </c>
      <c r="E2111" t="inlineStr">
        <is>
          <t>HUDIKSVALL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61593-2024</t>
        </is>
      </c>
      <c r="B2112" s="1" t="n">
        <v>45646</v>
      </c>
      <c r="C2112" s="1" t="n">
        <v>45742</v>
      </c>
      <c r="D2112" t="inlineStr">
        <is>
          <t>GÄVLEBORGS LÄN</t>
        </is>
      </c>
      <c r="E2112" t="inlineStr">
        <is>
          <t>HUDIKSVALL</t>
        </is>
      </c>
      <c r="G2112" t="n">
        <v>11.4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61579-2024</t>
        </is>
      </c>
      <c r="B2113" s="1" t="n">
        <v>45646</v>
      </c>
      <c r="C2113" s="1" t="n">
        <v>45742</v>
      </c>
      <c r="D2113" t="inlineStr">
        <is>
          <t>GÄVLEBORGS LÄN</t>
        </is>
      </c>
      <c r="E2113" t="inlineStr">
        <is>
          <t>HUDIKSVALL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61763-2024</t>
        </is>
      </c>
      <c r="B2114" s="1" t="n">
        <v>45649</v>
      </c>
      <c r="C2114" s="1" t="n">
        <v>45742</v>
      </c>
      <c r="D2114" t="inlineStr">
        <is>
          <t>GÄVLEBORGS LÄN</t>
        </is>
      </c>
      <c r="E2114" t="inlineStr">
        <is>
          <t>HUDIKSVALL</t>
        </is>
      </c>
      <c r="G2114" t="n">
        <v>7.1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61792-2024</t>
        </is>
      </c>
      <c r="B2115" s="1" t="n">
        <v>45649</v>
      </c>
      <c r="C2115" s="1" t="n">
        <v>45742</v>
      </c>
      <c r="D2115" t="inlineStr">
        <is>
          <t>GÄVLEBORGS LÄN</t>
        </is>
      </c>
      <c r="E2115" t="inlineStr">
        <is>
          <t>HUDIKSVALL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61785-2024</t>
        </is>
      </c>
      <c r="B2116" s="1" t="n">
        <v>45649</v>
      </c>
      <c r="C2116" s="1" t="n">
        <v>45742</v>
      </c>
      <c r="D2116" t="inlineStr">
        <is>
          <t>GÄVLEBORGS LÄN</t>
        </is>
      </c>
      <c r="E2116" t="inlineStr">
        <is>
          <t>HUDIKSVALL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45742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210-2025</t>
        </is>
      </c>
      <c r="B2118" s="1" t="n">
        <v>45660</v>
      </c>
      <c r="C2118" s="1" t="n">
        <v>45742</v>
      </c>
      <c r="D2118" t="inlineStr">
        <is>
          <t>GÄVLEBORGS LÄN</t>
        </is>
      </c>
      <c r="E2118" t="inlineStr">
        <is>
          <t>HUDIKSVALL</t>
        </is>
      </c>
      <c r="F2118" t="inlineStr">
        <is>
          <t>Holmen skog AB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406-2025</t>
        </is>
      </c>
      <c r="B2119" s="1" t="n">
        <v>45663</v>
      </c>
      <c r="C2119" s="1" t="n">
        <v>45742</v>
      </c>
      <c r="D2119" t="inlineStr">
        <is>
          <t>GÄVLEBORGS LÄN</t>
        </is>
      </c>
      <c r="E2119" t="inlineStr">
        <is>
          <t>HUDIKSVALL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405-2025</t>
        </is>
      </c>
      <c r="B2120" s="1" t="n">
        <v>45663</v>
      </c>
      <c r="C2120" s="1" t="n">
        <v>45742</v>
      </c>
      <c r="D2120" t="inlineStr">
        <is>
          <t>GÄVLEBORGS LÄN</t>
        </is>
      </c>
      <c r="E2120" t="inlineStr">
        <is>
          <t>HUDIKSVALL</t>
        </is>
      </c>
      <c r="G2120" t="n">
        <v>0.3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553-2025</t>
        </is>
      </c>
      <c r="B2121" s="1" t="n">
        <v>45664</v>
      </c>
      <c r="C2121" s="1" t="n">
        <v>45742</v>
      </c>
      <c r="D2121" t="inlineStr">
        <is>
          <t>GÄVLEBORGS LÄN</t>
        </is>
      </c>
      <c r="E2121" t="inlineStr">
        <is>
          <t>HUDIKSVALL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45742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624-2025</t>
        </is>
      </c>
      <c r="B2123" s="1" t="n">
        <v>45664</v>
      </c>
      <c r="C2123" s="1" t="n">
        <v>45742</v>
      </c>
      <c r="D2123" t="inlineStr">
        <is>
          <t>GÄVLEBORGS LÄN</t>
        </is>
      </c>
      <c r="E2123" t="inlineStr">
        <is>
          <t>HUDIKSVALL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450-2025</t>
        </is>
      </c>
      <c r="B2124" s="1" t="n">
        <v>45664</v>
      </c>
      <c r="C2124" s="1" t="n">
        <v>45742</v>
      </c>
      <c r="D2124" t="inlineStr">
        <is>
          <t>GÄVLEBORGS LÄN</t>
        </is>
      </c>
      <c r="E2124" t="inlineStr">
        <is>
          <t>HUDIKSVALL</t>
        </is>
      </c>
      <c r="G2124" t="n">
        <v>3.4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45742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1105-2025</t>
        </is>
      </c>
      <c r="B2126" s="1" t="n">
        <v>45666</v>
      </c>
      <c r="C2126" s="1" t="n">
        <v>45742</v>
      </c>
      <c r="D2126" t="inlineStr">
        <is>
          <t>GÄVLEBORGS LÄN</t>
        </is>
      </c>
      <c r="E2126" t="inlineStr">
        <is>
          <t>HUDIKSVALL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1478-2025</t>
        </is>
      </c>
      <c r="B2127" s="1" t="n">
        <v>45670</v>
      </c>
      <c r="C2127" s="1" t="n">
        <v>45742</v>
      </c>
      <c r="D2127" t="inlineStr">
        <is>
          <t>GÄVLEBORGS LÄN</t>
        </is>
      </c>
      <c r="E2127" t="inlineStr">
        <is>
          <t>HUDIKSVALL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45742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1468-2025</t>
        </is>
      </c>
      <c r="B2129" s="1" t="n">
        <v>45670</v>
      </c>
      <c r="C2129" s="1" t="n">
        <v>45742</v>
      </c>
      <c r="D2129" t="inlineStr">
        <is>
          <t>GÄVLEBORGS LÄN</t>
        </is>
      </c>
      <c r="E2129" t="inlineStr">
        <is>
          <t>HUDIKSVALL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45742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1832-2025</t>
        </is>
      </c>
      <c r="B2131" s="1" t="n">
        <v>45671</v>
      </c>
      <c r="C2131" s="1" t="n">
        <v>45742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1887-2025</t>
        </is>
      </c>
      <c r="B2132" s="1" t="n">
        <v>45671</v>
      </c>
      <c r="C2132" s="1" t="n">
        <v>45742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2208-2025</t>
        </is>
      </c>
      <c r="B2133" s="1" t="n">
        <v>45673</v>
      </c>
      <c r="C2133" s="1" t="n">
        <v>45742</v>
      </c>
      <c r="D2133" t="inlineStr">
        <is>
          <t>GÄVLEBORGS LÄN</t>
        </is>
      </c>
      <c r="E2133" t="inlineStr">
        <is>
          <t>HUDIKSVALL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45742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45742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2382-2025</t>
        </is>
      </c>
      <c r="B2136" s="1" t="n">
        <v>45674</v>
      </c>
      <c r="C2136" s="1" t="n">
        <v>45742</v>
      </c>
      <c r="D2136" t="inlineStr">
        <is>
          <t>GÄVLEBORGS LÄN</t>
        </is>
      </c>
      <c r="E2136" t="inlineStr">
        <is>
          <t>HUDIKSVALL</t>
        </is>
      </c>
      <c r="G2136" t="n">
        <v>5.8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45742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2663-2025</t>
        </is>
      </c>
      <c r="B2138" s="1" t="n">
        <v>45676</v>
      </c>
      <c r="C2138" s="1" t="n">
        <v>45742</v>
      </c>
      <c r="D2138" t="inlineStr">
        <is>
          <t>GÄVLEBORGS LÄN</t>
        </is>
      </c>
      <c r="E2138" t="inlineStr">
        <is>
          <t>HUDIKSVALL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2720-2025</t>
        </is>
      </c>
      <c r="B2139" s="1" t="n">
        <v>45677</v>
      </c>
      <c r="C2139" s="1" t="n">
        <v>45742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2740-2025</t>
        </is>
      </c>
      <c r="B2140" s="1" t="n">
        <v>45677</v>
      </c>
      <c r="C2140" s="1" t="n">
        <v>45742</v>
      </c>
      <c r="D2140" t="inlineStr">
        <is>
          <t>GÄVLEBORGS LÄN</t>
        </is>
      </c>
      <c r="E2140" t="inlineStr">
        <is>
          <t>HUDIKSVALL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2744-2025</t>
        </is>
      </c>
      <c r="B2141" s="1" t="n">
        <v>45677</v>
      </c>
      <c r="C2141" s="1" t="n">
        <v>45742</v>
      </c>
      <c r="D2141" t="inlineStr">
        <is>
          <t>GÄVLEBORGS LÄN</t>
        </is>
      </c>
      <c r="E2141" t="inlineStr">
        <is>
          <t>HUDIKSVALL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2754-2025</t>
        </is>
      </c>
      <c r="B2142" s="1" t="n">
        <v>45677</v>
      </c>
      <c r="C2142" s="1" t="n">
        <v>45742</v>
      </c>
      <c r="D2142" t="inlineStr">
        <is>
          <t>GÄVLEBORGS LÄN</t>
        </is>
      </c>
      <c r="E2142" t="inlineStr">
        <is>
          <t>HUDIKSVALL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2688-2025</t>
        </is>
      </c>
      <c r="B2143" s="1" t="n">
        <v>45677</v>
      </c>
      <c r="C2143" s="1" t="n">
        <v>45742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2738-2025</t>
        </is>
      </c>
      <c r="B2144" s="1" t="n">
        <v>45677</v>
      </c>
      <c r="C2144" s="1" t="n">
        <v>45742</v>
      </c>
      <c r="D2144" t="inlineStr">
        <is>
          <t>GÄVLEBORGS LÄN</t>
        </is>
      </c>
      <c r="E2144" t="inlineStr">
        <is>
          <t>HUDIKSVALL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2742-2025</t>
        </is>
      </c>
      <c r="B2145" s="1" t="n">
        <v>45677</v>
      </c>
      <c r="C2145" s="1" t="n">
        <v>45742</v>
      </c>
      <c r="D2145" t="inlineStr">
        <is>
          <t>GÄVLEBORGS LÄN</t>
        </is>
      </c>
      <c r="E2145" t="inlineStr">
        <is>
          <t>HUDIKSVALL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45742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2717-2025</t>
        </is>
      </c>
      <c r="B2147" s="1" t="n">
        <v>45677</v>
      </c>
      <c r="C2147" s="1" t="n">
        <v>45742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5.1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2750-2025</t>
        </is>
      </c>
      <c r="B2148" s="1" t="n">
        <v>45677</v>
      </c>
      <c r="C2148" s="1" t="n">
        <v>45742</v>
      </c>
      <c r="D2148" t="inlineStr">
        <is>
          <t>GÄVLEBORGS LÄN</t>
        </is>
      </c>
      <c r="E2148" t="inlineStr">
        <is>
          <t>HUDIKSVALL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2889-2025</t>
        </is>
      </c>
      <c r="B2149" s="1" t="n">
        <v>45677</v>
      </c>
      <c r="C2149" s="1" t="n">
        <v>45742</v>
      </c>
      <c r="D2149" t="inlineStr">
        <is>
          <t>GÄVLEBORGS LÄN</t>
        </is>
      </c>
      <c r="E2149" t="inlineStr">
        <is>
          <t>HUDIKSVALL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2906-2025</t>
        </is>
      </c>
      <c r="B2150" s="1" t="n">
        <v>45677</v>
      </c>
      <c r="C2150" s="1" t="n">
        <v>45742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22.5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2841-2025</t>
        </is>
      </c>
      <c r="B2151" s="1" t="n">
        <v>45677</v>
      </c>
      <c r="C2151" s="1" t="n">
        <v>45742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2748-2025</t>
        </is>
      </c>
      <c r="B2152" s="1" t="n">
        <v>45677</v>
      </c>
      <c r="C2152" s="1" t="n">
        <v>45742</v>
      </c>
      <c r="D2152" t="inlineStr">
        <is>
          <t>GÄVLEBORGS LÄN</t>
        </is>
      </c>
      <c r="E2152" t="inlineStr">
        <is>
          <t>HUDIKSVALL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2739-2025</t>
        </is>
      </c>
      <c r="B2153" s="1" t="n">
        <v>45677</v>
      </c>
      <c r="C2153" s="1" t="n">
        <v>45742</v>
      </c>
      <c r="D2153" t="inlineStr">
        <is>
          <t>GÄVLEBORGS LÄN</t>
        </is>
      </c>
      <c r="E2153" t="inlineStr">
        <is>
          <t>HUDIKSVALL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45742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45742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2999-2025</t>
        </is>
      </c>
      <c r="B2156" s="1" t="n">
        <v>45678</v>
      </c>
      <c r="C2156" s="1" t="n">
        <v>45742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3494-2025</t>
        </is>
      </c>
      <c r="B2157" s="1" t="n">
        <v>45680</v>
      </c>
      <c r="C2157" s="1" t="n">
        <v>45742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22.2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45742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3881-2025</t>
        </is>
      </c>
      <c r="B2159" s="1" t="n">
        <v>45684</v>
      </c>
      <c r="C2159" s="1" t="n">
        <v>45742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4062-2025</t>
        </is>
      </c>
      <c r="B2160" s="1" t="n">
        <v>45684</v>
      </c>
      <c r="C2160" s="1" t="n">
        <v>45742</v>
      </c>
      <c r="D2160" t="inlineStr">
        <is>
          <t>GÄVLEBORGS LÄN</t>
        </is>
      </c>
      <c r="E2160" t="inlineStr">
        <is>
          <t>HUDIKSVALL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4428-2025</t>
        </is>
      </c>
      <c r="B2161" s="1" t="n">
        <v>45686</v>
      </c>
      <c r="C2161" s="1" t="n">
        <v>45742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4623-2025</t>
        </is>
      </c>
      <c r="B2162" s="1" t="n">
        <v>45687</v>
      </c>
      <c r="C2162" s="1" t="n">
        <v>45742</v>
      </c>
      <c r="D2162" t="inlineStr">
        <is>
          <t>GÄVLEBORGS LÄN</t>
        </is>
      </c>
      <c r="E2162" t="inlineStr">
        <is>
          <t>HUDIKSVALL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4770-2025</t>
        </is>
      </c>
      <c r="B2163" s="1" t="n">
        <v>45688</v>
      </c>
      <c r="C2163" s="1" t="n">
        <v>45742</v>
      </c>
      <c r="D2163" t="inlineStr">
        <is>
          <t>GÄVLEBORGS LÄN</t>
        </is>
      </c>
      <c r="E2163" t="inlineStr">
        <is>
          <t>HUDIKSVALL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4774-2025</t>
        </is>
      </c>
      <c r="B2164" s="1" t="n">
        <v>45688</v>
      </c>
      <c r="C2164" s="1" t="n">
        <v>45742</v>
      </c>
      <c r="D2164" t="inlineStr">
        <is>
          <t>GÄVLEBORGS LÄN</t>
        </is>
      </c>
      <c r="E2164" t="inlineStr">
        <is>
          <t>HUDIKSVALL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5190-2025</t>
        </is>
      </c>
      <c r="B2165" s="1" t="n">
        <v>45691</v>
      </c>
      <c r="C2165" s="1" t="n">
        <v>45742</v>
      </c>
      <c r="D2165" t="inlineStr">
        <is>
          <t>GÄVLEBORGS LÄN</t>
        </is>
      </c>
      <c r="E2165" t="inlineStr">
        <is>
          <t>HUDIKSVALL</t>
        </is>
      </c>
      <c r="G2165" t="n">
        <v>8.699999999999999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5195-2025</t>
        </is>
      </c>
      <c r="B2166" s="1" t="n">
        <v>45691</v>
      </c>
      <c r="C2166" s="1" t="n">
        <v>45742</v>
      </c>
      <c r="D2166" t="inlineStr">
        <is>
          <t>GÄVLEBORGS LÄN</t>
        </is>
      </c>
      <c r="E2166" t="inlineStr">
        <is>
          <t>HUDIKSVALL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5183-2025</t>
        </is>
      </c>
      <c r="B2167" s="1" t="n">
        <v>45691</v>
      </c>
      <c r="C2167" s="1" t="n">
        <v>45742</v>
      </c>
      <c r="D2167" t="inlineStr">
        <is>
          <t>GÄVLEBORGS LÄN</t>
        </is>
      </c>
      <c r="E2167" t="inlineStr">
        <is>
          <t>HUDIKSVALL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5191-2025</t>
        </is>
      </c>
      <c r="B2168" s="1" t="n">
        <v>45691</v>
      </c>
      <c r="C2168" s="1" t="n">
        <v>45742</v>
      </c>
      <c r="D2168" t="inlineStr">
        <is>
          <t>GÄVLEBORGS LÄN</t>
        </is>
      </c>
      <c r="E2168" t="inlineStr">
        <is>
          <t>HUDIKSVALL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45742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5395-2025</t>
        </is>
      </c>
      <c r="B2170" s="1" t="n">
        <v>45692</v>
      </c>
      <c r="C2170" s="1" t="n">
        <v>45742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7.3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5622-2025</t>
        </is>
      </c>
      <c r="B2171" s="1" t="n">
        <v>45693</v>
      </c>
      <c r="C2171" s="1" t="n">
        <v>45742</v>
      </c>
      <c r="D2171" t="inlineStr">
        <is>
          <t>GÄVLEBORGS LÄN</t>
        </is>
      </c>
      <c r="E2171" t="inlineStr">
        <is>
          <t>HUDIKSVALL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45742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45742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5825-2025</t>
        </is>
      </c>
      <c r="B2174" s="1" t="n">
        <v>45694</v>
      </c>
      <c r="C2174" s="1" t="n">
        <v>45742</v>
      </c>
      <c r="D2174" t="inlineStr">
        <is>
          <t>GÄVLEBORGS LÄN</t>
        </is>
      </c>
      <c r="E2174" t="inlineStr">
        <is>
          <t>HUDIKSVALL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5901-2025</t>
        </is>
      </c>
      <c r="B2175" s="1" t="n">
        <v>45695</v>
      </c>
      <c r="C2175" s="1" t="n">
        <v>45742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5905-2025</t>
        </is>
      </c>
      <c r="B2176" s="1" t="n">
        <v>45695</v>
      </c>
      <c r="C2176" s="1" t="n">
        <v>45742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7.6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5977-2025</t>
        </is>
      </c>
      <c r="B2177" s="1" t="n">
        <v>45695</v>
      </c>
      <c r="C2177" s="1" t="n">
        <v>45742</v>
      </c>
      <c r="D2177" t="inlineStr">
        <is>
          <t>GÄVLEBORGS LÄN</t>
        </is>
      </c>
      <c r="E2177" t="inlineStr">
        <is>
          <t>HUDIKSVALL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5981-2025</t>
        </is>
      </c>
      <c r="B2178" s="1" t="n">
        <v>45695</v>
      </c>
      <c r="C2178" s="1" t="n">
        <v>45742</v>
      </c>
      <c r="D2178" t="inlineStr">
        <is>
          <t>GÄVLEBORGS LÄN</t>
        </is>
      </c>
      <c r="E2178" t="inlineStr">
        <is>
          <t>HUDIKSVALL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5870-2025</t>
        </is>
      </c>
      <c r="B2179" s="1" t="n">
        <v>45695</v>
      </c>
      <c r="C2179" s="1" t="n">
        <v>45742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5861-2025</t>
        </is>
      </c>
      <c r="B2180" s="1" t="n">
        <v>45695</v>
      </c>
      <c r="C2180" s="1" t="n">
        <v>45742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5942-2025</t>
        </is>
      </c>
      <c r="B2181" s="1" t="n">
        <v>45695</v>
      </c>
      <c r="C2181" s="1" t="n">
        <v>45742</v>
      </c>
      <c r="D2181" t="inlineStr">
        <is>
          <t>GÄVLEBORGS LÄN</t>
        </is>
      </c>
      <c r="E2181" t="inlineStr">
        <is>
          <t>HUDIKSVALL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5946-2025</t>
        </is>
      </c>
      <c r="B2182" s="1" t="n">
        <v>45695</v>
      </c>
      <c r="C2182" s="1" t="n">
        <v>45742</v>
      </c>
      <c r="D2182" t="inlineStr">
        <is>
          <t>GÄVLEBORGS LÄN</t>
        </is>
      </c>
      <c r="E2182" t="inlineStr">
        <is>
          <t>HUDIKSVALL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5983-2025</t>
        </is>
      </c>
      <c r="B2183" s="1" t="n">
        <v>45695</v>
      </c>
      <c r="C2183" s="1" t="n">
        <v>45742</v>
      </c>
      <c r="D2183" t="inlineStr">
        <is>
          <t>GÄVLEBORGS LÄN</t>
        </is>
      </c>
      <c r="E2183" t="inlineStr">
        <is>
          <t>HUDIKSVALL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5892-2025</t>
        </is>
      </c>
      <c r="B2184" s="1" t="n">
        <v>45695</v>
      </c>
      <c r="C2184" s="1" t="n">
        <v>45742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5940-2025</t>
        </is>
      </c>
      <c r="B2185" s="1" t="n">
        <v>45695</v>
      </c>
      <c r="C2185" s="1" t="n">
        <v>45742</v>
      </c>
      <c r="D2185" t="inlineStr">
        <is>
          <t>GÄVLEBORGS LÄN</t>
        </is>
      </c>
      <c r="E2185" t="inlineStr">
        <is>
          <t>HUDIKSVALL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6019-2025</t>
        </is>
      </c>
      <c r="B2186" s="1" t="n">
        <v>45695</v>
      </c>
      <c r="C2186" s="1" t="n">
        <v>45742</v>
      </c>
      <c r="D2186" t="inlineStr">
        <is>
          <t>GÄVLEBORGS LÄN</t>
        </is>
      </c>
      <c r="E2186" t="inlineStr">
        <is>
          <t>HUDIKSVALL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6063-2025</t>
        </is>
      </c>
      <c r="B2187" s="1" t="n">
        <v>45696</v>
      </c>
      <c r="C2187" s="1" t="n">
        <v>45742</v>
      </c>
      <c r="D2187" t="inlineStr">
        <is>
          <t>GÄVLEBORGS LÄN</t>
        </is>
      </c>
      <c r="E2187" t="inlineStr">
        <is>
          <t>HUDIKSVALL</t>
        </is>
      </c>
      <c r="G2187" t="n">
        <v>6.2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45742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6083-2025</t>
        </is>
      </c>
      <c r="B2189" s="1" t="n">
        <v>45697</v>
      </c>
      <c r="C2189" s="1" t="n">
        <v>45742</v>
      </c>
      <c r="D2189" t="inlineStr">
        <is>
          <t>GÄVLEBORGS LÄN</t>
        </is>
      </c>
      <c r="E2189" t="inlineStr">
        <is>
          <t>HUDIKSVALL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45742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6274-2025</t>
        </is>
      </c>
      <c r="B2191" s="1" t="n">
        <v>45698</v>
      </c>
      <c r="C2191" s="1" t="n">
        <v>45742</v>
      </c>
      <c r="D2191" t="inlineStr">
        <is>
          <t>GÄVLEBORGS LÄN</t>
        </is>
      </c>
      <c r="E2191" t="inlineStr">
        <is>
          <t>HUDIKSVALL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6730-2025</t>
        </is>
      </c>
      <c r="B2192" s="1" t="n">
        <v>45700</v>
      </c>
      <c r="C2192" s="1" t="n">
        <v>45742</v>
      </c>
      <c r="D2192" t="inlineStr">
        <is>
          <t>GÄVLEBORGS LÄN</t>
        </is>
      </c>
      <c r="E2192" t="inlineStr">
        <is>
          <t>HUDIKSVALL</t>
        </is>
      </c>
      <c r="G2192" t="n">
        <v>25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6985-2025</t>
        </is>
      </c>
      <c r="B2193" s="1" t="n">
        <v>45701</v>
      </c>
      <c r="C2193" s="1" t="n">
        <v>45742</v>
      </c>
      <c r="D2193" t="inlineStr">
        <is>
          <t>GÄVLEBORGS LÄN</t>
        </is>
      </c>
      <c r="E2193" t="inlineStr">
        <is>
          <t>HUDIKSVALL</t>
        </is>
      </c>
      <c r="G2193" t="n">
        <v>6.7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45742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6990-2025</t>
        </is>
      </c>
      <c r="B2195" s="1" t="n">
        <v>45701</v>
      </c>
      <c r="C2195" s="1" t="n">
        <v>45742</v>
      </c>
      <c r="D2195" t="inlineStr">
        <is>
          <t>GÄVLEBORGS LÄN</t>
        </is>
      </c>
      <c r="E2195" t="inlineStr">
        <is>
          <t>HUDIKSVALL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45742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6859-2025</t>
        </is>
      </c>
      <c r="B2197" s="1" t="n">
        <v>45701</v>
      </c>
      <c r="C2197" s="1" t="n">
        <v>45742</v>
      </c>
      <c r="D2197" t="inlineStr">
        <is>
          <t>GÄVLEBORGS LÄN</t>
        </is>
      </c>
      <c r="E2197" t="inlineStr">
        <is>
          <t>HUDIKSVALL</t>
        </is>
      </c>
      <c r="G2197" t="n">
        <v>5.9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7496-2025</t>
        </is>
      </c>
      <c r="B2198" s="1" t="n">
        <v>45702</v>
      </c>
      <c r="C2198" s="1" t="n">
        <v>45742</v>
      </c>
      <c r="D2198" t="inlineStr">
        <is>
          <t>GÄVLEBORGS LÄN</t>
        </is>
      </c>
      <c r="E2198" t="inlineStr">
        <is>
          <t>HUDIKSVALL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45742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7190-2025</t>
        </is>
      </c>
      <c r="B2200" s="1" t="n">
        <v>45702</v>
      </c>
      <c r="C2200" s="1" t="n">
        <v>45742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7114-2025</t>
        </is>
      </c>
      <c r="B2201" s="1" t="n">
        <v>45702</v>
      </c>
      <c r="C2201" s="1" t="n">
        <v>45742</v>
      </c>
      <c r="D2201" t="inlineStr">
        <is>
          <t>GÄVLEBORGS LÄN</t>
        </is>
      </c>
      <c r="E2201" t="inlineStr">
        <is>
          <t>HUDIKSVALL</t>
        </is>
      </c>
      <c r="F2201" t="inlineStr">
        <is>
          <t>Holmen skog AB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7473-2025</t>
        </is>
      </c>
      <c r="B2202" s="1" t="n">
        <v>45702</v>
      </c>
      <c r="C2202" s="1" t="n">
        <v>45742</v>
      </c>
      <c r="D2202" t="inlineStr">
        <is>
          <t>GÄVLEBORGS LÄN</t>
        </is>
      </c>
      <c r="E2202" t="inlineStr">
        <is>
          <t>HUDIKSVALL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7485-2025</t>
        </is>
      </c>
      <c r="B2203" s="1" t="n">
        <v>45705</v>
      </c>
      <c r="C2203" s="1" t="n">
        <v>45742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9.199999999999999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45742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7532-2025</t>
        </is>
      </c>
      <c r="B2205" s="1" t="n">
        <v>45705</v>
      </c>
      <c r="C2205" s="1" t="n">
        <v>45742</v>
      </c>
      <c r="D2205" t="inlineStr">
        <is>
          <t>GÄVLEBORGS LÄN</t>
        </is>
      </c>
      <c r="E2205" t="inlineStr">
        <is>
          <t>HUDIKSVALL</t>
        </is>
      </c>
      <c r="F2205" t="inlineStr">
        <is>
          <t>Holmen skog AB</t>
        </is>
      </c>
      <c r="G2205" t="n">
        <v>4.8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7976-2025</t>
        </is>
      </c>
      <c r="B2206" s="1" t="n">
        <v>45707</v>
      </c>
      <c r="C2206" s="1" t="n">
        <v>45742</v>
      </c>
      <c r="D2206" t="inlineStr">
        <is>
          <t>GÄVLEBORGS LÄN</t>
        </is>
      </c>
      <c r="E2206" t="inlineStr">
        <is>
          <t>HUDIKSVALL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8157-2025</t>
        </is>
      </c>
      <c r="B2207" s="1" t="n">
        <v>45708</v>
      </c>
      <c r="C2207" s="1" t="n">
        <v>45742</v>
      </c>
      <c r="D2207" t="inlineStr">
        <is>
          <t>GÄVLEBORGS LÄN</t>
        </is>
      </c>
      <c r="E2207" t="inlineStr">
        <is>
          <t>HUDIKSVALL</t>
        </is>
      </c>
      <c r="G2207" t="n">
        <v>7.7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8582-2025</t>
        </is>
      </c>
      <c r="B2208" s="1" t="n">
        <v>45709</v>
      </c>
      <c r="C2208" s="1" t="n">
        <v>45742</v>
      </c>
      <c r="D2208" t="inlineStr">
        <is>
          <t>GÄVLEBORGS LÄN</t>
        </is>
      </c>
      <c r="E2208" t="inlineStr">
        <is>
          <t>HUDIKSVALL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45742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8654-2025</t>
        </is>
      </c>
      <c r="B2210" s="1" t="n">
        <v>45712</v>
      </c>
      <c r="C2210" s="1" t="n">
        <v>45742</v>
      </c>
      <c r="D2210" t="inlineStr">
        <is>
          <t>GÄVLEBORGS LÄN</t>
        </is>
      </c>
      <c r="E2210" t="inlineStr">
        <is>
          <t>HUDIKSVALL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9477-2025</t>
        </is>
      </c>
      <c r="B2211" s="1" t="n">
        <v>45715</v>
      </c>
      <c r="C2211" s="1" t="n">
        <v>45742</v>
      </c>
      <c r="D2211" t="inlineStr">
        <is>
          <t>GÄVLEBORGS LÄN</t>
        </is>
      </c>
      <c r="E2211" t="inlineStr">
        <is>
          <t>HUDIKSVALL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9392-2025</t>
        </is>
      </c>
      <c r="B2212" s="1" t="n">
        <v>45715</v>
      </c>
      <c r="C2212" s="1" t="n">
        <v>45742</v>
      </c>
      <c r="D2212" t="inlineStr">
        <is>
          <t>GÄVLEBORGS LÄN</t>
        </is>
      </c>
      <c r="E2212" t="inlineStr">
        <is>
          <t>HUDIKSVALL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9453-2025</t>
        </is>
      </c>
      <c r="B2213" s="1" t="n">
        <v>45715</v>
      </c>
      <c r="C2213" s="1" t="n">
        <v>45742</v>
      </c>
      <c r="D2213" t="inlineStr">
        <is>
          <t>GÄVLEBORGS LÄN</t>
        </is>
      </c>
      <c r="E2213" t="inlineStr">
        <is>
          <t>HUDIKSVALL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9482-2025</t>
        </is>
      </c>
      <c r="B2214" s="1" t="n">
        <v>45715</v>
      </c>
      <c r="C2214" s="1" t="n">
        <v>45742</v>
      </c>
      <c r="D2214" t="inlineStr">
        <is>
          <t>GÄVLEBORGS LÄN</t>
        </is>
      </c>
      <c r="E2214" t="inlineStr">
        <is>
          <t>HUDIKSVALL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9563-2025</t>
        </is>
      </c>
      <c r="B2215" s="1" t="n">
        <v>45715</v>
      </c>
      <c r="C2215" s="1" t="n">
        <v>45742</v>
      </c>
      <c r="D2215" t="inlineStr">
        <is>
          <t>GÄVLEBORGS LÄN</t>
        </is>
      </c>
      <c r="E2215" t="inlineStr">
        <is>
          <t>HUDIKSVALL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9589-2025</t>
        </is>
      </c>
      <c r="B2216" s="1" t="n">
        <v>45715</v>
      </c>
      <c r="C2216" s="1" t="n">
        <v>45742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7.8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9546-2025</t>
        </is>
      </c>
      <c r="B2217" s="1" t="n">
        <v>45715</v>
      </c>
      <c r="C2217" s="1" t="n">
        <v>45742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29.4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9601-2025</t>
        </is>
      </c>
      <c r="B2218" s="1" t="n">
        <v>45715</v>
      </c>
      <c r="C2218" s="1" t="n">
        <v>45742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55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9629-2025</t>
        </is>
      </c>
      <c r="B2219" s="1" t="n">
        <v>45715</v>
      </c>
      <c r="C2219" s="1" t="n">
        <v>45742</v>
      </c>
      <c r="D2219" t="inlineStr">
        <is>
          <t>GÄVLEBORGS LÄN</t>
        </is>
      </c>
      <c r="E2219" t="inlineStr">
        <is>
          <t>HUDIKSVALL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9462-2025</t>
        </is>
      </c>
      <c r="B2220" s="1" t="n">
        <v>45715</v>
      </c>
      <c r="C2220" s="1" t="n">
        <v>45742</v>
      </c>
      <c r="D2220" t="inlineStr">
        <is>
          <t>GÄVLEBORGS LÄN</t>
        </is>
      </c>
      <c r="E2220" t="inlineStr">
        <is>
          <t>HUDIKSVALL</t>
        </is>
      </c>
      <c r="F2220" t="inlineStr">
        <is>
          <t>Holmen skog AB</t>
        </is>
      </c>
      <c r="G2220" t="n">
        <v>24.3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9804-2025</t>
        </is>
      </c>
      <c r="B2221" s="1" t="n">
        <v>45716</v>
      </c>
      <c r="C2221" s="1" t="n">
        <v>45742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9919-2025</t>
        </is>
      </c>
      <c r="B2222" s="1" t="n">
        <v>45717</v>
      </c>
      <c r="C2222" s="1" t="n">
        <v>45742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9918-2025</t>
        </is>
      </c>
      <c r="B2223" s="1" t="n">
        <v>45717</v>
      </c>
      <c r="C2223" s="1" t="n">
        <v>45742</v>
      </c>
      <c r="D2223" t="inlineStr">
        <is>
          <t>GÄVLEBORGS LÄN</t>
        </is>
      </c>
      <c r="E2223" t="inlineStr">
        <is>
          <t>HUDIKSVALL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9989-2025</t>
        </is>
      </c>
      <c r="B2224" s="1" t="n">
        <v>45719</v>
      </c>
      <c r="C2224" s="1" t="n">
        <v>45742</v>
      </c>
      <c r="D2224" t="inlineStr">
        <is>
          <t>GÄVLEBORGS LÄN</t>
        </is>
      </c>
      <c r="E2224" t="inlineStr">
        <is>
          <t>HUDIKSVALL</t>
        </is>
      </c>
      <c r="G2224" t="n">
        <v>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45742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10159-2025</t>
        </is>
      </c>
      <c r="B2226" s="1" t="n">
        <v>45719</v>
      </c>
      <c r="C2226" s="1" t="n">
        <v>45742</v>
      </c>
      <c r="D2226" t="inlineStr">
        <is>
          <t>GÄVLEBORGS LÄN</t>
        </is>
      </c>
      <c r="E2226" t="inlineStr">
        <is>
          <t>HUDIKSVALL</t>
        </is>
      </c>
      <c r="F2226" t="inlineStr">
        <is>
          <t>Kommuner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10426-2025</t>
        </is>
      </c>
      <c r="B2227" s="1" t="n">
        <v>45720</v>
      </c>
      <c r="C2227" s="1" t="n">
        <v>45742</v>
      </c>
      <c r="D2227" t="inlineStr">
        <is>
          <t>GÄVLEBORGS LÄN</t>
        </is>
      </c>
      <c r="E2227" t="inlineStr">
        <is>
          <t>HUDIKSVALL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10427-2025</t>
        </is>
      </c>
      <c r="B2228" s="1" t="n">
        <v>45720</v>
      </c>
      <c r="C2228" s="1" t="n">
        <v>45742</v>
      </c>
      <c r="D2228" t="inlineStr">
        <is>
          <t>GÄVLEBORGS LÄN</t>
        </is>
      </c>
      <c r="E2228" t="inlineStr">
        <is>
          <t>HUDIKSVALL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10571-2025</t>
        </is>
      </c>
      <c r="B2229" s="1" t="n">
        <v>45721</v>
      </c>
      <c r="C2229" s="1" t="n">
        <v>45742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8.4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10537-2025</t>
        </is>
      </c>
      <c r="B2230" s="1" t="n">
        <v>45721</v>
      </c>
      <c r="C2230" s="1" t="n">
        <v>45742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45742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10890-2025</t>
        </is>
      </c>
      <c r="B2232" s="1" t="n">
        <v>45722</v>
      </c>
      <c r="C2232" s="1" t="n">
        <v>45742</v>
      </c>
      <c r="D2232" t="inlineStr">
        <is>
          <t>GÄVLEBORGS LÄN</t>
        </is>
      </c>
      <c r="E2232" t="inlineStr">
        <is>
          <t>HUDIKSVALL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10994-2025</t>
        </is>
      </c>
      <c r="B2233" s="1" t="n">
        <v>45723</v>
      </c>
      <c r="C2233" s="1" t="n">
        <v>45742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Holmen skog AB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11017-2025</t>
        </is>
      </c>
      <c r="B2234" s="1" t="n">
        <v>45723</v>
      </c>
      <c r="C2234" s="1" t="n">
        <v>45742</v>
      </c>
      <c r="D2234" t="inlineStr">
        <is>
          <t>GÄVLEBORGS LÄN</t>
        </is>
      </c>
      <c r="E2234" t="inlineStr">
        <is>
          <t>HUDIKSVALL</t>
        </is>
      </c>
      <c r="G2234" t="n">
        <v>6.8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11093-2025</t>
        </is>
      </c>
      <c r="B2235" s="1" t="n">
        <v>45723</v>
      </c>
      <c r="C2235" s="1" t="n">
        <v>45742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6.1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11315-2025</t>
        </is>
      </c>
      <c r="B2236" s="1" t="n">
        <v>45726</v>
      </c>
      <c r="C2236" s="1" t="n">
        <v>45742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Holmen skog AB</t>
        </is>
      </c>
      <c r="G2236" t="n">
        <v>9.6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12393-2025</t>
        </is>
      </c>
      <c r="B2237" s="1" t="n">
        <v>45730</v>
      </c>
      <c r="C2237" s="1" t="n">
        <v>45742</v>
      </c>
      <c r="D2237" t="inlineStr">
        <is>
          <t>GÄVLEBORGS LÄN</t>
        </is>
      </c>
      <c r="E2237" t="inlineStr">
        <is>
          <t>HUDIKSVALL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12850-2025</t>
        </is>
      </c>
      <c r="B2238" s="1" t="n">
        <v>45733</v>
      </c>
      <c r="C2238" s="1" t="n">
        <v>45742</v>
      </c>
      <c r="D2238" t="inlineStr">
        <is>
          <t>GÄVLEBORGS LÄN</t>
        </is>
      </c>
      <c r="E2238" t="inlineStr">
        <is>
          <t>HUDIKSVALL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13267-2025</t>
        </is>
      </c>
      <c r="B2239" s="1" t="n">
        <v>45735</v>
      </c>
      <c r="C2239" s="1" t="n">
        <v>45742</v>
      </c>
      <c r="D2239" t="inlineStr">
        <is>
          <t>GÄVLEBORGS LÄN</t>
        </is>
      </c>
      <c r="E2239" t="inlineStr">
        <is>
          <t>HUDIKSVALL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13603-2025</t>
        </is>
      </c>
      <c r="B2240" s="1" t="n">
        <v>45736</v>
      </c>
      <c r="C2240" s="1" t="n">
        <v>45742</v>
      </c>
      <c r="D2240" t="inlineStr">
        <is>
          <t>GÄVLEBORGS LÄN</t>
        </is>
      </c>
      <c r="E2240" t="inlineStr">
        <is>
          <t>HUDIKSVALL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45742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13853-2025</t>
        </is>
      </c>
      <c r="B2242" s="1" t="n">
        <v>45737</v>
      </c>
      <c r="C2242" s="1" t="n">
        <v>45742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14088-2025</t>
        </is>
      </c>
      <c r="B2243" s="1" t="n">
        <v>45740</v>
      </c>
      <c r="C2243" s="1" t="n">
        <v>45742</v>
      </c>
      <c r="D2243" t="inlineStr">
        <is>
          <t>GÄVLEBORGS LÄN</t>
        </is>
      </c>
      <c r="E2243" t="inlineStr">
        <is>
          <t>HUDIKSVALL</t>
        </is>
      </c>
      <c r="G2243" t="n">
        <v>12.8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14125-2025</t>
        </is>
      </c>
      <c r="B2244" s="1" t="n">
        <v>45740</v>
      </c>
      <c r="C2244" s="1" t="n">
        <v>45742</v>
      </c>
      <c r="D2244" t="inlineStr">
        <is>
          <t>GÄVLEBORGS LÄN</t>
        </is>
      </c>
      <c r="E2244" t="inlineStr">
        <is>
          <t>HUDIKSVALL</t>
        </is>
      </c>
      <c r="G2244" t="n">
        <v>6.3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14059-2025</t>
        </is>
      </c>
      <c r="B2245" s="1" t="n">
        <v>45740</v>
      </c>
      <c r="C2245" s="1" t="n">
        <v>45742</v>
      </c>
      <c r="D2245" t="inlineStr">
        <is>
          <t>GÄVLEBORGS LÄN</t>
        </is>
      </c>
      <c r="E2245" t="inlineStr">
        <is>
          <t>HUDIKSVALL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14081-2025</t>
        </is>
      </c>
      <c r="B2246" s="1" t="n">
        <v>45740</v>
      </c>
      <c r="C2246" s="1" t="n">
        <v>45742</v>
      </c>
      <c r="D2246" t="inlineStr">
        <is>
          <t>GÄVLEBORGS LÄN</t>
        </is>
      </c>
      <c r="E2246" t="inlineStr">
        <is>
          <t>HUDIKSVALL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>
      <c r="A2247" t="inlineStr">
        <is>
          <t>A 14098-2025</t>
        </is>
      </c>
      <c r="B2247" s="1" t="n">
        <v>45740</v>
      </c>
      <c r="C2247" s="1" t="n">
        <v>45742</v>
      </c>
      <c r="D2247" t="inlineStr">
        <is>
          <t>GÄVLEBORGS LÄN</t>
        </is>
      </c>
      <c r="E2247" t="inlineStr">
        <is>
          <t>HUDIKSVALL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2025-03-26T17:37:57Z</dcterms:created>
  <dcterms:modified xmlns:dcterms="http://purl.org/dc/terms/" xmlns:xsi="http://www.w3.org/2001/XMLSchema-instance" xsi:type="dcterms:W3CDTF">2025-03-26T17:37:59Z</dcterms:modified>
</cp:coreProperties>
</file>